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defaultThemeVersion="124226"/>
  <xr:revisionPtr revIDLastSave="2" documentId="13_ncr:1_{360133CF-4BB9-4510-A40C-951F62D9E147}" xr6:coauthVersionLast="47" xr6:coauthVersionMax="47" xr10:uidLastSave="{6C1BF0F5-C316-4B1B-AD63-43839BBDE351}"/>
  <bookViews>
    <workbookView xWindow="2595" yWindow="1590" windowWidth="21600" windowHeight="15225" tabRatio="865" activeTab="6" xr2:uid="{00000000-000D-0000-FFFF-FFFF00000000}"/>
  </bookViews>
  <sheets>
    <sheet name="Instructions" sheetId="3" r:id="rId1"/>
    <sheet name="Column Explanation" sheetId="18" r:id="rId2"/>
    <sheet name="Scoring Summary" sheetId="17" r:id="rId3"/>
    <sheet name="General" sheetId="8" r:id="rId4"/>
    <sheet name="Education" sheetId="13" r:id="rId5"/>
    <sheet name="Exercise" sheetId="14" r:id="rId6"/>
    <sheet name="Intelligence" sheetId="1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8" l="1"/>
  <c r="J7" i="15" l="1"/>
  <c r="K7" i="15"/>
  <c r="M7" i="15"/>
  <c r="J8" i="15"/>
  <c r="K8" i="15"/>
  <c r="M8" i="15"/>
  <c r="J9" i="15"/>
  <c r="K9" i="15"/>
  <c r="M9" i="15"/>
  <c r="M6" i="15"/>
  <c r="K6" i="15"/>
  <c r="J6" i="15"/>
  <c r="M4" i="15"/>
  <c r="K4" i="15"/>
  <c r="J4" i="15"/>
  <c r="M3" i="15"/>
  <c r="K3" i="15"/>
  <c r="J3" i="15"/>
  <c r="M7" i="14"/>
  <c r="K7" i="14"/>
  <c r="J7" i="14"/>
  <c r="M6" i="14"/>
  <c r="K6" i="14"/>
  <c r="J6" i="14"/>
  <c r="M4" i="14"/>
  <c r="K4" i="14"/>
  <c r="J4" i="14"/>
  <c r="M3" i="14"/>
  <c r="K3" i="14"/>
  <c r="J3" i="14"/>
  <c r="M8" i="8"/>
  <c r="K8" i="8"/>
  <c r="J8" i="8"/>
  <c r="M28" i="8"/>
  <c r="M29" i="8"/>
  <c r="M30" i="8"/>
  <c r="M31" i="8"/>
  <c r="M27" i="8"/>
  <c r="K28" i="8"/>
  <c r="K29" i="8"/>
  <c r="K30" i="8"/>
  <c r="K31" i="8"/>
  <c r="K27" i="8"/>
  <c r="M15" i="13"/>
  <c r="K15" i="13"/>
  <c r="J15" i="13"/>
  <c r="M14" i="13"/>
  <c r="K14" i="13"/>
  <c r="J14" i="13"/>
  <c r="M13" i="13"/>
  <c r="K13" i="13"/>
  <c r="J13" i="13"/>
  <c r="M12" i="13"/>
  <c r="K12" i="13"/>
  <c r="J12" i="13"/>
  <c r="M11" i="13"/>
  <c r="K11" i="13"/>
  <c r="J11" i="13"/>
  <c r="M10" i="13"/>
  <c r="K10" i="13"/>
  <c r="J10" i="13"/>
  <c r="M9" i="13"/>
  <c r="K9" i="13"/>
  <c r="J9" i="13"/>
  <c r="M8" i="13"/>
  <c r="K8" i="13"/>
  <c r="J8" i="13"/>
  <c r="M7" i="13"/>
  <c r="K7" i="13"/>
  <c r="J7" i="13"/>
  <c r="M6" i="13"/>
  <c r="K6" i="13"/>
  <c r="J6" i="13"/>
  <c r="M4" i="13"/>
  <c r="K4" i="13"/>
  <c r="J4" i="13"/>
  <c r="M3" i="13"/>
  <c r="K3" i="13"/>
  <c r="J3" i="13"/>
  <c r="M23" i="8"/>
  <c r="M22" i="8"/>
  <c r="M21" i="8"/>
  <c r="M20" i="8"/>
  <c r="M19" i="8"/>
  <c r="M18" i="8"/>
  <c r="M17" i="8"/>
  <c r="M16" i="8"/>
  <c r="M15" i="8"/>
  <c r="M14" i="8"/>
  <c r="M13" i="8"/>
  <c r="M12" i="8"/>
  <c r="M10" i="8"/>
  <c r="M9" i="8"/>
  <c r="M7" i="8"/>
  <c r="M6" i="8"/>
  <c r="M5" i="8"/>
  <c r="M3" i="8"/>
  <c r="L32" i="8"/>
  <c r="J31" i="8"/>
  <c r="J29" i="8"/>
  <c r="J28" i="8"/>
  <c r="J27" i="8"/>
  <c r="J33" i="8" s="1"/>
  <c r="J30" i="8"/>
  <c r="J32" i="8"/>
  <c r="I33" i="8"/>
  <c r="I32" i="8"/>
  <c r="K23" i="8"/>
  <c r="K22" i="8"/>
  <c r="K21" i="8"/>
  <c r="K20" i="8"/>
  <c r="K19" i="8"/>
  <c r="K18" i="8"/>
  <c r="K17" i="8"/>
  <c r="K16" i="8"/>
  <c r="K15" i="8"/>
  <c r="K14" i="8"/>
  <c r="K13" i="8"/>
  <c r="K12" i="8"/>
  <c r="J23" i="8"/>
  <c r="J22" i="8"/>
  <c r="J21" i="8"/>
  <c r="J20" i="8"/>
  <c r="J19" i="8"/>
  <c r="J18" i="8"/>
  <c r="J17" i="8"/>
  <c r="J16" i="8"/>
  <c r="J15" i="8"/>
  <c r="J14" i="8"/>
  <c r="J13" i="8"/>
  <c r="J12" i="8"/>
  <c r="J10" i="8"/>
  <c r="J9" i="8"/>
  <c r="J7" i="8"/>
  <c r="J6" i="8"/>
  <c r="J5" i="8"/>
  <c r="J3" i="8"/>
  <c r="K10" i="8"/>
  <c r="K9" i="8"/>
  <c r="K7" i="8"/>
  <c r="K6" i="8"/>
  <c r="K5" i="8"/>
  <c r="K3" i="8"/>
  <c r="J24" i="8" l="1"/>
  <c r="J35" i="8" s="1"/>
  <c r="C9" i="17" s="1"/>
  <c r="K16" i="13"/>
  <c r="D10" i="17" s="1"/>
  <c r="M16" i="13"/>
  <c r="E10" i="17" s="1"/>
  <c r="J16" i="13"/>
  <c r="C10" i="17" s="1"/>
  <c r="M10" i="15"/>
  <c r="E12" i="17" s="1"/>
  <c r="J10" i="15"/>
  <c r="C12" i="17" s="1"/>
  <c r="K10" i="15"/>
  <c r="D12" i="17" s="1"/>
  <c r="K8" i="14"/>
  <c r="D11" i="17" s="1"/>
  <c r="M8" i="14"/>
  <c r="E11" i="17" s="1"/>
  <c r="J8" i="14"/>
  <c r="C11" i="17" s="1"/>
  <c r="K24" i="8"/>
  <c r="M24" i="8"/>
  <c r="K33" i="8"/>
  <c r="K35" i="8" l="1"/>
  <c r="D9" i="17" s="1"/>
  <c r="M33" i="8"/>
  <c r="M35" i="8" s="1"/>
  <c r="E9" i="17" s="1"/>
</calcChain>
</file>

<file path=xl/sharedStrings.xml><?xml version="1.0" encoding="utf-8"?>
<sst xmlns="http://schemas.openxmlformats.org/spreadsheetml/2006/main" count="267" uniqueCount="152">
  <si>
    <t>Category / Criterion</t>
  </si>
  <si>
    <t>Maximum Count</t>
  </si>
  <si>
    <t>Offeror's Count</t>
  </si>
  <si>
    <t>Weight Factor</t>
  </si>
  <si>
    <t>WS-1</t>
  </si>
  <si>
    <t>WS-2</t>
  </si>
  <si>
    <t>WS-3</t>
  </si>
  <si>
    <t>WS-4</t>
  </si>
  <si>
    <t>WS-5</t>
  </si>
  <si>
    <t>Column</t>
  </si>
  <si>
    <t>Explanation</t>
  </si>
  <si>
    <t>B</t>
  </si>
  <si>
    <t>C</t>
  </si>
  <si>
    <t>D</t>
  </si>
  <si>
    <t>E</t>
  </si>
  <si>
    <t>F</t>
  </si>
  <si>
    <t>G</t>
  </si>
  <si>
    <t>H</t>
  </si>
  <si>
    <t>I</t>
  </si>
  <si>
    <t>J</t>
  </si>
  <si>
    <t>K</t>
  </si>
  <si>
    <t>SPARE - INTENTIONALLY BLANK</t>
  </si>
  <si>
    <t>General</t>
  </si>
  <si>
    <t>Work Samples that cover the requirements in the SOW</t>
  </si>
  <si>
    <t>Work Samples that cover the Education and Training requirements in the SOW</t>
  </si>
  <si>
    <t>Work Samples that cover the Exercise Planning and Execution requirements in the SOW</t>
  </si>
  <si>
    <t>Number of Work Samples providing XXXINT (any INT type is acceptable) in CONUS locations</t>
  </si>
  <si>
    <t>Number of Work Samples providing XXXINT (any INT type is acceptable) in OCONUS locations</t>
  </si>
  <si>
    <r>
      <t xml:space="preserve">Number of  Work Samples with </t>
    </r>
    <r>
      <rPr>
        <b/>
        <sz val="11"/>
        <rFont val="Calibri"/>
        <family val="2"/>
        <scheme val="minor"/>
      </rPr>
      <t xml:space="preserve">Technical Security and Signals </t>
    </r>
    <r>
      <rPr>
        <sz val="11"/>
        <rFont val="Calibri"/>
        <family val="2"/>
        <scheme val="minor"/>
      </rPr>
      <t>Countermeasure Practitioners requirements</t>
    </r>
  </si>
  <si>
    <t>L X.X.X Category 2</t>
  </si>
  <si>
    <t>Concurrent performance at various geographic sites</t>
  </si>
  <si>
    <r>
      <t xml:space="preserve">Total positions on a </t>
    </r>
    <r>
      <rPr>
        <b/>
        <sz val="11"/>
        <rFont val="Calibri"/>
        <family val="2"/>
        <scheme val="minor"/>
      </rPr>
      <t xml:space="preserve">single work sample </t>
    </r>
  </si>
  <si>
    <t>Work Sample Tier</t>
  </si>
  <si>
    <t>Tier 1</t>
  </si>
  <si>
    <t>All Tiers</t>
  </si>
  <si>
    <t>Tier 1 or Tier 3</t>
  </si>
  <si>
    <t># of Work Samples</t>
  </si>
  <si>
    <t>All</t>
  </si>
  <si>
    <t>FTE Positions with TS/SCI  (at a single point in time)</t>
  </si>
  <si>
    <t>L X.X.X Category 3</t>
  </si>
  <si>
    <t>L X.X.X Category 5</t>
  </si>
  <si>
    <t>L X.X.X Category 1</t>
  </si>
  <si>
    <t>L X.X.X Category 4</t>
  </si>
  <si>
    <t>L X.X.X Category 6</t>
  </si>
  <si>
    <t>CONUS sites (max of 5 sites, all sites within a US State count as 1 site)</t>
  </si>
  <si>
    <t>OCONUS sites excluding Korea and Germany (max of 5, no more than 2 per country)</t>
  </si>
  <si>
    <t>Sites in Germany and Korea (max of 5 sites total)</t>
  </si>
  <si>
    <t>Single Point in Time</t>
  </si>
  <si>
    <t>USG Evaluated Score</t>
  </si>
  <si>
    <t>Percentage of CPAR / PPQ Ratings 
(Can't Exceed 100% Total)</t>
  </si>
  <si>
    <t>Max Possible Points</t>
  </si>
  <si>
    <t>Percentage of "exceptional" CPAR / PPQ ratings over last 5 years</t>
  </si>
  <si>
    <t>Percentage of "very good" CPAR / PPQ ratings over last 5 years</t>
  </si>
  <si>
    <t>Percentage of "satisfactory" CPAR / PPQ ratings over last 5 years</t>
  </si>
  <si>
    <t>Percentage of "marginal" CPAR / PPQ ratings over last 5 years</t>
  </si>
  <si>
    <t>Percentage of "unsatisfactory" CPAR / PPQ ratings over last 5 years</t>
  </si>
  <si>
    <t>Check percentage for 100%</t>
  </si>
  <si>
    <t>L X.X.X Category 7</t>
  </si>
  <si>
    <t xml:space="preserve">Past Performance Scoring Category                                           </t>
  </si>
  <si>
    <t>Totals:</t>
  </si>
  <si>
    <t>Points for Each CPAR Rating</t>
  </si>
  <si>
    <t>Offeror's  Self Score</t>
  </si>
  <si>
    <t>Offeror's  Self-Score</t>
  </si>
  <si>
    <t>USG %s</t>
  </si>
  <si>
    <t>USG Count</t>
  </si>
  <si>
    <t xml:space="preserve">Past Performance Scoring Categories Total </t>
  </si>
  <si>
    <t xml:space="preserve">General Scoring Categories Total </t>
  </si>
  <si>
    <r>
      <rPr>
        <b/>
        <sz val="11"/>
        <color rgb="FF000000"/>
        <rFont val="Calibri"/>
        <family val="2"/>
        <scheme val="minor"/>
      </rPr>
      <t>Percentage of awarded billets (minimum of 25 billets) hired or transitioned</t>
    </r>
    <r>
      <rPr>
        <sz val="11"/>
        <color rgb="FF000000"/>
        <rFont val="Calibri"/>
        <family val="2"/>
        <scheme val="minor"/>
      </rPr>
      <t xml:space="preserve"> onto a contract within 30 days of award (enter % as numerals (e.g., .64)</t>
    </r>
  </si>
  <si>
    <t xml:space="preserve">OFFEROR NAME: </t>
  </si>
  <si>
    <t>Offeror's Score</t>
  </si>
  <si>
    <t>Education</t>
  </si>
  <si>
    <t>Exercise</t>
  </si>
  <si>
    <t>Intelligence</t>
  </si>
  <si>
    <t>Max Points</t>
  </si>
  <si>
    <t xml:space="preserve">Education Scoring Categories Total  </t>
  </si>
  <si>
    <t xml:space="preserve">Exercise Scoring Categories Total  </t>
  </si>
  <si>
    <t xml:space="preserve">Intelligence Scoring Categories Total  </t>
  </si>
  <si>
    <r>
      <t xml:space="preserve">Attachment </t>
    </r>
    <r>
      <rPr>
        <sz val="11"/>
        <color rgb="FFFF0000"/>
        <rFont val="Calibri"/>
        <family val="2"/>
        <scheme val="minor"/>
      </rPr>
      <t>X</t>
    </r>
    <r>
      <rPr>
        <sz val="11"/>
        <color theme="1"/>
        <rFont val="Calibri"/>
        <family val="2"/>
        <scheme val="minor"/>
      </rPr>
      <t>: Self Scoring Matrix</t>
    </r>
  </si>
  <si>
    <t>Category / Pool</t>
  </si>
  <si>
    <t>Special Operations Forces Global Services Delivery (SOFGSD)</t>
  </si>
  <si>
    <t>Instructions</t>
  </si>
  <si>
    <t>Column Title</t>
  </si>
  <si>
    <t>Summarized description of the required measurement - with further detail available in the section identified in Column B</t>
  </si>
  <si>
    <t>The Tier of Work Sample that is allowed for this category / criterion</t>
  </si>
  <si>
    <t>2) Offerors only fill in the yellow shaded blocks in this workbook</t>
  </si>
  <si>
    <r>
      <t xml:space="preserve">1) See Attachment </t>
    </r>
    <r>
      <rPr>
        <sz val="11"/>
        <color rgb="FFFF0000"/>
        <rFont val="Calibri"/>
        <family val="2"/>
        <scheme val="minor"/>
      </rPr>
      <t>XX</t>
    </r>
    <r>
      <rPr>
        <sz val="11"/>
        <color theme="1"/>
        <rFont val="Calibri"/>
        <family val="2"/>
        <scheme val="minor"/>
      </rPr>
      <t>, Evaluation Criteria, for detailed information and instructions</t>
    </r>
  </si>
  <si>
    <t>General (Top section), Education, Exercise, Intelligence Tabs</t>
  </si>
  <si>
    <t>Weight factor assigned to this category / criterion</t>
  </si>
  <si>
    <t>Offeror's Self Score</t>
  </si>
  <si>
    <t>L</t>
  </si>
  <si>
    <t>M</t>
  </si>
  <si>
    <t>O to S</t>
  </si>
  <si>
    <t>General (CPAR Section)</t>
  </si>
  <si>
    <t>C &amp; D</t>
  </si>
  <si>
    <t>Past Performance Scoring Category</t>
  </si>
  <si>
    <t>Percentage of CPAR / PPQ Ratings</t>
  </si>
  <si>
    <t>Enter the "Single Point In Time" for this category. OFFERORS FILL IN THIS INFORMATION</t>
  </si>
  <si>
    <t>The highest allowable count an Offeror can enter. These max values are selected either because a higher number is not mathematically possible (for example, retention cannot be higher than 100%), or a higher number is not relevant to the requirement. For example, it doesn't matter if your largest work sample includes MORE than 50 positions, but the Government DOES want to know that your management experience includes oversight of a contracts/task order UP TO that size, comparable to the anticipated requirement, with growth</t>
  </si>
  <si>
    <t>Thee maximum possible score an Offeror can achieve in each category / criterion. The sum of all values in this Column is the "Total Max Possible" score an Offeror can achieve for evaluation purposes.</t>
  </si>
  <si>
    <r>
      <t xml:space="preserve">Enter the percentage (XX.X%) of 100% for the total number of ratings against all CPARS / PPQs. </t>
    </r>
    <r>
      <rPr>
        <b/>
        <i/>
        <sz val="11"/>
        <color theme="1"/>
        <rFont val="Calibri"/>
        <family val="2"/>
        <scheme val="minor"/>
      </rPr>
      <t>OFFERORS FILL IN THIS INFORMATION</t>
    </r>
  </si>
  <si>
    <t>E &amp; F</t>
  </si>
  <si>
    <t>H &amp; I</t>
  </si>
  <si>
    <t>Points assigned for each CPAR Rating</t>
  </si>
  <si>
    <t>Mathematically derived by multiplying Column E &amp; F (Percentage of CPAR / PPQ Ratings) by Column G (Points for Each CPAR). This represents the Offeror's score for each category. The sum of all values in this Column the Offeror's "Total Self Score" for this portion of the spreadsheet for technical evaluation purposes.</t>
  </si>
  <si>
    <t>USG %</t>
  </si>
  <si>
    <t>Points to the section in the solicitation that corresponds to the Category/Criterion described in that row</t>
  </si>
  <si>
    <t>Total number of work samples that can be used as evidence for this category / criterion</t>
  </si>
  <si>
    <t xml:space="preserve">Number of non-SOF related Work Samples with demonstrated Education and Training - Curriculum Development (as referenced in SOW paragraph 5.1). </t>
  </si>
  <si>
    <t xml:space="preserve">Number of SOF-related Work Samples with demonstrated Education and Training - Curriculum Development (as referenced in SOW paragraph 5.1). </t>
  </si>
  <si>
    <t xml:space="preserve">Number of non-SOF related Work Samples with demonstrated Education and Training Instruction (as referenced in SOW paragraph 5.1). </t>
  </si>
  <si>
    <t xml:space="preserve">Number of SOF-related Work Samples with demonstrated Education and Training Instruction (as referenced in SOW paragraph 5.1). </t>
  </si>
  <si>
    <t xml:space="preserve">Number of non-SOF related Work Samples with demonstrated Exercise Planning (as referenced in SOW paragraph 5.1). </t>
  </si>
  <si>
    <t xml:space="preserve">Number of SOF-related Work Samples with demonstrated Exercise Planning (as referenced in SOW paragraph 5.1). </t>
  </si>
  <si>
    <t xml:space="preserve">Number of non-SOF related Work Samples with demonstrated Exercise Execution (as referenced in SOW paragraph 5.1). </t>
  </si>
  <si>
    <t xml:space="preserve">Number of SOF-related Work Samples with demonstrated Exercise Execution (as referenced in SOW paragraph 5.1). </t>
  </si>
  <si>
    <t xml:space="preserve">Number of non-SOF related Work Samples with demonstrated Strategic and Operational Planning or Analysis (as referenced in SOW paragraph 5.3). </t>
  </si>
  <si>
    <t xml:space="preserve">Number of SOF-related Work Samples with demonstrated Strategic and Operational Planning or Analysis (as referenced in SOW paragraph 5.3). </t>
  </si>
  <si>
    <t xml:space="preserve">Number of SOF-related Work Samples with demonstrated Intelligence Support (as referenced in SO  paragraph 5.6). </t>
  </si>
  <si>
    <t xml:space="preserve">Number of non-SOF related Work Samples with demonstrated Intelligence Support (as referenced in SOW paragraph 5.6). </t>
  </si>
  <si>
    <t>Work Samples that cover the Intelligence requirements in the SOW (as referenced in SOW 5.6)</t>
  </si>
  <si>
    <t xml:space="preserve">Number of non-SOF related Work Samples with demonstrated Policy Analysis (as referenced in SOW paragraph 5.1). </t>
  </si>
  <si>
    <t xml:space="preserve">Number of SOF-related Work Samples with demonstrated Policy Analysis (as referenced in SOW paragraph 5.1). </t>
  </si>
  <si>
    <t xml:space="preserve">Number of non-SOF related Work Samples with demonstrated Education and Training Instruction OCONUS (as referenced in SOW paragraph 5.1). </t>
  </si>
  <si>
    <t xml:space="preserve">Number of SOF-related Work Samples with demonstrated Education and Training Instruction OCONUS (as referenced in SOW paragraph 5.1). </t>
  </si>
  <si>
    <t xml:space="preserve">Number of Work Samples with demonstrated Instruction of International Partners (as referenced in SOW paragraph 5.1). </t>
  </si>
  <si>
    <t xml:space="preserve">Number of Work Samples providing Professional Military Education (e.g. undergraduate or graduate level instruction) (as referenced in SOW paragraph 5.1). </t>
  </si>
  <si>
    <t xml:space="preserve">Number of Work Samples providing concurrent Professional Military Education at multiple locations (e.g. undergraduate or graduate level instruction) (as referenced in SOW paragraph 5.1). </t>
  </si>
  <si>
    <t xml:space="preserve">Number of Work Samples providing foreign language, regional expertise, or cultural training (as referenced in SOW paragraph 5.1). </t>
  </si>
  <si>
    <t xml:space="preserve">Number of Work Samples providing concurrent foreign language, regional expertise, or cultural training in multiple locations (as referenced in SOW paragraph 5.1). </t>
  </si>
  <si>
    <t xml:space="preserve">Number of Work Samples providing modeling and simulation, and wargaming (as referenced in SOW paragraph 5.1). </t>
  </si>
  <si>
    <r>
      <t>Number of Work Samples that provide</t>
    </r>
    <r>
      <rPr>
        <b/>
        <sz val="11"/>
        <rFont val="Calibri"/>
        <family val="2"/>
        <scheme val="minor"/>
      </rPr>
      <t xml:space="preserve"> episodic training exercise </t>
    </r>
    <r>
      <rPr>
        <sz val="11"/>
        <rFont val="Calibri"/>
        <family val="2"/>
        <scheme val="minor"/>
      </rPr>
      <t>support (as referenced in SOW paragraph 5.1)</t>
    </r>
  </si>
  <si>
    <t>3) Offerors shall not modify or make any changes toother cells within the spreadsheet, including content, formulae, format.</t>
  </si>
  <si>
    <t>Solicitation Number: XXXXX-XX-X-XXXX</t>
  </si>
  <si>
    <r>
      <t xml:space="preserve">Number of </t>
    </r>
    <r>
      <rPr>
        <b/>
        <sz val="11"/>
        <rFont val="Calibri"/>
        <family val="2"/>
        <scheme val="minor"/>
      </rPr>
      <t xml:space="preserve">exercise role players </t>
    </r>
    <r>
      <rPr>
        <sz val="11"/>
        <rFont val="Calibri"/>
        <family val="2"/>
        <scheme val="minor"/>
      </rPr>
      <t>provided per Work Sample (as referenced in SOW paragraph 5.1)</t>
    </r>
  </si>
  <si>
    <t>Section L Reference</t>
  </si>
  <si>
    <t>Summarized description of the scoring category/criterion. Detailed instructions are provided in the Sect. L reference show in Column B</t>
  </si>
  <si>
    <t>Offeror's score for each category / criterion, in accordance with corresponding description and instructions in Sect. L. OFFERORS FILL IN THIS INFORMATION</t>
  </si>
  <si>
    <t>The maximum possible score an Offeror can receive in each category / criterion. The sum of all values in this Column is the "Total Max Possible" score an Offeror can achieve for evaluation purposes.</t>
  </si>
  <si>
    <t>Mathematically derived by multiplying Column H (Offeror's Count) by Column I (Weight Factor). This represents the Offeror's score for each category. The sum of all values in this Column is the Offeror's "Total Self Score" for this portion of the spreadsheet.</t>
  </si>
  <si>
    <t>Reserved for Government Evaluator use. If the Government finds discrepancies during validation of Offeror provided counts, the Government reserves the right to reduce the score to align with validated information provided by the Offeror. See Sections L &amp; M for further details .</t>
  </si>
  <si>
    <t>Mathematically derived by multiplying Column L (USG Count) by Column I (Weight Factor). This represents the Government's validated score for each category. The sum of all values in this Column the Offeror's "Government Evaluated Score" for this portion of the spreadsheet.</t>
  </si>
  <si>
    <t>Citation - Section/Page # -- WS-1 thru WS-5:  Space allocated to the Offeror to provide "pointers" within each of their provided work samples (WS-1 thru WS-5) to enable quick reference for the Government to find and validate the Offeror's proposed score. OFFERORS FILL IN THIS INFORMATION</t>
  </si>
  <si>
    <t>Reserved for Government Evaluator use. If the Government finds discrepancies during validation of Offeror provided %, the Government reserves the right to downgrade the % to align with validated information. See Sections L and M for further details.</t>
  </si>
  <si>
    <t>Mathematically derived by multiplying Column L (USG Count) by Column G (Points for Each CPAR). This represents the Government's validated score for each category. The sum of all values in this Column the Offeror's "USG Evaluated Score" for this portion of the spreadsheet.</t>
  </si>
  <si>
    <r>
      <t xml:space="preserve">Total Education and Training positions on a </t>
    </r>
    <r>
      <rPr>
        <b/>
        <sz val="11"/>
        <rFont val="Calibri"/>
        <family val="2"/>
        <scheme val="minor"/>
      </rPr>
      <t xml:space="preserve">single work sample </t>
    </r>
  </si>
  <si>
    <r>
      <t xml:space="preserve">Total Exercise Support positions on a </t>
    </r>
    <r>
      <rPr>
        <b/>
        <sz val="11"/>
        <rFont val="Calibri"/>
        <family val="2"/>
        <scheme val="minor"/>
      </rPr>
      <t xml:space="preserve">single work sample </t>
    </r>
  </si>
  <si>
    <r>
      <t xml:space="preserve">Total Intelligence Support positions on a </t>
    </r>
    <r>
      <rPr>
        <b/>
        <sz val="11"/>
        <rFont val="Calibri"/>
        <family val="2"/>
        <scheme val="minor"/>
      </rPr>
      <t xml:space="preserve">single work sample </t>
    </r>
  </si>
  <si>
    <t>Work Samples that contain the following 3 LCATs 
1) Survival, Evasion, Resistance, and Escape Training and Personnel Recovery Specialist
2) Exercise Planner or Instructor
3) Role Players - Exercise 
1 point per LCAT; no more than 25 points per LCAT</t>
  </si>
  <si>
    <t>Work Samples that contain the following 15 LCATs
1) Intelligence Analyst which includes areas such as: Identity Intelligence Exploitation, Information Operation, Counterintelligence (CI) / Human Intelligence (HUMINT), Socio-Cultural, Pattern Analysis Section (PAS), Identity Operations Manager, Signals Intelligence (SIGINT), Counter Unmanned Arial Surveillance
2) Intelligence Linguist
3) Executive Administrative Assistant
4) Logistic Analyst
5) Strategic Planner or Program Analyst
6) Role Players - LREC
7) Physical Security Manager
8) Survival, Evasion, Resistance, and Escape Training and Personnel Recovery Specialist
9) Analytical and Operational Planning SME
10) Exercise Planner or Instructor
11) Lessons Learned SME
12) Language Instructor or Developer
13) Regional and Cultural Instructor or Developer
14) Faculty and staff at the undergraduate or graduate-level (e.g., JSOU) to include such labor categories as: Instructional Systems Design (ISD), Learning Management Systems Specialist  (LMS), Academic Instructors, Distance Learning Instructors, 
15) Role Players - Exercise
1 point per LCAT; no more than 5 points per LCAT</t>
  </si>
  <si>
    <r>
      <t xml:space="preserve">Number of Work Samples with </t>
    </r>
    <r>
      <rPr>
        <b/>
        <sz val="11"/>
        <rFont val="Calibri"/>
        <family val="2"/>
        <scheme val="minor"/>
      </rPr>
      <t xml:space="preserve">Intelligence </t>
    </r>
    <r>
      <rPr>
        <sz val="11"/>
        <rFont val="Calibri"/>
        <family val="2"/>
        <scheme val="minor"/>
      </rPr>
      <t>analysts</t>
    </r>
  </si>
  <si>
    <t>Work Samples that contain the following 3 LCATs
1) Intelligence Analyst which includes areas such as: Identity Intelligence Exploitation, Information Operation, Counterintelligence (CI) / Human Intelligence (HUMINT), Socio-Cultural, Pattern Analysis Section (PAS), Identity Operations Manager, Signals Intelligence (SIGINT), Counter Unmanned Arial Surveillance
2) Intelligence Linguist
3) Physical Security Manager
1 point per LCAT; no more than 25 points per LCAT</t>
  </si>
  <si>
    <t>Work Samples that contain the following 5 LCATs
1) Role Players - LREC 
2) Exercise Instructor 
3) Language Instructor or Developer
4) Reginal and Cultural Instructor or Developer
5) Faculty and staff at undergraduate or graduate-level (e.g., JSOU) to include such labor categories as: Instructional Systems Design (ISD), Learning Management Systems Specialist (LMS), Academic Instructors, Distance Learning Instructors 
1 point per LCAT; no more than 15 points per LCAT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</si>
</sst>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_);[Red]\(0.00\)"/>
    <numFmt numFmtId="166" formatCode="0_);[Red]\(0\)"/>
  </numFmts>
  <fonts count="25" x14ac:knownFonts="1">
    <font>
      <sz val="11"/>
      <color theme="1"/>
      <name val="Calibri"/>
      <family val="2"/>
      <scheme val="minor"/>
    </font>
    <font>
      <b/>
      <sz val="11"/>
      <color theme="0"/>
      <name val="Calibri"/>
      <family val="2"/>
      <scheme val="minor"/>
    </font>
    <font>
      <sz val="10"/>
      <color theme="1"/>
      <name val="Calibri"/>
      <family val="2"/>
      <scheme val="minor"/>
    </font>
    <font>
      <sz val="9"/>
      <color theme="1"/>
      <name val="Calibri"/>
      <family val="2"/>
      <scheme val="minor"/>
    </font>
    <font>
      <sz val="11"/>
      <name val="Calibri"/>
      <family val="2"/>
      <scheme val="minor"/>
    </font>
    <font>
      <sz val="8"/>
      <color theme="1"/>
      <name val="Calibri"/>
      <family val="2"/>
      <scheme val="minor"/>
    </font>
    <font>
      <b/>
      <i/>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b/>
      <sz val="14"/>
      <color theme="1"/>
      <name val="Calibri"/>
      <family val="2"/>
      <scheme val="minor"/>
    </font>
    <font>
      <b/>
      <sz val="16"/>
      <color rgb="FFC00000"/>
      <name val="Calibri"/>
      <family val="2"/>
      <scheme val="minor"/>
    </font>
    <font>
      <b/>
      <sz val="16"/>
      <color theme="6" tint="-0.499984740745262"/>
      <name val="Calibri"/>
      <family val="2"/>
      <scheme val="minor"/>
    </font>
    <font>
      <sz val="8"/>
      <name val="Calibri"/>
      <family val="2"/>
      <scheme val="minor"/>
    </font>
    <font>
      <b/>
      <sz val="14"/>
      <name val="Calibri"/>
      <family val="2"/>
      <scheme val="minor"/>
    </font>
    <font>
      <sz val="11"/>
      <color theme="1"/>
      <name val="Calibri"/>
      <family val="2"/>
      <scheme val="minor"/>
    </font>
    <font>
      <sz val="11"/>
      <color rgb="FFFF0000"/>
      <name val="Calibri"/>
      <family val="2"/>
      <scheme val="minor"/>
    </font>
    <font>
      <sz val="16"/>
      <color theme="1"/>
      <name val="Calibri"/>
      <family val="2"/>
      <scheme val="minor"/>
    </font>
    <font>
      <b/>
      <sz val="16"/>
      <color theme="1"/>
      <name val="Calibri"/>
      <family val="2"/>
      <scheme val="minor"/>
    </font>
    <font>
      <sz val="12"/>
      <name val="Calibri"/>
      <family val="2"/>
      <scheme val="minor"/>
    </font>
    <font>
      <b/>
      <sz val="12"/>
      <name val="Calibri"/>
      <family val="2"/>
      <scheme val="minor"/>
    </font>
    <font>
      <b/>
      <sz val="12"/>
      <color theme="1"/>
      <name val="Calibri"/>
      <family val="2"/>
      <scheme val="minor"/>
    </font>
    <font>
      <b/>
      <sz val="14"/>
      <color rgb="FF0070C0"/>
      <name val="Calibri"/>
      <family val="2"/>
      <scheme val="minor"/>
    </font>
    <font>
      <sz val="14"/>
      <color rgb="FFFF0000"/>
      <name val="Calibri"/>
      <family val="2"/>
      <scheme val="minor"/>
    </font>
    <font>
      <sz val="14"/>
      <name val="Calibri"/>
      <family val="2"/>
      <scheme val="minor"/>
    </font>
  </fonts>
  <fills count="9">
    <fill>
      <patternFill patternType="none"/>
    </fill>
    <fill>
      <patternFill patternType="gray125"/>
    </fill>
    <fill>
      <patternFill patternType="solid">
        <fgColor rgb="FFFFFFCC"/>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bgColor indexed="64"/>
      </patternFill>
    </fill>
  </fills>
  <borders count="33">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s>
  <cellStyleXfs count="3">
    <xf numFmtId="0" fontId="0" fillId="0" borderId="0"/>
    <xf numFmtId="43" fontId="15" fillId="0" borderId="0" applyFont="0" applyFill="0" applyBorder="0" applyAlignment="0" applyProtection="0"/>
    <xf numFmtId="9" fontId="15" fillId="0" borderId="0" applyFont="0" applyFill="0" applyBorder="0" applyAlignment="0" applyProtection="0"/>
  </cellStyleXfs>
  <cellXfs count="144">
    <xf numFmtId="0" fontId="0" fillId="0" borderId="0" xfId="0"/>
    <xf numFmtId="0" fontId="2" fillId="0" borderId="0" xfId="0" applyFont="1"/>
    <xf numFmtId="0" fontId="1" fillId="5" borderId="4" xfId="0" applyFont="1" applyFill="1" applyBorder="1"/>
    <xf numFmtId="0" fontId="4" fillId="0" borderId="0" xfId="0" applyFont="1" applyAlignment="1">
      <alignment horizontal="center" vertical="center"/>
    </xf>
    <xf numFmtId="0" fontId="0" fillId="6"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0" fillId="2" borderId="2" xfId="0" applyFill="1" applyBorder="1" applyAlignment="1">
      <alignment horizontal="left" vertical="center" wrapText="1"/>
    </xf>
    <xf numFmtId="0" fontId="0" fillId="0" borderId="2" xfId="0" applyBorder="1" applyAlignment="1">
      <alignment horizontal="center" vertical="center"/>
    </xf>
    <xf numFmtId="0" fontId="0" fillId="0" borderId="2" xfId="0" applyBorder="1" applyAlignment="1">
      <alignment horizontal="left" vertical="center" wrapText="1"/>
    </xf>
    <xf numFmtId="0" fontId="0" fillId="0" borderId="0" xfId="0" applyAlignment="1">
      <alignment vertical="center"/>
    </xf>
    <xf numFmtId="0" fontId="0" fillId="2" borderId="2" xfId="0" applyFill="1" applyBorder="1" applyAlignment="1">
      <alignment vertical="center" wrapText="1"/>
    </xf>
    <xf numFmtId="0" fontId="0" fillId="0" borderId="2" xfId="0" applyBorder="1" applyAlignment="1">
      <alignment vertical="center"/>
    </xf>
    <xf numFmtId="0" fontId="1" fillId="0" borderId="0" xfId="0" applyFont="1" applyAlignment="1">
      <alignment horizontal="center" vertical="center"/>
    </xf>
    <xf numFmtId="0" fontId="1" fillId="5" borderId="2" xfId="0" applyFont="1" applyFill="1" applyBorder="1" applyAlignment="1">
      <alignment horizontal="center" vertical="center"/>
    </xf>
    <xf numFmtId="0" fontId="5" fillId="2" borderId="2" xfId="0" applyFont="1" applyFill="1" applyBorder="1" applyAlignment="1">
      <alignment vertical="top" wrapText="1"/>
    </xf>
    <xf numFmtId="0" fontId="0" fillId="0" borderId="1" xfId="0" applyBorder="1" applyAlignment="1">
      <alignment horizontal="left" vertical="center"/>
    </xf>
    <xf numFmtId="1" fontId="0" fillId="6" borderId="2" xfId="0" applyNumberFormat="1" applyFill="1" applyBorder="1" applyAlignment="1">
      <alignment horizontal="center" vertical="center"/>
    </xf>
    <xf numFmtId="0" fontId="0" fillId="5" borderId="2" xfId="0" applyFill="1" applyBorder="1"/>
    <xf numFmtId="0" fontId="4" fillId="0" borderId="2" xfId="0" applyFont="1" applyBorder="1" applyAlignment="1">
      <alignment vertical="center" wrapText="1"/>
    </xf>
    <xf numFmtId="0" fontId="7" fillId="0" borderId="2" xfId="0" applyFont="1" applyBorder="1" applyAlignment="1">
      <alignment vertical="center" wrapText="1"/>
    </xf>
    <xf numFmtId="0" fontId="10" fillId="6" borderId="2" xfId="0" applyFont="1" applyFill="1" applyBorder="1" applyAlignment="1">
      <alignment horizontal="center" vertical="center"/>
    </xf>
    <xf numFmtId="0" fontId="11" fillId="2" borderId="2" xfId="0" applyFont="1" applyFill="1" applyBorder="1" applyAlignment="1">
      <alignment horizontal="center" vertical="center"/>
    </xf>
    <xf numFmtId="0" fontId="12" fillId="3" borderId="2" xfId="0" applyFont="1" applyFill="1" applyBorder="1" applyAlignment="1">
      <alignment horizontal="center" vertical="center"/>
    </xf>
    <xf numFmtId="0" fontId="0" fillId="0" borderId="2" xfId="0" applyBorder="1" applyAlignment="1">
      <alignment vertical="center" wrapText="1"/>
    </xf>
    <xf numFmtId="0" fontId="10" fillId="0" borderId="0" xfId="0" applyFont="1" applyAlignment="1">
      <alignment horizontal="right" vertical="center"/>
    </xf>
    <xf numFmtId="0" fontId="0" fillId="5" borderId="0" xfId="0" applyFill="1"/>
    <xf numFmtId="0" fontId="4" fillId="0" borderId="2" xfId="0" applyFont="1" applyBorder="1" applyAlignment="1">
      <alignment horizontal="left" vertical="center" wrapText="1" inden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2" fillId="0" borderId="0" xfId="0" applyFont="1" applyAlignment="1">
      <alignment horizontal="center"/>
    </xf>
    <xf numFmtId="0" fontId="4" fillId="0" borderId="2" xfId="0" applyFont="1" applyBorder="1" applyAlignment="1">
      <alignment horizontal="center" vertical="center" wrapText="1"/>
    </xf>
    <xf numFmtId="0" fontId="8" fillId="0" borderId="2" xfId="0" applyFont="1" applyBorder="1" applyAlignment="1">
      <alignment horizontal="center" vertical="center" wrapText="1"/>
    </xf>
    <xf numFmtId="0" fontId="4" fillId="5"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14" fillId="6" borderId="2" xfId="0" applyFont="1" applyFill="1" applyBorder="1" applyAlignment="1">
      <alignment horizontal="center" vertical="center"/>
    </xf>
    <xf numFmtId="1" fontId="0" fillId="5" borderId="2" xfId="0" applyNumberFormat="1" applyFill="1" applyBorder="1" applyAlignment="1">
      <alignment horizontal="center" vertical="center"/>
    </xf>
    <xf numFmtId="0" fontId="0" fillId="5" borderId="2" xfId="0" applyFill="1" applyBorder="1" applyAlignment="1">
      <alignment horizontal="center" vertical="center"/>
    </xf>
    <xf numFmtId="0" fontId="10" fillId="5" borderId="2" xfId="0" applyFont="1" applyFill="1" applyBorder="1" applyAlignment="1">
      <alignment horizontal="center" vertical="center"/>
    </xf>
    <xf numFmtId="0" fontId="11" fillId="5" borderId="2" xfId="0" applyFont="1" applyFill="1" applyBorder="1" applyAlignment="1">
      <alignment horizontal="center" vertical="center"/>
    </xf>
    <xf numFmtId="0" fontId="12" fillId="5" borderId="2" xfId="0" applyFont="1" applyFill="1" applyBorder="1" applyAlignment="1">
      <alignment horizontal="center" vertical="center"/>
    </xf>
    <xf numFmtId="0" fontId="5" fillId="5" borderId="2" xfId="0" applyFont="1" applyFill="1" applyBorder="1" applyAlignment="1">
      <alignment vertical="top" wrapText="1"/>
    </xf>
    <xf numFmtId="0" fontId="0" fillId="4" borderId="2" xfId="0" applyFill="1" applyBorder="1" applyAlignment="1" applyProtection="1">
      <alignment horizontal="center" vertical="center"/>
      <protection locked="0"/>
    </xf>
    <xf numFmtId="0" fontId="0" fillId="5" borderId="2" xfId="0" applyFill="1" applyBorder="1" applyAlignment="1" applyProtection="1">
      <alignment horizontal="center" vertical="center"/>
      <protection locked="0"/>
    </xf>
    <xf numFmtId="0" fontId="18" fillId="4" borderId="2" xfId="0" applyFont="1" applyFill="1" applyBorder="1" applyAlignment="1" applyProtection="1">
      <alignment horizontal="center" vertical="center"/>
      <protection locked="0"/>
    </xf>
    <xf numFmtId="0" fontId="18" fillId="5" borderId="2" xfId="0" applyFont="1" applyFill="1" applyBorder="1" applyProtection="1">
      <protection locked="0"/>
    </xf>
    <xf numFmtId="38" fontId="20" fillId="5" borderId="2" xfId="0" applyNumberFormat="1" applyFont="1" applyFill="1" applyBorder="1" applyAlignment="1">
      <alignment horizontal="left" vertical="center"/>
    </xf>
    <xf numFmtId="38" fontId="20" fillId="5" borderId="2" xfId="0" applyNumberFormat="1" applyFont="1" applyFill="1" applyBorder="1" applyAlignment="1">
      <alignment horizontal="center" vertical="center"/>
    </xf>
    <xf numFmtId="38" fontId="12" fillId="3" borderId="2" xfId="0" applyNumberFormat="1" applyFont="1" applyFill="1" applyBorder="1" applyAlignment="1">
      <alignment horizontal="center" vertical="center"/>
    </xf>
    <xf numFmtId="38" fontId="18" fillId="4" borderId="2" xfId="0" applyNumberFormat="1" applyFont="1" applyFill="1" applyBorder="1" applyAlignment="1" applyProtection="1">
      <alignment horizontal="center" vertical="center"/>
      <protection locked="0"/>
    </xf>
    <xf numFmtId="38" fontId="17" fillId="6" borderId="2" xfId="0" applyNumberFormat="1" applyFont="1" applyFill="1" applyBorder="1" applyAlignment="1">
      <alignment horizontal="center" vertical="center"/>
    </xf>
    <xf numFmtId="38" fontId="4" fillId="6" borderId="2" xfId="1" applyNumberFormat="1" applyFont="1" applyFill="1" applyBorder="1" applyAlignment="1" applyProtection="1">
      <alignment horizontal="center" vertical="center"/>
    </xf>
    <xf numFmtId="38" fontId="4" fillId="6" borderId="2" xfId="2" applyNumberFormat="1" applyFont="1" applyFill="1" applyBorder="1" applyAlignment="1" applyProtection="1">
      <alignment horizontal="center" vertical="center"/>
    </xf>
    <xf numFmtId="38" fontId="4" fillId="6" borderId="2" xfId="0" applyNumberFormat="1" applyFont="1" applyFill="1" applyBorder="1" applyAlignment="1">
      <alignment horizontal="center" vertical="center" wrapText="1"/>
    </xf>
    <xf numFmtId="0" fontId="20" fillId="6" borderId="7" xfId="0" applyFont="1" applyFill="1" applyBorder="1" applyAlignment="1">
      <alignment vertical="center"/>
    </xf>
    <xf numFmtId="0" fontId="20" fillId="6" borderId="8" xfId="0" applyFont="1" applyFill="1" applyBorder="1" applyAlignment="1">
      <alignment vertical="center"/>
    </xf>
    <xf numFmtId="165" fontId="12" fillId="3" borderId="2" xfId="0" applyNumberFormat="1" applyFont="1" applyFill="1" applyBorder="1" applyAlignment="1">
      <alignment horizontal="center" vertical="center"/>
    </xf>
    <xf numFmtId="165" fontId="19" fillId="5" borderId="2" xfId="0" applyNumberFormat="1" applyFont="1" applyFill="1" applyBorder="1" applyAlignment="1">
      <alignment horizontal="center" vertical="center"/>
    </xf>
    <xf numFmtId="164" fontId="0" fillId="4" borderId="2" xfId="2" applyNumberFormat="1" applyFont="1" applyFill="1" applyBorder="1" applyAlignment="1" applyProtection="1">
      <alignment horizontal="center" vertical="center"/>
      <protection locked="0"/>
    </xf>
    <xf numFmtId="0" fontId="5" fillId="0" borderId="0" xfId="0" applyFont="1" applyAlignment="1">
      <alignment vertical="top" wrapText="1"/>
    </xf>
    <xf numFmtId="0" fontId="4" fillId="0" borderId="5" xfId="0" applyFont="1" applyBorder="1" applyAlignment="1">
      <alignment horizontal="left" vertical="center" wrapText="1" indent="1"/>
    </xf>
    <xf numFmtId="0" fontId="1" fillId="5" borderId="19" xfId="0" applyFont="1" applyFill="1" applyBorder="1" applyAlignment="1">
      <alignment horizontal="center" vertical="center" wrapText="1"/>
    </xf>
    <xf numFmtId="38" fontId="17" fillId="6" borderId="5" xfId="0" applyNumberFormat="1" applyFont="1" applyFill="1" applyBorder="1" applyAlignment="1">
      <alignment horizontal="center" vertical="center"/>
    </xf>
    <xf numFmtId="38" fontId="12" fillId="3" borderId="5" xfId="0" applyNumberFormat="1" applyFont="1" applyFill="1" applyBorder="1" applyAlignment="1">
      <alignment horizontal="center" vertical="center"/>
    </xf>
    <xf numFmtId="38" fontId="18" fillId="4" borderId="5" xfId="0" applyNumberFormat="1" applyFont="1" applyFill="1" applyBorder="1" applyAlignment="1" applyProtection="1">
      <alignment horizontal="center" vertical="center"/>
      <protection locked="0"/>
    </xf>
    <xf numFmtId="0" fontId="5" fillId="2" borderId="20" xfId="0" applyFont="1" applyFill="1" applyBorder="1" applyAlignment="1">
      <alignment vertical="top" wrapText="1"/>
    </xf>
    <xf numFmtId="0" fontId="5" fillId="5" borderId="20" xfId="0" applyFont="1" applyFill="1" applyBorder="1" applyAlignment="1">
      <alignment vertical="top" wrapText="1"/>
    </xf>
    <xf numFmtId="0" fontId="0" fillId="0" borderId="21" xfId="0" applyBorder="1" applyAlignment="1">
      <alignment horizontal="left" vertical="center"/>
    </xf>
    <xf numFmtId="0" fontId="4" fillId="0" borderId="22" xfId="0" applyFont="1" applyBorder="1" applyAlignment="1">
      <alignment horizontal="left" vertical="center" wrapText="1" indent="1"/>
    </xf>
    <xf numFmtId="0" fontId="4" fillId="5" borderId="22" xfId="0" applyFont="1" applyFill="1" applyBorder="1" applyAlignment="1">
      <alignment horizontal="center" vertical="center" wrapText="1"/>
    </xf>
    <xf numFmtId="0" fontId="10" fillId="6" borderId="22" xfId="0" applyFont="1" applyFill="1" applyBorder="1" applyAlignment="1">
      <alignment horizontal="center" vertical="center"/>
    </xf>
    <xf numFmtId="0" fontId="11" fillId="2" borderId="22" xfId="0" applyFont="1" applyFill="1" applyBorder="1" applyAlignment="1">
      <alignment horizontal="center" vertical="center"/>
    </xf>
    <xf numFmtId="1" fontId="0" fillId="6" borderId="22" xfId="0" applyNumberFormat="1" applyFill="1" applyBorder="1" applyAlignment="1">
      <alignment horizontal="center" vertical="center"/>
    </xf>
    <xf numFmtId="0" fontId="0" fillId="6" borderId="22" xfId="0" applyFill="1" applyBorder="1" applyAlignment="1">
      <alignment horizontal="center" vertical="center"/>
    </xf>
    <xf numFmtId="0" fontId="12" fillId="3" borderId="22" xfId="0" applyFont="1" applyFill="1" applyBorder="1" applyAlignment="1">
      <alignment horizontal="center" vertical="center"/>
    </xf>
    <xf numFmtId="0" fontId="0" fillId="4" borderId="22" xfId="0" applyFill="1" applyBorder="1" applyAlignment="1" applyProtection="1">
      <alignment horizontal="center" vertical="center"/>
      <protection locked="0"/>
    </xf>
    <xf numFmtId="0" fontId="18" fillId="4" borderId="22" xfId="0" applyFont="1" applyFill="1" applyBorder="1" applyAlignment="1" applyProtection="1">
      <alignment horizontal="center" vertical="center"/>
      <protection locked="0"/>
    </xf>
    <xf numFmtId="0" fontId="0" fillId="5" borderId="22" xfId="0" applyFill="1" applyBorder="1"/>
    <xf numFmtId="0" fontId="5" fillId="2" borderId="22" xfId="0" applyFont="1" applyFill="1" applyBorder="1" applyAlignment="1">
      <alignment vertical="top" wrapText="1"/>
    </xf>
    <xf numFmtId="0" fontId="5" fillId="2" borderId="23" xfId="0" applyFont="1" applyFill="1" applyBorder="1" applyAlignment="1">
      <alignment vertical="top" wrapText="1"/>
    </xf>
    <xf numFmtId="0" fontId="4" fillId="8" borderId="24" xfId="0" applyFont="1" applyFill="1" applyBorder="1" applyAlignment="1">
      <alignment vertical="center" wrapText="1"/>
    </xf>
    <xf numFmtId="165" fontId="18" fillId="4" borderId="20" xfId="0" applyNumberFormat="1" applyFont="1" applyFill="1" applyBorder="1" applyAlignment="1" applyProtection="1">
      <alignment horizontal="center" vertical="center"/>
      <protection locked="0"/>
    </xf>
    <xf numFmtId="0" fontId="4" fillId="8" borderId="25" xfId="0" applyFont="1" applyFill="1" applyBorder="1" applyAlignment="1">
      <alignment vertical="center" wrapText="1"/>
    </xf>
    <xf numFmtId="0" fontId="4" fillId="8" borderId="26" xfId="0" applyFont="1" applyFill="1" applyBorder="1" applyAlignment="1">
      <alignment vertical="center" wrapText="1"/>
    </xf>
    <xf numFmtId="0" fontId="20" fillId="6" borderId="9" xfId="0" applyFont="1" applyFill="1" applyBorder="1" applyAlignment="1">
      <alignment vertical="center"/>
    </xf>
    <xf numFmtId="38" fontId="19" fillId="5" borderId="20" xfId="0" applyNumberFormat="1" applyFont="1" applyFill="1" applyBorder="1" applyAlignment="1">
      <alignment horizontal="center" vertical="center"/>
    </xf>
    <xf numFmtId="38" fontId="20" fillId="6" borderId="22" xfId="0" applyNumberFormat="1" applyFont="1" applyFill="1" applyBorder="1" applyAlignment="1">
      <alignment horizontal="center" vertical="center"/>
    </xf>
    <xf numFmtId="165" fontId="12" fillId="3" borderId="22" xfId="0" applyNumberFormat="1" applyFont="1" applyFill="1" applyBorder="1" applyAlignment="1">
      <alignment horizontal="center" vertical="center"/>
    </xf>
    <xf numFmtId="9" fontId="0" fillId="4" borderId="22" xfId="2" applyFont="1" applyFill="1" applyBorder="1" applyAlignment="1" applyProtection="1">
      <alignment horizontal="center" vertical="center"/>
      <protection locked="0"/>
    </xf>
    <xf numFmtId="38" fontId="20" fillId="4" borderId="23" xfId="0" applyNumberFormat="1" applyFont="1" applyFill="1" applyBorder="1" applyAlignment="1">
      <alignment horizontal="center" vertical="center"/>
    </xf>
    <xf numFmtId="38" fontId="20" fillId="6" borderId="5" xfId="0" applyNumberFormat="1" applyFont="1" applyFill="1" applyBorder="1" applyAlignment="1">
      <alignment horizontal="center" vertical="center"/>
    </xf>
    <xf numFmtId="166" fontId="12" fillId="3" borderId="5" xfId="0" applyNumberFormat="1" applyFont="1" applyFill="1" applyBorder="1" applyAlignment="1">
      <alignment horizontal="center" vertical="center"/>
    </xf>
    <xf numFmtId="9" fontId="0" fillId="4" borderId="5" xfId="2" applyFont="1" applyFill="1" applyBorder="1" applyAlignment="1" applyProtection="1">
      <alignment horizontal="center" vertical="center"/>
      <protection locked="0"/>
    </xf>
    <xf numFmtId="0" fontId="18" fillId="4" borderId="5" xfId="0" applyFont="1" applyFill="1" applyBorder="1" applyAlignment="1" applyProtection="1">
      <alignment horizontal="center" vertical="center"/>
      <protection locked="0"/>
    </xf>
    <xf numFmtId="0" fontId="8" fillId="0" borderId="2" xfId="0" applyFont="1" applyBorder="1" applyAlignment="1">
      <alignment horizontal="left" vertical="center" wrapText="1"/>
    </xf>
    <xf numFmtId="0" fontId="21" fillId="0" borderId="0" xfId="0" applyFont="1" applyAlignment="1">
      <alignment horizontal="left" vertical="center"/>
    </xf>
    <xf numFmtId="0" fontId="23" fillId="0" borderId="0" xfId="0" applyFont="1" applyAlignment="1">
      <alignment vertical="center"/>
    </xf>
    <xf numFmtId="0" fontId="23" fillId="0" borderId="0" xfId="0" applyFont="1" applyAlignment="1">
      <alignment horizontal="center" vertical="center"/>
    </xf>
    <xf numFmtId="0" fontId="0" fillId="0" borderId="0" xfId="0" applyAlignment="1">
      <alignment horizontal="right" vertical="center"/>
    </xf>
    <xf numFmtId="0" fontId="22" fillId="0" borderId="0" xfId="0" applyFont="1" applyAlignment="1">
      <alignment vertical="center"/>
    </xf>
    <xf numFmtId="0" fontId="0" fillId="0" borderId="0" xfId="0" applyAlignment="1">
      <alignment vertical="center" wrapText="1"/>
    </xf>
    <xf numFmtId="0" fontId="0" fillId="7" borderId="1" xfId="0" applyFill="1" applyBorder="1" applyAlignment="1">
      <alignment horizontal="right" vertical="center"/>
    </xf>
    <xf numFmtId="38" fontId="0" fillId="6" borderId="2" xfId="0" applyNumberFormat="1" applyFill="1" applyBorder="1" applyAlignment="1">
      <alignment vertical="center"/>
    </xf>
    <xf numFmtId="38" fontId="0" fillId="3" borderId="2" xfId="0" applyNumberFormat="1" applyFill="1" applyBorder="1" applyAlignment="1">
      <alignment vertical="center"/>
    </xf>
    <xf numFmtId="38" fontId="0" fillId="4" borderId="20" xfId="0" applyNumberFormat="1" applyFill="1" applyBorder="1" applyAlignment="1">
      <alignment vertical="center"/>
    </xf>
    <xf numFmtId="0" fontId="0" fillId="7" borderId="21" xfId="0" applyFill="1" applyBorder="1" applyAlignment="1">
      <alignment horizontal="right" vertical="center"/>
    </xf>
    <xf numFmtId="38" fontId="0" fillId="6" borderId="22" xfId="0" applyNumberFormat="1" applyFill="1" applyBorder="1" applyAlignment="1">
      <alignment vertical="center"/>
    </xf>
    <xf numFmtId="38" fontId="0" fillId="3" borderId="22" xfId="0" applyNumberFormat="1" applyFill="1" applyBorder="1" applyAlignment="1">
      <alignment vertical="center"/>
    </xf>
    <xf numFmtId="38" fontId="0" fillId="4" borderId="23" xfId="0" applyNumberFormat="1" applyFill="1" applyBorder="1" applyAlignment="1">
      <alignment vertical="center"/>
    </xf>
    <xf numFmtId="0" fontId="1" fillId="5" borderId="2" xfId="0" applyFont="1" applyFill="1" applyBorder="1" applyAlignment="1">
      <alignment vertical="center"/>
    </xf>
    <xf numFmtId="17" fontId="11" fillId="2" borderId="2" xfId="0" applyNumberFormat="1" applyFont="1" applyFill="1" applyBorder="1" applyAlignment="1">
      <alignment horizontal="center" vertical="center"/>
    </xf>
    <xf numFmtId="0" fontId="0" fillId="2" borderId="2" xfId="0" applyFill="1" applyBorder="1" applyAlignment="1">
      <alignment vertical="center"/>
    </xf>
    <xf numFmtId="0" fontId="1" fillId="5"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64" fontId="20" fillId="6" borderId="6" xfId="2" applyNumberFormat="1" applyFont="1" applyFill="1" applyBorder="1" applyAlignment="1" applyProtection="1">
      <alignment horizontal="center" vertical="center"/>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8" xfId="0" applyFont="1" applyFill="1" applyBorder="1" applyAlignment="1">
      <alignment horizontal="center" vertical="center"/>
    </xf>
    <xf numFmtId="0" fontId="22" fillId="2" borderId="27" xfId="0" applyFont="1" applyFill="1" applyBorder="1" applyAlignment="1">
      <alignment horizontal="center" vertical="center"/>
    </xf>
    <xf numFmtId="0" fontId="22" fillId="2" borderId="32" xfId="0" applyFont="1" applyFill="1" applyBorder="1" applyAlignment="1">
      <alignment horizontal="center" vertical="center"/>
    </xf>
    <xf numFmtId="0" fontId="24" fillId="0" borderId="0" xfId="0" applyFont="1" applyAlignment="1">
      <alignment horizontal="center" vertical="center"/>
    </xf>
    <xf numFmtId="0" fontId="23" fillId="0" borderId="0" xfId="0" applyFont="1" applyAlignment="1">
      <alignment horizontal="center" vertical="center"/>
    </xf>
    <xf numFmtId="0" fontId="1" fillId="5" borderId="27" xfId="0" applyFont="1" applyFill="1" applyBorder="1" applyAlignment="1">
      <alignment horizontal="right" vertical="center" wrapText="1"/>
    </xf>
    <xf numFmtId="0" fontId="1" fillId="5" borderId="28" xfId="0" applyFont="1" applyFill="1" applyBorder="1" applyAlignment="1">
      <alignment horizontal="right" vertical="center" wrapText="1"/>
    </xf>
    <xf numFmtId="0" fontId="1" fillId="5" borderId="18" xfId="0" applyFont="1" applyFill="1" applyBorder="1" applyAlignment="1">
      <alignment horizontal="right" vertical="center" wrapText="1"/>
    </xf>
    <xf numFmtId="0" fontId="3" fillId="0" borderId="0" xfId="0" applyFont="1" applyAlignment="1">
      <alignment horizontal="center"/>
    </xf>
    <xf numFmtId="164" fontId="4" fillId="2" borderId="9" xfId="2" applyNumberFormat="1" applyFont="1" applyFill="1" applyBorder="1" applyAlignment="1" applyProtection="1">
      <alignment horizontal="center" vertical="center"/>
    </xf>
    <xf numFmtId="164" fontId="4" fillId="2" borderId="8" xfId="2" applyNumberFormat="1" applyFont="1" applyFill="1" applyBorder="1" applyAlignment="1" applyProtection="1">
      <alignment horizontal="center" vertical="center"/>
    </xf>
    <xf numFmtId="164" fontId="4" fillId="2" borderId="11" xfId="2" applyNumberFormat="1" applyFont="1" applyFill="1" applyBorder="1" applyAlignment="1" applyProtection="1">
      <alignment horizontal="center" vertical="center"/>
    </xf>
    <xf numFmtId="164" fontId="4" fillId="2" borderId="14" xfId="2" applyNumberFormat="1" applyFont="1" applyFill="1" applyBorder="1" applyAlignment="1" applyProtection="1">
      <alignment horizontal="center" vertical="center"/>
    </xf>
    <xf numFmtId="164" fontId="20" fillId="6" borderId="17" xfId="2" applyNumberFormat="1" applyFont="1" applyFill="1" applyBorder="1" applyAlignment="1" applyProtection="1">
      <alignment horizontal="center" vertical="center"/>
    </xf>
    <xf numFmtId="164" fontId="20" fillId="6" borderId="18" xfId="2" applyNumberFormat="1" applyFont="1" applyFill="1" applyBorder="1" applyAlignment="1" applyProtection="1">
      <alignment horizontal="center" vertical="center"/>
    </xf>
    <xf numFmtId="0" fontId="4" fillId="8" borderId="6" xfId="0" applyFont="1" applyFill="1" applyBorder="1" applyAlignment="1">
      <alignment horizontal="right" vertical="center" wrapText="1"/>
    </xf>
    <xf numFmtId="0" fontId="4" fillId="8" borderId="10" xfId="0" applyFont="1" applyFill="1" applyBorder="1" applyAlignment="1">
      <alignment horizontal="right" vertical="center" wrapText="1"/>
    </xf>
    <xf numFmtId="0" fontId="1" fillId="5" borderId="29" xfId="0" applyFont="1" applyFill="1" applyBorder="1" applyAlignment="1">
      <alignment horizontal="right" vertical="center" wrapText="1"/>
    </xf>
    <xf numFmtId="0" fontId="1" fillId="5" borderId="30" xfId="0" applyFont="1" applyFill="1" applyBorder="1" applyAlignment="1">
      <alignment horizontal="right" vertical="center" wrapText="1"/>
    </xf>
    <xf numFmtId="0" fontId="1" fillId="5" borderId="31" xfId="0" applyFont="1" applyFill="1" applyBorder="1" applyAlignment="1">
      <alignment horizontal="right" vertical="center" wrapText="1"/>
    </xf>
    <xf numFmtId="0" fontId="1" fillId="5" borderId="12"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12" xfId="0" applyFont="1" applyFill="1" applyBorder="1" applyAlignment="1">
      <alignment horizontal="right" vertical="center" wrapText="1"/>
    </xf>
    <xf numFmtId="0" fontId="1" fillId="5" borderId="15" xfId="0" applyFont="1" applyFill="1" applyBorder="1" applyAlignment="1">
      <alignment horizontal="right" vertical="center" wrapText="1"/>
    </xf>
    <xf numFmtId="0" fontId="1" fillId="5" borderId="16" xfId="0" applyFont="1" applyFill="1" applyBorder="1" applyAlignment="1">
      <alignment horizontal="right" vertical="center" wrapText="1"/>
    </xf>
  </cellXfs>
  <cellStyles count="3">
    <cellStyle name="Comma" xfId="1" builtinId="3"/>
    <cellStyle name="Normal" xfId="0" builtinId="0"/>
    <cellStyle name="Percent" xfId="2" builtinId="5"/>
  </cellStyles>
  <dxfs count="4">
    <dxf>
      <font>
        <color rgb="FF9C0006"/>
      </font>
      <fill>
        <patternFill>
          <bgColor rgb="FFFFC7CE"/>
        </patternFill>
      </fill>
    </dxf>
    <dxf>
      <font>
        <color rgb="FFFF0000"/>
      </font>
    </dxf>
    <dxf>
      <font>
        <color rgb="FF9C0006"/>
      </font>
      <fill>
        <patternFill>
          <bgColor rgb="FFFFC7CE"/>
        </patternFill>
      </fill>
    </dxf>
    <dxf>
      <font>
        <color rgb="FFFF0000"/>
      </font>
    </dxf>
  </dxfs>
  <tableStyles count="0" defaultTableStyle="TableStyleMedium2" defaultPivotStyle="PivotStyleMedium9"/>
  <colors>
    <mruColors>
      <color rgb="FFFFFFCC"/>
      <color rgb="FF3186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pageSetUpPr fitToPage="1"/>
  </sheetPr>
  <dimension ref="B2:J5"/>
  <sheetViews>
    <sheetView zoomScale="110" zoomScaleNormal="110" workbookViewId="0">
      <selection activeCell="B12" sqref="B12"/>
    </sheetView>
  </sheetViews>
  <sheetFormatPr defaultRowHeight="15" x14ac:dyDescent="0.25"/>
  <cols>
    <col min="2" max="2" width="80.140625" style="6" customWidth="1"/>
  </cols>
  <sheetData>
    <row r="2" spans="2:10" s="13" customFormat="1" x14ac:dyDescent="0.25">
      <c r="B2" s="110" t="s">
        <v>80</v>
      </c>
    </row>
    <row r="3" spans="2:10" s="10" customFormat="1" x14ac:dyDescent="0.25">
      <c r="B3" s="12" t="s">
        <v>85</v>
      </c>
      <c r="H3" s="5"/>
      <c r="I3" s="5"/>
      <c r="J3" s="5"/>
    </row>
    <row r="4" spans="2:10" x14ac:dyDescent="0.25">
      <c r="B4" s="12" t="s">
        <v>84</v>
      </c>
      <c r="C4" s="10"/>
      <c r="D4" s="10"/>
      <c r="E4" s="10"/>
      <c r="F4" s="10"/>
      <c r="G4" s="10"/>
      <c r="H4" s="5"/>
      <c r="I4" s="5"/>
      <c r="J4" s="5"/>
    </row>
    <row r="5" spans="2:10" ht="30" x14ac:dyDescent="0.25">
      <c r="B5" s="9" t="s">
        <v>131</v>
      </c>
    </row>
  </sheetData>
  <pageMargins left="0.7" right="0.7" top="0.75" bottom="0.75" header="0.3" footer="0.3"/>
  <pageSetup fitToHeight="0" orientation="landscape" verticalDpi="597"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7B6E6-6229-40B2-B0E3-16B2DFA1E8B5}">
  <sheetPr>
    <tabColor rgb="FF002060"/>
    <pageSetUpPr fitToPage="1"/>
  </sheetPr>
  <dimension ref="B2:D29"/>
  <sheetViews>
    <sheetView topLeftCell="A15" zoomScale="120" zoomScaleNormal="120" zoomScaleSheetLayoutView="91" workbookViewId="0">
      <selection activeCell="D28" sqref="D28"/>
    </sheetView>
  </sheetViews>
  <sheetFormatPr defaultRowHeight="15" x14ac:dyDescent="0.25"/>
  <cols>
    <col min="2" max="2" width="9.7109375" style="6" customWidth="1"/>
    <col min="3" max="3" width="19.5703125" style="115" customWidth="1"/>
    <col min="4" max="4" width="129.5703125" bestFit="1" customWidth="1"/>
  </cols>
  <sheetData>
    <row r="2" spans="2:4" x14ac:dyDescent="0.25">
      <c r="B2" s="117" t="s">
        <v>86</v>
      </c>
      <c r="C2" s="118"/>
      <c r="D2" s="119"/>
    </row>
    <row r="3" spans="2:4" s="13" customFormat="1" x14ac:dyDescent="0.25">
      <c r="B3" s="14" t="s">
        <v>9</v>
      </c>
      <c r="C3" s="113" t="s">
        <v>81</v>
      </c>
      <c r="D3" s="14" t="s">
        <v>10</v>
      </c>
    </row>
    <row r="4" spans="2:4" s="10" customFormat="1" ht="21.75" customHeight="1" x14ac:dyDescent="0.25">
      <c r="B4" s="8" t="s">
        <v>11</v>
      </c>
      <c r="C4" s="114" t="s">
        <v>134</v>
      </c>
      <c r="D4" s="12" t="s">
        <v>105</v>
      </c>
    </row>
    <row r="5" spans="2:4" s="10" customFormat="1" x14ac:dyDescent="0.25">
      <c r="B5" s="8" t="s">
        <v>12</v>
      </c>
      <c r="C5" s="114" t="s">
        <v>0</v>
      </c>
      <c r="D5" s="12" t="s">
        <v>135</v>
      </c>
    </row>
    <row r="6" spans="2:4" s="10" customFormat="1" x14ac:dyDescent="0.25">
      <c r="B6" s="8" t="s">
        <v>13</v>
      </c>
      <c r="C6" s="114" t="s">
        <v>36</v>
      </c>
      <c r="D6" s="12" t="s">
        <v>106</v>
      </c>
    </row>
    <row r="7" spans="2:4" s="10" customFormat="1" x14ac:dyDescent="0.25">
      <c r="B7" s="8" t="s">
        <v>14</v>
      </c>
      <c r="C7" s="114" t="s">
        <v>32</v>
      </c>
      <c r="D7" s="12" t="s">
        <v>83</v>
      </c>
    </row>
    <row r="8" spans="2:4" s="10" customFormat="1" x14ac:dyDescent="0.25">
      <c r="B8" s="8" t="s">
        <v>15</v>
      </c>
      <c r="C8" s="114" t="s">
        <v>47</v>
      </c>
      <c r="D8" s="112" t="s">
        <v>96</v>
      </c>
    </row>
    <row r="9" spans="2:4" ht="60" x14ac:dyDescent="0.25">
      <c r="B9" s="8" t="s">
        <v>16</v>
      </c>
      <c r="C9" s="114" t="s">
        <v>1</v>
      </c>
      <c r="D9" s="9" t="s">
        <v>97</v>
      </c>
    </row>
    <row r="10" spans="2:4" ht="32.1" customHeight="1" x14ac:dyDescent="0.25">
      <c r="B10" s="8" t="s">
        <v>17</v>
      </c>
      <c r="C10" s="114" t="s">
        <v>2</v>
      </c>
      <c r="D10" s="11" t="s">
        <v>136</v>
      </c>
    </row>
    <row r="11" spans="2:4" x14ac:dyDescent="0.25">
      <c r="B11" s="8" t="s">
        <v>18</v>
      </c>
      <c r="C11" s="114" t="s">
        <v>3</v>
      </c>
      <c r="D11" s="24" t="s">
        <v>87</v>
      </c>
    </row>
    <row r="12" spans="2:4" ht="30" x14ac:dyDescent="0.25">
      <c r="B12" s="8" t="s">
        <v>19</v>
      </c>
      <c r="C12" s="114" t="s">
        <v>50</v>
      </c>
      <c r="D12" s="9" t="s">
        <v>137</v>
      </c>
    </row>
    <row r="13" spans="2:4" ht="48" customHeight="1" x14ac:dyDescent="0.25">
      <c r="B13" s="8" t="s">
        <v>20</v>
      </c>
      <c r="C13" s="114" t="s">
        <v>88</v>
      </c>
      <c r="D13" s="9" t="s">
        <v>138</v>
      </c>
    </row>
    <row r="14" spans="2:4" ht="45" x14ac:dyDescent="0.25">
      <c r="B14" s="8" t="s">
        <v>89</v>
      </c>
      <c r="C14" s="114" t="s">
        <v>64</v>
      </c>
      <c r="D14" s="9" t="s">
        <v>139</v>
      </c>
    </row>
    <row r="15" spans="2:4" ht="48" customHeight="1" x14ac:dyDescent="0.25">
      <c r="B15" s="8" t="s">
        <v>90</v>
      </c>
      <c r="C15" s="114" t="s">
        <v>48</v>
      </c>
      <c r="D15" s="9" t="s">
        <v>140</v>
      </c>
    </row>
    <row r="16" spans="2:4" x14ac:dyDescent="0.25">
      <c r="B16" s="8" t="s">
        <v>20</v>
      </c>
      <c r="C16" s="114"/>
      <c r="D16" s="9" t="s">
        <v>21</v>
      </c>
    </row>
    <row r="17" spans="2:4" ht="32.1" customHeight="1" x14ac:dyDescent="0.25">
      <c r="B17" s="8" t="s">
        <v>91</v>
      </c>
      <c r="C17" s="114"/>
      <c r="D17" s="7" t="s">
        <v>141</v>
      </c>
    </row>
    <row r="19" spans="2:4" x14ac:dyDescent="0.25">
      <c r="B19" s="117" t="s">
        <v>92</v>
      </c>
      <c r="C19" s="118"/>
      <c r="D19" s="119"/>
    </row>
    <row r="20" spans="2:4" x14ac:dyDescent="0.25">
      <c r="B20" s="14" t="s">
        <v>9</v>
      </c>
      <c r="C20" s="113" t="s">
        <v>81</v>
      </c>
      <c r="D20" s="14" t="s">
        <v>10</v>
      </c>
    </row>
    <row r="21" spans="2:4" x14ac:dyDescent="0.25">
      <c r="B21" s="8" t="s">
        <v>11</v>
      </c>
      <c r="C21" s="114" t="s">
        <v>134</v>
      </c>
      <c r="D21" s="12" t="s">
        <v>105</v>
      </c>
    </row>
    <row r="22" spans="2:4" ht="30" x14ac:dyDescent="0.25">
      <c r="B22" s="8" t="s">
        <v>93</v>
      </c>
      <c r="C22" s="114" t="s">
        <v>94</v>
      </c>
      <c r="D22" s="12" t="s">
        <v>82</v>
      </c>
    </row>
    <row r="23" spans="2:4" ht="30" x14ac:dyDescent="0.25">
      <c r="B23" s="8" t="s">
        <v>100</v>
      </c>
      <c r="C23" s="114" t="s">
        <v>95</v>
      </c>
      <c r="D23" s="112" t="s">
        <v>99</v>
      </c>
    </row>
    <row r="24" spans="2:4" ht="30" x14ac:dyDescent="0.25">
      <c r="B24" s="8" t="s">
        <v>16</v>
      </c>
      <c r="C24" s="114" t="s">
        <v>60</v>
      </c>
      <c r="D24" s="12" t="s">
        <v>102</v>
      </c>
    </row>
    <row r="25" spans="2:4" x14ac:dyDescent="0.25">
      <c r="B25" s="8" t="s">
        <v>101</v>
      </c>
      <c r="C25" s="114"/>
      <c r="D25" s="9" t="s">
        <v>21</v>
      </c>
    </row>
    <row r="26" spans="2:4" ht="30" x14ac:dyDescent="0.25">
      <c r="B26" s="8" t="s">
        <v>19</v>
      </c>
      <c r="C26" s="114" t="s">
        <v>50</v>
      </c>
      <c r="D26" s="9" t="s">
        <v>98</v>
      </c>
    </row>
    <row r="27" spans="2:4" ht="48" customHeight="1" x14ac:dyDescent="0.25">
      <c r="B27" s="8" t="s">
        <v>20</v>
      </c>
      <c r="C27" s="114" t="s">
        <v>88</v>
      </c>
      <c r="D27" s="9" t="s">
        <v>103</v>
      </c>
    </row>
    <row r="28" spans="2:4" ht="30" x14ac:dyDescent="0.25">
      <c r="B28" s="8" t="s">
        <v>89</v>
      </c>
      <c r="C28" s="114" t="s">
        <v>104</v>
      </c>
      <c r="D28" s="9" t="s">
        <v>142</v>
      </c>
    </row>
    <row r="29" spans="2:4" ht="48" customHeight="1" x14ac:dyDescent="0.25">
      <c r="B29" s="8" t="s">
        <v>90</v>
      </c>
      <c r="C29" s="114" t="s">
        <v>48</v>
      </c>
      <c r="D29" s="9" t="s">
        <v>143</v>
      </c>
    </row>
  </sheetData>
  <mergeCells count="2">
    <mergeCell ref="B2:D2"/>
    <mergeCell ref="B19:D19"/>
  </mergeCells>
  <pageMargins left="0.7" right="0.7" top="0.75" bottom="0.75" header="0.3" footer="0.3"/>
  <pageSetup scale="72" fitToHeight="0" orientation="landscape" verticalDpi="597"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CA602-E14A-4623-8494-158F49829C9E}">
  <sheetPr>
    <tabColor rgb="FF002060"/>
  </sheetPr>
  <dimension ref="A1:K12"/>
  <sheetViews>
    <sheetView workbookViewId="0">
      <selection activeCell="A7" sqref="A7:J9"/>
    </sheetView>
  </sheetViews>
  <sheetFormatPr defaultColWidth="8.7109375" defaultRowHeight="15" x14ac:dyDescent="0.25"/>
  <cols>
    <col min="1" max="1" width="8.7109375" style="10"/>
    <col min="2" max="2" width="17.140625" style="10" customWidth="1"/>
    <col min="3" max="5" width="23.42578125" style="10" customWidth="1"/>
    <col min="6" max="16384" width="8.7109375" style="10"/>
  </cols>
  <sheetData>
    <row r="1" spans="1:11" ht="18.75" x14ac:dyDescent="0.25">
      <c r="A1" s="122" t="s">
        <v>79</v>
      </c>
      <c r="B1" s="122"/>
      <c r="C1" s="122"/>
      <c r="D1" s="122"/>
      <c r="E1" s="122"/>
      <c r="F1" s="97"/>
      <c r="G1" s="97"/>
      <c r="H1" s="97"/>
      <c r="I1" s="97"/>
      <c r="J1" s="97"/>
    </row>
    <row r="2" spans="1:11" ht="18.75" x14ac:dyDescent="0.25">
      <c r="A2" s="123" t="s">
        <v>132</v>
      </c>
      <c r="B2" s="123"/>
      <c r="C2" s="123"/>
      <c r="D2" s="123"/>
      <c r="E2" s="123"/>
      <c r="F2" s="98"/>
      <c r="G2" s="98"/>
      <c r="H2" s="98"/>
      <c r="I2" s="98"/>
      <c r="J2" s="98"/>
    </row>
    <row r="3" spans="1:11" ht="14.45" customHeight="1" x14ac:dyDescent="0.25">
      <c r="A3" s="5"/>
      <c r="C3" s="99"/>
      <c r="D3" s="99"/>
      <c r="E3" s="99"/>
      <c r="F3" s="99"/>
      <c r="G3" s="99"/>
      <c r="H3" s="99"/>
      <c r="I3" s="99"/>
      <c r="J3" s="99"/>
    </row>
    <row r="4" spans="1:11" ht="14.45" customHeight="1" x14ac:dyDescent="0.25">
      <c r="A4" s="5" t="s">
        <v>77</v>
      </c>
      <c r="C4" s="99"/>
      <c r="D4" s="99"/>
      <c r="E4" s="99"/>
      <c r="F4" s="99"/>
      <c r="G4" s="99"/>
      <c r="H4" s="99"/>
      <c r="I4" s="99"/>
      <c r="J4" s="99"/>
    </row>
    <row r="5" spans="1:11" ht="14.45" customHeight="1" thickBot="1" x14ac:dyDescent="0.3">
      <c r="A5" s="5"/>
      <c r="C5" s="99"/>
      <c r="D5" s="99"/>
      <c r="E5" s="99"/>
      <c r="F5" s="99"/>
      <c r="G5" s="99"/>
      <c r="H5" s="99"/>
      <c r="I5" s="99"/>
      <c r="J5" s="99"/>
    </row>
    <row r="6" spans="1:11" ht="14.45" customHeight="1" thickBot="1" x14ac:dyDescent="0.3">
      <c r="A6" s="96" t="s">
        <v>68</v>
      </c>
      <c r="B6" s="100"/>
      <c r="C6" s="25"/>
      <c r="D6" s="120"/>
      <c r="E6" s="121"/>
      <c r="F6" s="99"/>
      <c r="G6" s="99"/>
      <c r="H6" s="5"/>
      <c r="I6" s="5"/>
      <c r="J6" s="5"/>
      <c r="K6" s="5"/>
    </row>
    <row r="7" spans="1:11" ht="14.45" customHeight="1" thickBot="1" x14ac:dyDescent="0.3"/>
    <row r="8" spans="1:11" s="101" customFormat="1" x14ac:dyDescent="0.25">
      <c r="B8" s="28" t="s">
        <v>78</v>
      </c>
      <c r="C8" s="29" t="s">
        <v>73</v>
      </c>
      <c r="D8" s="29" t="s">
        <v>69</v>
      </c>
      <c r="E8" s="62" t="s">
        <v>48</v>
      </c>
    </row>
    <row r="9" spans="1:11" x14ac:dyDescent="0.25">
      <c r="B9" s="102" t="s">
        <v>22</v>
      </c>
      <c r="C9" s="103">
        <f>General!J35</f>
        <v>12725</v>
      </c>
      <c r="D9" s="104">
        <f>General!K35</f>
        <v>-250</v>
      </c>
      <c r="E9" s="105">
        <f>General!M35</f>
        <v>-250</v>
      </c>
    </row>
    <row r="10" spans="1:11" x14ac:dyDescent="0.25">
      <c r="B10" s="102" t="s">
        <v>70</v>
      </c>
      <c r="C10" s="103">
        <f>Education!J16</f>
        <v>10500</v>
      </c>
      <c r="D10" s="104">
        <f>Education!K16</f>
        <v>0</v>
      </c>
      <c r="E10" s="105">
        <f>Education!M16</f>
        <v>0</v>
      </c>
    </row>
    <row r="11" spans="1:11" x14ac:dyDescent="0.25">
      <c r="B11" s="102" t="s">
        <v>71</v>
      </c>
      <c r="C11" s="103">
        <f>Exercise!J8</f>
        <v>3650</v>
      </c>
      <c r="D11" s="104">
        <f>Exercise!K8</f>
        <v>0</v>
      </c>
      <c r="E11" s="105">
        <f>Exercise!M8</f>
        <v>0</v>
      </c>
    </row>
    <row r="12" spans="1:11" ht="15.75" thickBot="1" x14ac:dyDescent="0.3">
      <c r="B12" s="106" t="s">
        <v>72</v>
      </c>
      <c r="C12" s="107">
        <f>Intelligence!J10</f>
        <v>5500</v>
      </c>
      <c r="D12" s="108">
        <f>Intelligence!K10</f>
        <v>0</v>
      </c>
      <c r="E12" s="109">
        <f>Intelligence!M10</f>
        <v>0</v>
      </c>
    </row>
  </sheetData>
  <mergeCells count="3">
    <mergeCell ref="D6:E6"/>
    <mergeCell ref="A1:E1"/>
    <mergeCell ref="A2:E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4862-845E-42D5-97AF-F5B8531CA394}">
  <sheetPr>
    <tabColor rgb="FF002060"/>
    <pageSetUpPr fitToPage="1"/>
  </sheetPr>
  <dimension ref="A1:S35"/>
  <sheetViews>
    <sheetView zoomScale="115" zoomScaleNormal="115" workbookViewId="0">
      <pane ySplit="2" topLeftCell="A10" activePane="bottomLeft" state="frozen"/>
      <selection pane="bottomLeft" activeCell="C10" sqref="C10"/>
    </sheetView>
  </sheetViews>
  <sheetFormatPr defaultRowHeight="15" x14ac:dyDescent="0.25"/>
  <cols>
    <col min="1" max="1" width="3.85546875" style="5" customWidth="1"/>
    <col min="2" max="2" width="17.7109375" customWidth="1"/>
    <col min="3" max="3" width="75.7109375" style="1" customWidth="1"/>
    <col min="4" max="4" width="9.5703125" style="30" customWidth="1"/>
    <col min="5" max="6" width="11.85546875" style="30" customWidth="1"/>
    <col min="7" max="7" width="10.28515625" customWidth="1"/>
    <col min="10" max="10" width="12.85546875" bestFit="1" customWidth="1"/>
    <col min="11" max="11" width="12.28515625" bestFit="1" customWidth="1"/>
    <col min="12" max="12" width="13" style="6" customWidth="1"/>
    <col min="13" max="13" width="12.5703125" customWidth="1"/>
    <col min="14" max="14" width="2" customWidth="1"/>
    <col min="15" max="19" width="10.7109375" customWidth="1"/>
  </cols>
  <sheetData>
    <row r="1" spans="2:19" ht="26.1" customHeight="1" thickBot="1" x14ac:dyDescent="0.3">
      <c r="J1" s="3"/>
      <c r="K1" s="3"/>
      <c r="O1" s="127"/>
      <c r="P1" s="127"/>
      <c r="Q1" s="127"/>
      <c r="R1" s="127"/>
      <c r="S1" s="127"/>
    </row>
    <row r="2" spans="2:19" ht="40.5" customHeight="1" x14ac:dyDescent="0.25">
      <c r="B2" s="28" t="s">
        <v>134</v>
      </c>
      <c r="C2" s="29" t="s">
        <v>0</v>
      </c>
      <c r="D2" s="29" t="s">
        <v>36</v>
      </c>
      <c r="E2" s="29" t="s">
        <v>32</v>
      </c>
      <c r="F2" s="29" t="s">
        <v>47</v>
      </c>
      <c r="G2" s="29" t="s">
        <v>1</v>
      </c>
      <c r="H2" s="29" t="s">
        <v>2</v>
      </c>
      <c r="I2" s="29" t="s">
        <v>3</v>
      </c>
      <c r="J2" s="29" t="s">
        <v>50</v>
      </c>
      <c r="K2" s="29" t="s">
        <v>61</v>
      </c>
      <c r="L2" s="29" t="s">
        <v>64</v>
      </c>
      <c r="M2" s="29" t="s">
        <v>48</v>
      </c>
      <c r="N2" s="2"/>
      <c r="O2" s="29" t="s">
        <v>4</v>
      </c>
      <c r="P2" s="29" t="s">
        <v>5</v>
      </c>
      <c r="Q2" s="29" t="s">
        <v>6</v>
      </c>
      <c r="R2" s="29" t="s">
        <v>7</v>
      </c>
      <c r="S2" s="62" t="s">
        <v>8</v>
      </c>
    </row>
    <row r="3" spans="2:19" ht="21" x14ac:dyDescent="0.25">
      <c r="B3" s="16" t="s">
        <v>41</v>
      </c>
      <c r="C3" s="19" t="s">
        <v>31</v>
      </c>
      <c r="D3" s="31">
        <v>1</v>
      </c>
      <c r="E3" s="31" t="s">
        <v>33</v>
      </c>
      <c r="F3" s="33"/>
      <c r="G3" s="36">
        <v>50</v>
      </c>
      <c r="H3" s="22"/>
      <c r="I3" s="17">
        <v>10</v>
      </c>
      <c r="J3" s="4">
        <f>G3*I3</f>
        <v>500</v>
      </c>
      <c r="K3" s="23">
        <f>H3*I3</f>
        <v>0</v>
      </c>
      <c r="L3" s="43"/>
      <c r="M3" s="45">
        <f>L3*I3</f>
        <v>0</v>
      </c>
      <c r="N3" s="18"/>
      <c r="O3" s="15"/>
      <c r="P3" s="15"/>
      <c r="Q3" s="15"/>
      <c r="R3" s="15"/>
      <c r="S3" s="66"/>
    </row>
    <row r="4" spans="2:19" ht="21" x14ac:dyDescent="0.35">
      <c r="B4" s="16" t="s">
        <v>29</v>
      </c>
      <c r="C4" s="20" t="s">
        <v>30</v>
      </c>
      <c r="D4" s="31" t="s">
        <v>37</v>
      </c>
      <c r="E4" s="31" t="s">
        <v>34</v>
      </c>
      <c r="F4" s="33"/>
      <c r="G4" s="39"/>
      <c r="H4" s="40"/>
      <c r="I4" s="37"/>
      <c r="J4" s="38"/>
      <c r="K4" s="41"/>
      <c r="L4" s="44"/>
      <c r="M4" s="46"/>
      <c r="N4" s="18"/>
      <c r="O4" s="42"/>
      <c r="P4" s="42"/>
      <c r="Q4" s="42"/>
      <c r="R4" s="42"/>
      <c r="S4" s="67"/>
    </row>
    <row r="5" spans="2:19" ht="30" x14ac:dyDescent="0.25">
      <c r="B5" s="16"/>
      <c r="C5" s="27" t="s">
        <v>44</v>
      </c>
      <c r="D5" s="33"/>
      <c r="E5" s="33"/>
      <c r="F5" s="33"/>
      <c r="G5" s="21">
        <v>25</v>
      </c>
      <c r="H5" s="22"/>
      <c r="I5" s="17">
        <v>5</v>
      </c>
      <c r="J5" s="4">
        <f t="shared" ref="J5:J10" si="0">G5*I5</f>
        <v>125</v>
      </c>
      <c r="K5" s="23">
        <f>H5*I5</f>
        <v>0</v>
      </c>
      <c r="L5" s="43"/>
      <c r="M5" s="45">
        <f t="shared" ref="M5:M23" si="1">L5*I5</f>
        <v>0</v>
      </c>
      <c r="N5" s="18"/>
      <c r="O5" s="15"/>
      <c r="P5" s="15"/>
      <c r="Q5" s="15"/>
      <c r="R5" s="15"/>
      <c r="S5" s="66"/>
    </row>
    <row r="6" spans="2:19" ht="30" x14ac:dyDescent="0.25">
      <c r="B6" s="16"/>
      <c r="C6" s="27" t="s">
        <v>45</v>
      </c>
      <c r="D6" s="33"/>
      <c r="E6" s="33"/>
      <c r="F6" s="33"/>
      <c r="G6" s="21">
        <v>25</v>
      </c>
      <c r="H6" s="22"/>
      <c r="I6" s="17">
        <v>10</v>
      </c>
      <c r="J6" s="4">
        <f t="shared" si="0"/>
        <v>250</v>
      </c>
      <c r="K6" s="23">
        <f>H6*I6</f>
        <v>0</v>
      </c>
      <c r="L6" s="43"/>
      <c r="M6" s="45">
        <f t="shared" si="1"/>
        <v>0</v>
      </c>
      <c r="N6" s="18"/>
      <c r="O6" s="15"/>
      <c r="P6" s="15"/>
      <c r="Q6" s="15"/>
      <c r="R6" s="15"/>
      <c r="S6" s="66"/>
    </row>
    <row r="7" spans="2:19" ht="21" x14ac:dyDescent="0.25">
      <c r="B7" s="16"/>
      <c r="C7" s="27" t="s">
        <v>46</v>
      </c>
      <c r="D7" s="33"/>
      <c r="E7" s="33"/>
      <c r="F7" s="33"/>
      <c r="G7" s="21">
        <v>25</v>
      </c>
      <c r="H7" s="22"/>
      <c r="I7" s="17">
        <v>30</v>
      </c>
      <c r="J7" s="4">
        <f t="shared" si="0"/>
        <v>750</v>
      </c>
      <c r="K7" s="23">
        <f>H7*I7</f>
        <v>0</v>
      </c>
      <c r="L7" s="43"/>
      <c r="M7" s="45">
        <f t="shared" si="1"/>
        <v>0</v>
      </c>
      <c r="N7" s="18"/>
      <c r="O7" s="15"/>
      <c r="P7" s="15"/>
      <c r="Q7" s="15"/>
      <c r="R7" s="15"/>
      <c r="S7" s="66"/>
    </row>
    <row r="8" spans="2:19" ht="45" x14ac:dyDescent="0.25">
      <c r="B8" s="16" t="s">
        <v>39</v>
      </c>
      <c r="C8" s="95" t="s">
        <v>67</v>
      </c>
      <c r="D8" s="32">
        <v>1</v>
      </c>
      <c r="E8" s="32" t="s">
        <v>33</v>
      </c>
      <c r="F8" s="34"/>
      <c r="G8" s="21">
        <v>100</v>
      </c>
      <c r="H8" s="22"/>
      <c r="I8" s="17">
        <v>1</v>
      </c>
      <c r="J8" s="4">
        <f t="shared" si="0"/>
        <v>100</v>
      </c>
      <c r="K8" s="23">
        <f>IF(H8&lt;0.75,0,IF(H8&lt;0.85,75,100))</f>
        <v>0</v>
      </c>
      <c r="L8" s="43"/>
      <c r="M8" s="45">
        <f>IF(L8&lt;0.75,0,IF(L8&lt;0.85,75,100))</f>
        <v>0</v>
      </c>
      <c r="N8" s="18"/>
      <c r="O8" s="15"/>
      <c r="P8" s="15"/>
      <c r="Q8" s="15"/>
      <c r="R8" s="15"/>
      <c r="S8" s="66"/>
    </row>
    <row r="9" spans="2:19" ht="30" x14ac:dyDescent="0.25">
      <c r="B9" s="16" t="s">
        <v>42</v>
      </c>
      <c r="C9" s="19" t="s">
        <v>38</v>
      </c>
      <c r="D9" s="31">
        <v>1</v>
      </c>
      <c r="E9" s="31" t="s">
        <v>35</v>
      </c>
      <c r="F9" s="111"/>
      <c r="G9" s="21">
        <v>100</v>
      </c>
      <c r="H9" s="22"/>
      <c r="I9" s="17">
        <v>5</v>
      </c>
      <c r="J9" s="4">
        <f t="shared" si="0"/>
        <v>500</v>
      </c>
      <c r="K9" s="23">
        <f>H9*I9</f>
        <v>0</v>
      </c>
      <c r="L9" s="43"/>
      <c r="M9" s="45">
        <f t="shared" si="1"/>
        <v>0</v>
      </c>
      <c r="N9" s="18"/>
      <c r="O9" s="15"/>
      <c r="P9" s="15"/>
      <c r="Q9" s="15"/>
      <c r="R9" s="15"/>
      <c r="S9" s="66"/>
    </row>
    <row r="10" spans="2:19" ht="408.95" customHeight="1" x14ac:dyDescent="0.25">
      <c r="B10" s="16" t="s">
        <v>40</v>
      </c>
      <c r="C10" s="19" t="s">
        <v>148</v>
      </c>
      <c r="D10" s="31" t="s">
        <v>37</v>
      </c>
      <c r="E10" s="31" t="s">
        <v>34</v>
      </c>
      <c r="F10" s="33"/>
      <c r="G10" s="21">
        <v>75</v>
      </c>
      <c r="H10" s="22"/>
      <c r="I10" s="17">
        <v>20</v>
      </c>
      <c r="J10" s="4">
        <f t="shared" si="0"/>
        <v>1500</v>
      </c>
      <c r="K10" s="23">
        <f>H10*I10</f>
        <v>0</v>
      </c>
      <c r="L10" s="43"/>
      <c r="M10" s="45">
        <f t="shared" si="1"/>
        <v>0</v>
      </c>
      <c r="N10" s="18"/>
      <c r="O10" s="15"/>
      <c r="P10" s="15"/>
      <c r="Q10" s="15"/>
      <c r="R10" s="15"/>
      <c r="S10" s="66"/>
    </row>
    <row r="11" spans="2:19" ht="21" x14ac:dyDescent="0.35">
      <c r="B11" s="16" t="s">
        <v>43</v>
      </c>
      <c r="C11" s="20" t="s">
        <v>23</v>
      </c>
      <c r="D11" s="31" t="s">
        <v>37</v>
      </c>
      <c r="E11" s="31" t="s">
        <v>34</v>
      </c>
      <c r="F11" s="35"/>
      <c r="G11" s="39"/>
      <c r="H11" s="40"/>
      <c r="I11" s="37"/>
      <c r="J11" s="38"/>
      <c r="K11" s="41"/>
      <c r="L11" s="44"/>
      <c r="M11" s="46"/>
      <c r="N11" s="18"/>
      <c r="O11" s="42"/>
      <c r="P11" s="42"/>
      <c r="Q11" s="42"/>
      <c r="R11" s="42"/>
      <c r="S11" s="67"/>
    </row>
    <row r="12" spans="2:19" ht="30" x14ac:dyDescent="0.25">
      <c r="B12" s="16"/>
      <c r="C12" s="27" t="s">
        <v>107</v>
      </c>
      <c r="D12" s="33"/>
      <c r="E12" s="33"/>
      <c r="F12" s="33"/>
      <c r="G12" s="21">
        <v>5</v>
      </c>
      <c r="H12" s="22"/>
      <c r="I12" s="17">
        <v>100</v>
      </c>
      <c r="J12" s="4">
        <f t="shared" ref="J12:J23" si="2">G12*I12</f>
        <v>500</v>
      </c>
      <c r="K12" s="23">
        <f t="shared" ref="K12:K23" si="3">H12*I12</f>
        <v>0</v>
      </c>
      <c r="L12" s="43"/>
      <c r="M12" s="45">
        <f t="shared" si="1"/>
        <v>0</v>
      </c>
      <c r="N12" s="18"/>
      <c r="O12" s="15"/>
      <c r="P12" s="15"/>
      <c r="Q12" s="15"/>
      <c r="R12" s="15"/>
      <c r="S12" s="66"/>
    </row>
    <row r="13" spans="2:19" ht="30" x14ac:dyDescent="0.25">
      <c r="B13" s="16"/>
      <c r="C13" s="27" t="s">
        <v>108</v>
      </c>
      <c r="D13" s="33"/>
      <c r="E13" s="33"/>
      <c r="F13" s="33"/>
      <c r="G13" s="21">
        <v>5</v>
      </c>
      <c r="H13" s="22"/>
      <c r="I13" s="17">
        <v>200</v>
      </c>
      <c r="J13" s="4">
        <f t="shared" si="2"/>
        <v>1000</v>
      </c>
      <c r="K13" s="23">
        <f t="shared" si="3"/>
        <v>0</v>
      </c>
      <c r="L13" s="43"/>
      <c r="M13" s="45">
        <f t="shared" si="1"/>
        <v>0</v>
      </c>
      <c r="N13" s="18"/>
      <c r="O13" s="15"/>
      <c r="P13" s="15"/>
      <c r="Q13" s="15"/>
      <c r="R13" s="15"/>
      <c r="S13" s="66"/>
    </row>
    <row r="14" spans="2:19" ht="30" x14ac:dyDescent="0.25">
      <c r="B14" s="16"/>
      <c r="C14" s="27" t="s">
        <v>109</v>
      </c>
      <c r="D14" s="33"/>
      <c r="E14" s="33"/>
      <c r="F14" s="33"/>
      <c r="G14" s="21">
        <v>5</v>
      </c>
      <c r="H14" s="22"/>
      <c r="I14" s="17">
        <v>100</v>
      </c>
      <c r="J14" s="4">
        <f t="shared" si="2"/>
        <v>500</v>
      </c>
      <c r="K14" s="23">
        <f t="shared" si="3"/>
        <v>0</v>
      </c>
      <c r="L14" s="43"/>
      <c r="M14" s="45">
        <f t="shared" si="1"/>
        <v>0</v>
      </c>
      <c r="N14" s="18"/>
      <c r="O14" s="15"/>
      <c r="P14" s="15"/>
      <c r="Q14" s="15"/>
      <c r="R14" s="15"/>
      <c r="S14" s="66"/>
    </row>
    <row r="15" spans="2:19" ht="30" x14ac:dyDescent="0.25">
      <c r="B15" s="16"/>
      <c r="C15" s="27" t="s">
        <v>110</v>
      </c>
      <c r="D15" s="33"/>
      <c r="E15" s="33"/>
      <c r="F15" s="33"/>
      <c r="G15" s="21">
        <v>5</v>
      </c>
      <c r="H15" s="22"/>
      <c r="I15" s="17">
        <v>200</v>
      </c>
      <c r="J15" s="4">
        <f t="shared" si="2"/>
        <v>1000</v>
      </c>
      <c r="K15" s="23">
        <f t="shared" si="3"/>
        <v>0</v>
      </c>
      <c r="L15" s="43"/>
      <c r="M15" s="45">
        <f t="shared" si="1"/>
        <v>0</v>
      </c>
      <c r="N15" s="18"/>
      <c r="O15" s="15"/>
      <c r="P15" s="15"/>
      <c r="Q15" s="15"/>
      <c r="R15" s="15"/>
      <c r="S15" s="66"/>
    </row>
    <row r="16" spans="2:19" ht="30" x14ac:dyDescent="0.25">
      <c r="B16" s="16"/>
      <c r="C16" s="27" t="s">
        <v>111</v>
      </c>
      <c r="D16" s="33"/>
      <c r="E16" s="33"/>
      <c r="F16" s="33"/>
      <c r="G16" s="21">
        <v>5</v>
      </c>
      <c r="H16" s="22"/>
      <c r="I16" s="17">
        <v>100</v>
      </c>
      <c r="J16" s="4">
        <f t="shared" si="2"/>
        <v>500</v>
      </c>
      <c r="K16" s="23">
        <f t="shared" si="3"/>
        <v>0</v>
      </c>
      <c r="L16" s="43"/>
      <c r="M16" s="45">
        <f t="shared" si="1"/>
        <v>0</v>
      </c>
      <c r="N16" s="18"/>
      <c r="O16" s="15"/>
      <c r="P16" s="15"/>
      <c r="Q16" s="15"/>
      <c r="R16" s="15"/>
      <c r="S16" s="66"/>
    </row>
    <row r="17" spans="2:19" ht="30" x14ac:dyDescent="0.25">
      <c r="B17" s="16"/>
      <c r="C17" s="27" t="s">
        <v>112</v>
      </c>
      <c r="D17" s="33"/>
      <c r="E17" s="33"/>
      <c r="F17" s="33"/>
      <c r="G17" s="21">
        <v>5</v>
      </c>
      <c r="H17" s="22"/>
      <c r="I17" s="17">
        <v>200</v>
      </c>
      <c r="J17" s="4">
        <f t="shared" si="2"/>
        <v>1000</v>
      </c>
      <c r="K17" s="23">
        <f t="shared" si="3"/>
        <v>0</v>
      </c>
      <c r="L17" s="43"/>
      <c r="M17" s="45">
        <f t="shared" si="1"/>
        <v>0</v>
      </c>
      <c r="N17" s="18"/>
      <c r="O17" s="15"/>
      <c r="P17" s="15"/>
      <c r="Q17" s="15"/>
      <c r="R17" s="15"/>
      <c r="S17" s="66"/>
    </row>
    <row r="18" spans="2:19" ht="30" x14ac:dyDescent="0.25">
      <c r="B18" s="16"/>
      <c r="C18" s="27" t="s">
        <v>113</v>
      </c>
      <c r="D18" s="33"/>
      <c r="E18" s="33"/>
      <c r="F18" s="33"/>
      <c r="G18" s="21">
        <v>5</v>
      </c>
      <c r="H18" s="22"/>
      <c r="I18" s="17">
        <v>100</v>
      </c>
      <c r="J18" s="4">
        <f t="shared" si="2"/>
        <v>500</v>
      </c>
      <c r="K18" s="23">
        <f t="shared" si="3"/>
        <v>0</v>
      </c>
      <c r="L18" s="43"/>
      <c r="M18" s="45">
        <f t="shared" si="1"/>
        <v>0</v>
      </c>
      <c r="N18" s="18"/>
      <c r="O18" s="15"/>
      <c r="P18" s="15"/>
      <c r="Q18" s="15"/>
      <c r="R18" s="15"/>
      <c r="S18" s="66"/>
    </row>
    <row r="19" spans="2:19" ht="30" x14ac:dyDescent="0.25">
      <c r="B19" s="16"/>
      <c r="C19" s="27" t="s">
        <v>114</v>
      </c>
      <c r="D19" s="33"/>
      <c r="E19" s="33"/>
      <c r="F19" s="33"/>
      <c r="G19" s="21">
        <v>5</v>
      </c>
      <c r="H19" s="22"/>
      <c r="I19" s="17">
        <v>200</v>
      </c>
      <c r="J19" s="4">
        <f t="shared" si="2"/>
        <v>1000</v>
      </c>
      <c r="K19" s="23">
        <f t="shared" si="3"/>
        <v>0</v>
      </c>
      <c r="L19" s="43"/>
      <c r="M19" s="45">
        <f t="shared" si="1"/>
        <v>0</v>
      </c>
      <c r="N19" s="18"/>
      <c r="O19" s="15"/>
      <c r="P19" s="15"/>
      <c r="Q19" s="15"/>
      <c r="R19" s="15"/>
      <c r="S19" s="66"/>
    </row>
    <row r="20" spans="2:19" ht="30" x14ac:dyDescent="0.25">
      <c r="B20" s="16"/>
      <c r="C20" s="27" t="s">
        <v>115</v>
      </c>
      <c r="D20" s="33"/>
      <c r="E20" s="33"/>
      <c r="F20" s="33"/>
      <c r="G20" s="21">
        <v>5</v>
      </c>
      <c r="H20" s="22"/>
      <c r="I20" s="17">
        <v>100</v>
      </c>
      <c r="J20" s="4">
        <f t="shared" si="2"/>
        <v>500</v>
      </c>
      <c r="K20" s="23">
        <f t="shared" si="3"/>
        <v>0</v>
      </c>
      <c r="L20" s="43"/>
      <c r="M20" s="45">
        <f t="shared" si="1"/>
        <v>0</v>
      </c>
      <c r="N20" s="18"/>
      <c r="O20" s="15"/>
      <c r="P20" s="15"/>
      <c r="Q20" s="15"/>
      <c r="R20" s="15"/>
      <c r="S20" s="66"/>
    </row>
    <row r="21" spans="2:19" ht="30" x14ac:dyDescent="0.25">
      <c r="B21" s="16"/>
      <c r="C21" s="27" t="s">
        <v>116</v>
      </c>
      <c r="D21" s="33"/>
      <c r="E21" s="33"/>
      <c r="F21" s="33"/>
      <c r="G21" s="21">
        <v>5</v>
      </c>
      <c r="H21" s="22"/>
      <c r="I21" s="17">
        <v>200</v>
      </c>
      <c r="J21" s="4">
        <f t="shared" si="2"/>
        <v>1000</v>
      </c>
      <c r="K21" s="23">
        <f t="shared" si="3"/>
        <v>0</v>
      </c>
      <c r="L21" s="43"/>
      <c r="M21" s="45">
        <f t="shared" si="1"/>
        <v>0</v>
      </c>
      <c r="N21" s="18"/>
      <c r="O21" s="15"/>
      <c r="P21" s="15"/>
      <c r="Q21" s="15"/>
      <c r="R21" s="15"/>
      <c r="S21" s="66"/>
    </row>
    <row r="22" spans="2:19" ht="30" x14ac:dyDescent="0.25">
      <c r="B22" s="16"/>
      <c r="C22" s="27" t="s">
        <v>118</v>
      </c>
      <c r="D22" s="33"/>
      <c r="E22" s="33"/>
      <c r="F22" s="33"/>
      <c r="G22" s="21">
        <v>5</v>
      </c>
      <c r="H22" s="22"/>
      <c r="I22" s="17">
        <v>100</v>
      </c>
      <c r="J22" s="4">
        <f t="shared" si="2"/>
        <v>500</v>
      </c>
      <c r="K22" s="23">
        <f t="shared" si="3"/>
        <v>0</v>
      </c>
      <c r="L22" s="43"/>
      <c r="M22" s="45">
        <f t="shared" si="1"/>
        <v>0</v>
      </c>
      <c r="N22" s="18"/>
      <c r="O22" s="15"/>
      <c r="P22" s="15"/>
      <c r="Q22" s="15"/>
      <c r="R22" s="15"/>
      <c r="S22" s="66"/>
    </row>
    <row r="23" spans="2:19" ht="30.75" thickBot="1" x14ac:dyDescent="0.3">
      <c r="B23" s="68"/>
      <c r="C23" s="69" t="s">
        <v>117</v>
      </c>
      <c r="D23" s="70"/>
      <c r="E23" s="70"/>
      <c r="F23" s="70"/>
      <c r="G23" s="71">
        <v>5</v>
      </c>
      <c r="H23" s="72"/>
      <c r="I23" s="73">
        <v>200</v>
      </c>
      <c r="J23" s="74">
        <f t="shared" si="2"/>
        <v>1000</v>
      </c>
      <c r="K23" s="75">
        <f t="shared" si="3"/>
        <v>0</v>
      </c>
      <c r="L23" s="76"/>
      <c r="M23" s="77">
        <f t="shared" si="1"/>
        <v>0</v>
      </c>
      <c r="N23" s="78"/>
      <c r="O23" s="79"/>
      <c r="P23" s="79"/>
      <c r="Q23" s="79"/>
      <c r="R23" s="79"/>
      <c r="S23" s="80"/>
    </row>
    <row r="24" spans="2:19" ht="21" x14ac:dyDescent="0.25">
      <c r="B24" s="136" t="s">
        <v>66</v>
      </c>
      <c r="C24" s="137"/>
      <c r="D24" s="137"/>
      <c r="E24" s="137"/>
      <c r="F24" s="137"/>
      <c r="G24" s="137"/>
      <c r="H24" s="138"/>
      <c r="I24" s="91"/>
      <c r="J24" s="91">
        <f>SUM(J3:J23)</f>
        <v>12725</v>
      </c>
      <c r="K24" s="92">
        <f>SUM(K3:K23)</f>
        <v>0</v>
      </c>
      <c r="L24" s="93"/>
      <c r="M24" s="94">
        <f>SUM(M3:M23)</f>
        <v>0</v>
      </c>
      <c r="N24" s="26"/>
      <c r="O24" s="60"/>
      <c r="P24" s="60"/>
      <c r="Q24" s="60"/>
      <c r="R24" s="60"/>
      <c r="S24" s="60"/>
    </row>
    <row r="25" spans="2:19" ht="25.15" customHeight="1" thickBot="1" x14ac:dyDescent="0.3">
      <c r="I25" s="25"/>
      <c r="J25" s="25"/>
    </row>
    <row r="26" spans="2:19" ht="60" customHeight="1" x14ac:dyDescent="0.25">
      <c r="B26" s="28" t="s">
        <v>134</v>
      </c>
      <c r="C26" s="139" t="s">
        <v>58</v>
      </c>
      <c r="D26" s="140"/>
      <c r="E26" s="139" t="s">
        <v>49</v>
      </c>
      <c r="F26" s="140"/>
      <c r="G26" s="28" t="s">
        <v>60</v>
      </c>
      <c r="H26" s="28"/>
      <c r="I26" s="28"/>
      <c r="J26" s="28" t="s">
        <v>50</v>
      </c>
      <c r="K26" s="28" t="s">
        <v>62</v>
      </c>
      <c r="L26" s="29" t="s">
        <v>63</v>
      </c>
      <c r="M26" s="62" t="s">
        <v>48</v>
      </c>
    </row>
    <row r="27" spans="2:19" ht="15.6" customHeight="1" x14ac:dyDescent="0.25">
      <c r="B27" s="81" t="s">
        <v>57</v>
      </c>
      <c r="C27" s="134" t="s">
        <v>51</v>
      </c>
      <c r="D27" s="135"/>
      <c r="E27" s="128">
        <v>0.75600000000000001</v>
      </c>
      <c r="F27" s="129"/>
      <c r="G27" s="52">
        <v>0</v>
      </c>
      <c r="H27" s="53"/>
      <c r="I27" s="54"/>
      <c r="J27" s="54">
        <f>G27*H27</f>
        <v>0</v>
      </c>
      <c r="K27" s="57">
        <f>IF(E27&gt;1,1,E27)*G27</f>
        <v>0</v>
      </c>
      <c r="L27" s="59">
        <v>0.6</v>
      </c>
      <c r="M27" s="82">
        <f>IF(L27&gt;1,1,L27)*G27</f>
        <v>0</v>
      </c>
    </row>
    <row r="28" spans="2:19" ht="15.6" customHeight="1" x14ac:dyDescent="0.25">
      <c r="B28" s="83"/>
      <c r="C28" s="134" t="s">
        <v>52</v>
      </c>
      <c r="D28" s="135"/>
      <c r="E28" s="128">
        <v>2.1999999999999999E-2</v>
      </c>
      <c r="F28" s="129"/>
      <c r="G28" s="52">
        <v>0</v>
      </c>
      <c r="H28" s="53"/>
      <c r="I28" s="54"/>
      <c r="J28" s="54">
        <f>G28*H28</f>
        <v>0</v>
      </c>
      <c r="K28" s="57">
        <f t="shared" ref="K28:K31" si="4">IF(E28&gt;1,1,E28)*G28</f>
        <v>0</v>
      </c>
      <c r="L28" s="59">
        <v>0.1</v>
      </c>
      <c r="M28" s="82">
        <f t="shared" ref="M28:M31" si="5">IF(L28&gt;1,1,L28)*G28</f>
        <v>0</v>
      </c>
    </row>
    <row r="29" spans="2:19" ht="15.6" customHeight="1" x14ac:dyDescent="0.25">
      <c r="B29" s="83"/>
      <c r="C29" s="134" t="s">
        <v>53</v>
      </c>
      <c r="D29" s="135"/>
      <c r="E29" s="128">
        <v>2.1999999999999999E-2</v>
      </c>
      <c r="F29" s="129"/>
      <c r="G29" s="52">
        <v>0</v>
      </c>
      <c r="H29" s="53"/>
      <c r="I29" s="54"/>
      <c r="J29" s="54">
        <f>G29*H29</f>
        <v>0</v>
      </c>
      <c r="K29" s="57">
        <f t="shared" si="4"/>
        <v>0</v>
      </c>
      <c r="L29" s="59">
        <v>0.1</v>
      </c>
      <c r="M29" s="82">
        <f t="shared" si="5"/>
        <v>0</v>
      </c>
    </row>
    <row r="30" spans="2:19" ht="15.6" customHeight="1" x14ac:dyDescent="0.25">
      <c r="B30" s="83"/>
      <c r="C30" s="134" t="s">
        <v>54</v>
      </c>
      <c r="D30" s="135"/>
      <c r="E30" s="128">
        <v>0.1</v>
      </c>
      <c r="F30" s="129"/>
      <c r="G30" s="52">
        <v>-500</v>
      </c>
      <c r="H30" s="53"/>
      <c r="I30" s="54"/>
      <c r="J30" s="54">
        <f>G30*H30</f>
        <v>0</v>
      </c>
      <c r="K30" s="57">
        <f t="shared" si="4"/>
        <v>-50</v>
      </c>
      <c r="L30" s="59">
        <v>0.15</v>
      </c>
      <c r="M30" s="82">
        <f t="shared" si="5"/>
        <v>-75</v>
      </c>
    </row>
    <row r="31" spans="2:19" ht="15.95" customHeight="1" thickBot="1" x14ac:dyDescent="0.3">
      <c r="B31" s="84"/>
      <c r="C31" s="134" t="s">
        <v>55</v>
      </c>
      <c r="D31" s="135"/>
      <c r="E31" s="130">
        <v>0.1</v>
      </c>
      <c r="F31" s="131"/>
      <c r="G31" s="52">
        <v>-2000</v>
      </c>
      <c r="H31" s="53"/>
      <c r="I31" s="54"/>
      <c r="J31" s="54">
        <f>G31*H31</f>
        <v>0</v>
      </c>
      <c r="K31" s="57">
        <f t="shared" si="4"/>
        <v>-200</v>
      </c>
      <c r="L31" s="59">
        <v>0.05</v>
      </c>
      <c r="M31" s="82">
        <f t="shared" si="5"/>
        <v>-100</v>
      </c>
    </row>
    <row r="32" spans="2:19" ht="16.5" thickBot="1" x14ac:dyDescent="0.3">
      <c r="B32" s="85" t="s">
        <v>56</v>
      </c>
      <c r="C32" s="55"/>
      <c r="D32" s="56"/>
      <c r="E32" s="132">
        <f>IF(SUM(E27:F31)&gt;100,Error.Type,SUM(E27:F31))</f>
        <v>1</v>
      </c>
      <c r="F32" s="133"/>
      <c r="G32" s="47"/>
      <c r="H32" s="47"/>
      <c r="I32" s="48" t="e">
        <f>#REF!</f>
        <v>#REF!</v>
      </c>
      <c r="J32" s="48" t="e">
        <f>#REF!</f>
        <v>#REF!</v>
      </c>
      <c r="K32" s="58"/>
      <c r="L32" s="116">
        <f>IF(SUM(L27:L31)&gt;100,Error.Type,SUM(L27:L31))</f>
        <v>1</v>
      </c>
      <c r="M32" s="86"/>
    </row>
    <row r="33" spans="2:13" ht="21" customHeight="1" thickBot="1" x14ac:dyDescent="0.3">
      <c r="B33" s="124" t="s">
        <v>65</v>
      </c>
      <c r="C33" s="125"/>
      <c r="D33" s="125"/>
      <c r="E33" s="125"/>
      <c r="F33" s="125"/>
      <c r="G33" s="125"/>
      <c r="H33" s="126"/>
      <c r="I33" s="87">
        <f>I27</f>
        <v>0</v>
      </c>
      <c r="J33" s="87">
        <f>J27</f>
        <v>0</v>
      </c>
      <c r="K33" s="88">
        <f>IF(SUM(K27:K31)&gt;I33,I33,SUM(K27:K31))</f>
        <v>-250</v>
      </c>
      <c r="L33" s="89"/>
      <c r="M33" s="90">
        <f>IF(SUM(M27:M31)&gt;K33,K33,SUM(M27:M31))</f>
        <v>-250</v>
      </c>
    </row>
    <row r="35" spans="2:13" ht="21" x14ac:dyDescent="0.25">
      <c r="H35" s="25" t="s">
        <v>59</v>
      </c>
      <c r="I35" s="25"/>
      <c r="J35" s="51">
        <f>J24+J33</f>
        <v>12725</v>
      </c>
      <c r="K35" s="49">
        <f>K24+K33</f>
        <v>-250</v>
      </c>
      <c r="M35" s="50">
        <f>M24+M33</f>
        <v>-250</v>
      </c>
    </row>
  </sheetData>
  <mergeCells count="16">
    <mergeCell ref="B33:H33"/>
    <mergeCell ref="O1:S1"/>
    <mergeCell ref="E30:F30"/>
    <mergeCell ref="E31:F31"/>
    <mergeCell ref="E32:F32"/>
    <mergeCell ref="C27:D27"/>
    <mergeCell ref="C28:D28"/>
    <mergeCell ref="C29:D29"/>
    <mergeCell ref="C30:D30"/>
    <mergeCell ref="C31:D31"/>
    <mergeCell ref="B24:H24"/>
    <mergeCell ref="E26:F26"/>
    <mergeCell ref="E27:F27"/>
    <mergeCell ref="E28:F28"/>
    <mergeCell ref="E29:F29"/>
    <mergeCell ref="C26:D26"/>
  </mergeCells>
  <phoneticPr fontId="13" type="noConversion"/>
  <conditionalFormatting sqref="E32">
    <cfRule type="cellIs" dxfId="3" priority="6" operator="notEqual">
      <formula>1</formula>
    </cfRule>
    <cfRule type="cellIs" dxfId="2" priority="7" operator="greaterThan">
      <formula>1</formula>
    </cfRule>
  </conditionalFormatting>
  <conditionalFormatting sqref="L32">
    <cfRule type="cellIs" dxfId="1" priority="1" operator="notEqual">
      <formula>1</formula>
    </cfRule>
    <cfRule type="cellIs" dxfId="0" priority="2" operator="greaterThan">
      <formula>1</formula>
    </cfRule>
  </conditionalFormatting>
  <dataValidations disablePrompts="1" count="1">
    <dataValidation type="decimal" operator="lessThanOrEqual" allowBlank="1" showInputMessage="1" showErrorMessage="1" error="Value cannot be greater than 100%." sqref="E27:E32 L32" xr:uid="{D0310C49-B309-4CFC-9BA4-9E2703ACDDD4}">
      <formula1>1</formula1>
    </dataValidation>
  </dataValidations>
  <pageMargins left="0.7" right="0.7" top="0.75" bottom="0.75" header="0.3" footer="0.3"/>
  <pageSetup paperSize="5" scale="39" orientation="landscape" verticalDpi="597" r:id="rId1"/>
  <ignoredErrors>
    <ignoredError sqref="M5:M7 M3 M9:M10 M12:M24 M27:M31" unlockedFormula="1"/>
    <ignoredError sqref="I32" evalError="1"/>
    <ignoredError sqref="K8" formula="1"/>
    <ignoredError sqref="M8" formula="1"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AC239-055C-4871-AB81-7100A78CCA85}">
  <sheetPr>
    <tabColor rgb="FF002060"/>
    <pageSetUpPr fitToPage="1"/>
  </sheetPr>
  <dimension ref="A1:S16"/>
  <sheetViews>
    <sheetView zoomScale="130" zoomScaleNormal="130" workbookViewId="0">
      <pane ySplit="2" topLeftCell="A3" activePane="bottomLeft" state="frozen"/>
      <selection pane="bottomLeft" activeCell="C12" sqref="C12"/>
    </sheetView>
  </sheetViews>
  <sheetFormatPr defaultRowHeight="15" x14ac:dyDescent="0.25"/>
  <cols>
    <col min="1" max="1" width="3.85546875" style="5" customWidth="1"/>
    <col min="2" max="2" width="17.7109375" customWidth="1"/>
    <col min="3" max="3" width="75.7109375" style="1" customWidth="1"/>
    <col min="4" max="4" width="9.5703125" style="30" customWidth="1"/>
    <col min="5" max="6" width="11.85546875" style="30" customWidth="1"/>
    <col min="7" max="7" width="10.28515625" customWidth="1"/>
    <col min="10" max="10" width="9.85546875" bestFit="1" customWidth="1"/>
    <col min="11" max="11" width="10.42578125" customWidth="1"/>
    <col min="12" max="12" width="10.42578125" style="6" customWidth="1"/>
    <col min="13" max="13" width="12.5703125" customWidth="1"/>
    <col min="14" max="14" width="2" customWidth="1"/>
    <col min="15" max="19" width="10.7109375" customWidth="1"/>
  </cols>
  <sheetData>
    <row r="1" spans="2:19" ht="26.1" customHeight="1" thickBot="1" x14ac:dyDescent="0.3">
      <c r="J1" s="3"/>
      <c r="K1" s="3"/>
      <c r="O1" s="127"/>
      <c r="P1" s="127"/>
      <c r="Q1" s="127"/>
      <c r="R1" s="127"/>
      <c r="S1" s="127"/>
    </row>
    <row r="2" spans="2:19" ht="45" x14ac:dyDescent="0.25">
      <c r="B2" s="28" t="s">
        <v>134</v>
      </c>
      <c r="C2" s="29" t="s">
        <v>0</v>
      </c>
      <c r="D2" s="29" t="s">
        <v>36</v>
      </c>
      <c r="E2" s="29" t="s">
        <v>32</v>
      </c>
      <c r="F2" s="29" t="s">
        <v>47</v>
      </c>
      <c r="G2" s="29" t="s">
        <v>1</v>
      </c>
      <c r="H2" s="29" t="s">
        <v>2</v>
      </c>
      <c r="I2" s="29" t="s">
        <v>3</v>
      </c>
      <c r="J2" s="29" t="s">
        <v>50</v>
      </c>
      <c r="K2" s="29" t="s">
        <v>61</v>
      </c>
      <c r="L2" s="29" t="s">
        <v>64</v>
      </c>
      <c r="M2" s="29" t="s">
        <v>48</v>
      </c>
      <c r="N2" s="2"/>
      <c r="O2" s="29" t="s">
        <v>4</v>
      </c>
      <c r="P2" s="29" t="s">
        <v>5</v>
      </c>
      <c r="Q2" s="29" t="s">
        <v>6</v>
      </c>
      <c r="R2" s="29" t="s">
        <v>7</v>
      </c>
      <c r="S2" s="62" t="s">
        <v>8</v>
      </c>
    </row>
    <row r="3" spans="2:19" ht="21" x14ac:dyDescent="0.25">
      <c r="B3" s="16" t="s">
        <v>41</v>
      </c>
      <c r="C3" s="19" t="s">
        <v>144</v>
      </c>
      <c r="D3" s="31">
        <v>1</v>
      </c>
      <c r="E3" s="31" t="s">
        <v>33</v>
      </c>
      <c r="F3" s="33"/>
      <c r="G3" s="36">
        <v>150</v>
      </c>
      <c r="H3" s="22"/>
      <c r="I3" s="17">
        <v>10</v>
      </c>
      <c r="J3" s="4">
        <f>G3*I3</f>
        <v>1500</v>
      </c>
      <c r="K3" s="23">
        <f>H3*I3</f>
        <v>0</v>
      </c>
      <c r="L3" s="43"/>
      <c r="M3" s="45">
        <f>L3*I3</f>
        <v>0</v>
      </c>
      <c r="N3" s="18"/>
      <c r="O3" s="15"/>
      <c r="P3" s="15"/>
      <c r="Q3" s="15"/>
      <c r="R3" s="15"/>
      <c r="S3" s="66"/>
    </row>
    <row r="4" spans="2:19" ht="150" x14ac:dyDescent="0.25">
      <c r="B4" s="16" t="s">
        <v>40</v>
      </c>
      <c r="C4" s="19" t="s">
        <v>151</v>
      </c>
      <c r="D4" s="31" t="s">
        <v>37</v>
      </c>
      <c r="E4" s="31" t="s">
        <v>34</v>
      </c>
      <c r="F4" s="33"/>
      <c r="G4" s="21">
        <v>75</v>
      </c>
      <c r="H4" s="22"/>
      <c r="I4" s="17">
        <v>20</v>
      </c>
      <c r="J4" s="4">
        <f t="shared" ref="J4" si="0">G4*I4</f>
        <v>1500</v>
      </c>
      <c r="K4" s="23">
        <f>H4*I4</f>
        <v>0</v>
      </c>
      <c r="L4" s="43"/>
      <c r="M4" s="45">
        <f t="shared" ref="M4:M15" si="1">L4*I4</f>
        <v>0</v>
      </c>
      <c r="N4" s="18"/>
      <c r="O4" s="15"/>
      <c r="P4" s="15"/>
      <c r="Q4" s="15"/>
      <c r="R4" s="15"/>
      <c r="S4" s="66"/>
    </row>
    <row r="5" spans="2:19" ht="21" x14ac:dyDescent="0.35">
      <c r="B5" s="16" t="s">
        <v>43</v>
      </c>
      <c r="C5" s="20" t="s">
        <v>24</v>
      </c>
      <c r="D5" s="31" t="s">
        <v>37</v>
      </c>
      <c r="E5" s="31" t="s">
        <v>34</v>
      </c>
      <c r="F5" s="35"/>
      <c r="G5" s="39"/>
      <c r="H5" s="40"/>
      <c r="I5" s="37"/>
      <c r="J5" s="38"/>
      <c r="K5" s="41"/>
      <c r="L5" s="44"/>
      <c r="M5" s="46"/>
      <c r="N5" s="18"/>
      <c r="O5" s="42"/>
      <c r="P5" s="42"/>
      <c r="Q5" s="42"/>
      <c r="R5" s="42"/>
      <c r="S5" s="67"/>
    </row>
    <row r="6" spans="2:19" ht="30" x14ac:dyDescent="0.25">
      <c r="B6" s="16"/>
      <c r="C6" s="27" t="s">
        <v>120</v>
      </c>
      <c r="D6" s="33"/>
      <c r="E6" s="33"/>
      <c r="F6" s="33"/>
      <c r="G6" s="21">
        <v>5</v>
      </c>
      <c r="H6" s="22"/>
      <c r="I6" s="17">
        <v>100</v>
      </c>
      <c r="J6" s="4">
        <f t="shared" ref="J6:J15" si="2">G6*I6</f>
        <v>500</v>
      </c>
      <c r="K6" s="23">
        <f t="shared" ref="K6:K15" si="3">H6*I6</f>
        <v>0</v>
      </c>
      <c r="L6" s="43"/>
      <c r="M6" s="45">
        <f t="shared" si="1"/>
        <v>0</v>
      </c>
      <c r="N6" s="18"/>
      <c r="O6" s="15"/>
      <c r="P6" s="15"/>
      <c r="Q6" s="15"/>
      <c r="R6" s="15"/>
      <c r="S6" s="66"/>
    </row>
    <row r="7" spans="2:19" ht="30" x14ac:dyDescent="0.25">
      <c r="B7" s="16"/>
      <c r="C7" s="27" t="s">
        <v>121</v>
      </c>
      <c r="D7" s="33"/>
      <c r="E7" s="33"/>
      <c r="F7" s="33"/>
      <c r="G7" s="21">
        <v>5</v>
      </c>
      <c r="H7" s="22"/>
      <c r="I7" s="17">
        <v>200</v>
      </c>
      <c r="J7" s="4">
        <f t="shared" si="2"/>
        <v>1000</v>
      </c>
      <c r="K7" s="23">
        <f t="shared" si="3"/>
        <v>0</v>
      </c>
      <c r="L7" s="43"/>
      <c r="M7" s="45">
        <f t="shared" si="1"/>
        <v>0</v>
      </c>
      <c r="N7" s="18"/>
      <c r="O7" s="15"/>
      <c r="P7" s="15"/>
      <c r="Q7" s="15"/>
      <c r="R7" s="15"/>
      <c r="S7" s="66"/>
    </row>
    <row r="8" spans="2:19" ht="30" x14ac:dyDescent="0.25">
      <c r="B8" s="16"/>
      <c r="C8" s="27" t="s">
        <v>122</v>
      </c>
      <c r="D8" s="33"/>
      <c r="E8" s="33"/>
      <c r="F8" s="33"/>
      <c r="G8" s="21">
        <v>5</v>
      </c>
      <c r="H8" s="22"/>
      <c r="I8" s="17">
        <v>100</v>
      </c>
      <c r="J8" s="4">
        <f t="shared" si="2"/>
        <v>500</v>
      </c>
      <c r="K8" s="23">
        <f t="shared" si="3"/>
        <v>0</v>
      </c>
      <c r="L8" s="43"/>
      <c r="M8" s="45">
        <f t="shared" si="1"/>
        <v>0</v>
      </c>
      <c r="N8" s="18"/>
      <c r="O8" s="15"/>
      <c r="P8" s="15"/>
      <c r="Q8" s="15"/>
      <c r="R8" s="15"/>
      <c r="S8" s="66"/>
    </row>
    <row r="9" spans="2:19" ht="30" x14ac:dyDescent="0.25">
      <c r="B9" s="16"/>
      <c r="C9" s="27" t="s">
        <v>123</v>
      </c>
      <c r="D9" s="33"/>
      <c r="E9" s="33"/>
      <c r="F9" s="33"/>
      <c r="G9" s="21">
        <v>5</v>
      </c>
      <c r="H9" s="22"/>
      <c r="I9" s="17">
        <v>200</v>
      </c>
      <c r="J9" s="4">
        <f t="shared" si="2"/>
        <v>1000</v>
      </c>
      <c r="K9" s="23">
        <f t="shared" si="3"/>
        <v>0</v>
      </c>
      <c r="L9" s="43"/>
      <c r="M9" s="45">
        <f t="shared" si="1"/>
        <v>0</v>
      </c>
      <c r="N9" s="18"/>
      <c r="O9" s="15"/>
      <c r="P9" s="15"/>
      <c r="Q9" s="15"/>
      <c r="R9" s="15"/>
      <c r="S9" s="66"/>
    </row>
    <row r="10" spans="2:19" ht="30" x14ac:dyDescent="0.25">
      <c r="B10" s="16"/>
      <c r="C10" s="27" t="s">
        <v>124</v>
      </c>
      <c r="D10" s="33"/>
      <c r="E10" s="33"/>
      <c r="F10" s="33"/>
      <c r="G10" s="21">
        <v>5</v>
      </c>
      <c r="H10" s="22"/>
      <c r="I10" s="17">
        <v>100</v>
      </c>
      <c r="J10" s="4">
        <f t="shared" si="2"/>
        <v>500</v>
      </c>
      <c r="K10" s="23">
        <f t="shared" si="3"/>
        <v>0</v>
      </c>
      <c r="L10" s="43"/>
      <c r="M10" s="45">
        <f t="shared" si="1"/>
        <v>0</v>
      </c>
      <c r="N10" s="18"/>
      <c r="O10" s="15"/>
      <c r="P10" s="15"/>
      <c r="Q10" s="15"/>
      <c r="R10" s="15"/>
      <c r="S10" s="66"/>
    </row>
    <row r="11" spans="2:19" ht="30" customHeight="1" x14ac:dyDescent="0.25">
      <c r="B11" s="16"/>
      <c r="C11" s="27" t="s">
        <v>125</v>
      </c>
      <c r="D11" s="33"/>
      <c r="E11" s="33"/>
      <c r="F11" s="33"/>
      <c r="G11" s="21">
        <v>5</v>
      </c>
      <c r="H11" s="22"/>
      <c r="I11" s="17">
        <v>200</v>
      </c>
      <c r="J11" s="4">
        <f t="shared" si="2"/>
        <v>1000</v>
      </c>
      <c r="K11" s="23">
        <f t="shared" si="3"/>
        <v>0</v>
      </c>
      <c r="L11" s="43"/>
      <c r="M11" s="45">
        <f t="shared" si="1"/>
        <v>0</v>
      </c>
      <c r="N11" s="18"/>
      <c r="O11" s="15"/>
      <c r="P11" s="15"/>
      <c r="Q11" s="15"/>
      <c r="R11" s="15"/>
      <c r="S11" s="66"/>
    </row>
    <row r="12" spans="2:19" ht="45" x14ac:dyDescent="0.25">
      <c r="B12" s="16"/>
      <c r="C12" s="27" t="s">
        <v>126</v>
      </c>
      <c r="D12" s="33"/>
      <c r="E12" s="33"/>
      <c r="F12" s="33"/>
      <c r="G12" s="21">
        <v>5</v>
      </c>
      <c r="H12" s="22"/>
      <c r="I12" s="17">
        <v>100</v>
      </c>
      <c r="J12" s="4">
        <f t="shared" si="2"/>
        <v>500</v>
      </c>
      <c r="K12" s="23">
        <f t="shared" si="3"/>
        <v>0</v>
      </c>
      <c r="L12" s="43"/>
      <c r="M12" s="45">
        <f t="shared" si="1"/>
        <v>0</v>
      </c>
      <c r="N12" s="18"/>
      <c r="O12" s="15"/>
      <c r="P12" s="15"/>
      <c r="Q12" s="15"/>
      <c r="R12" s="15"/>
      <c r="S12" s="66"/>
    </row>
    <row r="13" spans="2:19" ht="30" x14ac:dyDescent="0.25">
      <c r="B13" s="16"/>
      <c r="C13" s="27" t="s">
        <v>127</v>
      </c>
      <c r="D13" s="33"/>
      <c r="E13" s="33"/>
      <c r="F13" s="33"/>
      <c r="G13" s="21">
        <v>5</v>
      </c>
      <c r="H13" s="22"/>
      <c r="I13" s="17">
        <v>200</v>
      </c>
      <c r="J13" s="4">
        <f t="shared" si="2"/>
        <v>1000</v>
      </c>
      <c r="K13" s="23">
        <f t="shared" si="3"/>
        <v>0</v>
      </c>
      <c r="L13" s="43"/>
      <c r="M13" s="45">
        <f t="shared" si="1"/>
        <v>0</v>
      </c>
      <c r="N13" s="18"/>
      <c r="O13" s="15"/>
      <c r="P13" s="15"/>
      <c r="Q13" s="15"/>
      <c r="R13" s="15"/>
      <c r="S13" s="66"/>
    </row>
    <row r="14" spans="2:19" ht="30" customHeight="1" x14ac:dyDescent="0.25">
      <c r="B14" s="16"/>
      <c r="C14" s="27" t="s">
        <v>128</v>
      </c>
      <c r="D14" s="33"/>
      <c r="E14" s="33"/>
      <c r="F14" s="33"/>
      <c r="G14" s="21">
        <v>5</v>
      </c>
      <c r="H14" s="22"/>
      <c r="I14" s="17">
        <v>100</v>
      </c>
      <c r="J14" s="4">
        <f t="shared" si="2"/>
        <v>500</v>
      </c>
      <c r="K14" s="23">
        <f t="shared" si="3"/>
        <v>0</v>
      </c>
      <c r="L14" s="43"/>
      <c r="M14" s="45">
        <f t="shared" si="1"/>
        <v>0</v>
      </c>
      <c r="N14" s="18"/>
      <c r="O14" s="15"/>
      <c r="P14" s="15"/>
      <c r="Q14" s="15"/>
      <c r="R14" s="15"/>
      <c r="S14" s="66"/>
    </row>
    <row r="15" spans="2:19" ht="30.75" thickBot="1" x14ac:dyDescent="0.3">
      <c r="B15" s="68"/>
      <c r="C15" s="69" t="s">
        <v>129</v>
      </c>
      <c r="D15" s="70"/>
      <c r="E15" s="70"/>
      <c r="F15" s="70"/>
      <c r="G15" s="71">
        <v>5</v>
      </c>
      <c r="H15" s="72"/>
      <c r="I15" s="73">
        <v>200</v>
      </c>
      <c r="J15" s="74">
        <f t="shared" si="2"/>
        <v>1000</v>
      </c>
      <c r="K15" s="75">
        <f t="shared" si="3"/>
        <v>0</v>
      </c>
      <c r="L15" s="76"/>
      <c r="M15" s="77">
        <f t="shared" si="1"/>
        <v>0</v>
      </c>
      <c r="N15" s="78"/>
      <c r="O15" s="79"/>
      <c r="P15" s="79"/>
      <c r="Q15" s="79"/>
      <c r="R15" s="79"/>
      <c r="S15" s="80"/>
    </row>
    <row r="16" spans="2:19" ht="21" customHeight="1" x14ac:dyDescent="0.25">
      <c r="B16" s="141" t="s">
        <v>74</v>
      </c>
      <c r="C16" s="142"/>
      <c r="D16" s="142"/>
      <c r="E16" s="142"/>
      <c r="F16" s="142"/>
      <c r="G16" s="143"/>
      <c r="H16" s="25" t="s">
        <v>59</v>
      </c>
      <c r="I16" s="25"/>
      <c r="J16" s="63">
        <f>SUM(J3:J15)</f>
        <v>10500</v>
      </c>
      <c r="K16" s="64">
        <f>SUM(K3:K15)</f>
        <v>0</v>
      </c>
      <c r="M16" s="65">
        <f>SUM(M6:M15)</f>
        <v>0</v>
      </c>
    </row>
  </sheetData>
  <mergeCells count="2">
    <mergeCell ref="B16:G16"/>
    <mergeCell ref="O1:S1"/>
  </mergeCells>
  <pageMargins left="0.7" right="0.7" top="0.75" bottom="0.75" header="0.3" footer="0.3"/>
  <pageSetup paperSize="5" scale="62" orientation="landscape" verticalDpi="597" r:id="rId1"/>
  <ignoredErrors>
    <ignoredError sqref="M3:M16"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4D69C-C73D-4A39-885A-F7CF9B89A0C0}">
  <sheetPr>
    <tabColor rgb="FF002060"/>
    <pageSetUpPr fitToPage="1"/>
  </sheetPr>
  <dimension ref="A1:S8"/>
  <sheetViews>
    <sheetView zoomScale="120" zoomScaleNormal="120" workbookViewId="0">
      <pane ySplit="2" topLeftCell="A3" activePane="bottomLeft" state="frozen"/>
      <selection pane="bottomLeft" activeCell="C4" sqref="C4"/>
    </sheetView>
  </sheetViews>
  <sheetFormatPr defaultRowHeight="15" x14ac:dyDescent="0.25"/>
  <cols>
    <col min="1" max="1" width="3.85546875" style="5" customWidth="1"/>
    <col min="2" max="2" width="17.7109375" customWidth="1"/>
    <col min="3" max="3" width="75.7109375" style="1" customWidth="1"/>
    <col min="4" max="4" width="9.5703125" style="30" customWidth="1"/>
    <col min="5" max="6" width="11.85546875" style="30" customWidth="1"/>
    <col min="7" max="7" width="10.28515625" customWidth="1"/>
    <col min="10" max="10" width="9.85546875" bestFit="1" customWidth="1"/>
    <col min="11" max="11" width="10.42578125" customWidth="1"/>
    <col min="12" max="12" width="10.42578125" style="6" customWidth="1"/>
    <col min="13" max="13" width="12.5703125" customWidth="1"/>
    <col min="14" max="14" width="2" customWidth="1"/>
    <col min="15" max="19" width="10.7109375" customWidth="1"/>
  </cols>
  <sheetData>
    <row r="1" spans="2:19" ht="26.1" customHeight="1" thickBot="1" x14ac:dyDescent="0.3">
      <c r="J1" s="3"/>
      <c r="K1" s="3"/>
      <c r="O1" s="127"/>
      <c r="P1" s="127"/>
      <c r="Q1" s="127"/>
      <c r="R1" s="127"/>
      <c r="S1" s="127"/>
    </row>
    <row r="2" spans="2:19" ht="40.5" customHeight="1" x14ac:dyDescent="0.25">
      <c r="B2" s="28" t="s">
        <v>134</v>
      </c>
      <c r="C2" s="29" t="s">
        <v>0</v>
      </c>
      <c r="D2" s="29" t="s">
        <v>36</v>
      </c>
      <c r="E2" s="29" t="s">
        <v>32</v>
      </c>
      <c r="F2" s="29" t="s">
        <v>47</v>
      </c>
      <c r="G2" s="29" t="s">
        <v>1</v>
      </c>
      <c r="H2" s="29" t="s">
        <v>2</v>
      </c>
      <c r="I2" s="29" t="s">
        <v>3</v>
      </c>
      <c r="J2" s="29" t="s">
        <v>50</v>
      </c>
      <c r="K2" s="29" t="s">
        <v>61</v>
      </c>
      <c r="L2" s="29" t="s">
        <v>64</v>
      </c>
      <c r="M2" s="29" t="s">
        <v>48</v>
      </c>
      <c r="N2" s="2"/>
      <c r="O2" s="29" t="s">
        <v>4</v>
      </c>
      <c r="P2" s="29" t="s">
        <v>5</v>
      </c>
      <c r="Q2" s="29" t="s">
        <v>6</v>
      </c>
      <c r="R2" s="29" t="s">
        <v>7</v>
      </c>
      <c r="S2" s="62" t="s">
        <v>8</v>
      </c>
    </row>
    <row r="3" spans="2:19" ht="21" x14ac:dyDescent="0.25">
      <c r="B3" s="16" t="s">
        <v>41</v>
      </c>
      <c r="C3" s="19" t="s">
        <v>145</v>
      </c>
      <c r="D3" s="31">
        <v>1</v>
      </c>
      <c r="E3" s="31" t="s">
        <v>33</v>
      </c>
      <c r="F3" s="33"/>
      <c r="G3" s="36">
        <v>150</v>
      </c>
      <c r="H3" s="22"/>
      <c r="I3" s="17">
        <v>10</v>
      </c>
      <c r="J3" s="4">
        <f>G3*I3</f>
        <v>1500</v>
      </c>
      <c r="K3" s="23">
        <f>H3*I3</f>
        <v>0</v>
      </c>
      <c r="L3" s="43"/>
      <c r="M3" s="45">
        <f>L3*I3</f>
        <v>0</v>
      </c>
      <c r="N3" s="18"/>
      <c r="O3" s="15"/>
      <c r="P3" s="15"/>
      <c r="Q3" s="15"/>
      <c r="R3" s="15"/>
      <c r="S3" s="66"/>
    </row>
    <row r="4" spans="2:19" ht="90" customHeight="1" x14ac:dyDescent="0.25">
      <c r="B4" s="16" t="s">
        <v>40</v>
      </c>
      <c r="C4" s="19" t="s">
        <v>147</v>
      </c>
      <c r="D4" s="31" t="s">
        <v>37</v>
      </c>
      <c r="E4" s="31" t="s">
        <v>34</v>
      </c>
      <c r="F4" s="33"/>
      <c r="G4" s="21">
        <v>75</v>
      </c>
      <c r="H4" s="22"/>
      <c r="I4" s="17">
        <v>20</v>
      </c>
      <c r="J4" s="4">
        <f t="shared" ref="J4" si="0">G4*I4</f>
        <v>1500</v>
      </c>
      <c r="K4" s="23">
        <f>H4*I4</f>
        <v>0</v>
      </c>
      <c r="L4" s="43"/>
      <c r="M4" s="45">
        <f t="shared" ref="M4:M7" si="1">L4*I4</f>
        <v>0</v>
      </c>
      <c r="N4" s="18"/>
      <c r="O4" s="15"/>
      <c r="P4" s="15"/>
      <c r="Q4" s="15"/>
      <c r="R4" s="15"/>
      <c r="S4" s="66"/>
    </row>
    <row r="5" spans="2:19" ht="30" x14ac:dyDescent="0.35">
      <c r="B5" s="16" t="s">
        <v>43</v>
      </c>
      <c r="C5" s="20" t="s">
        <v>25</v>
      </c>
      <c r="D5" s="31" t="s">
        <v>37</v>
      </c>
      <c r="E5" s="31" t="s">
        <v>34</v>
      </c>
      <c r="F5" s="35"/>
      <c r="G5" s="39"/>
      <c r="H5" s="40"/>
      <c r="I5" s="37"/>
      <c r="J5" s="38"/>
      <c r="K5" s="41"/>
      <c r="L5" s="44"/>
      <c r="M5" s="46"/>
      <c r="N5" s="18"/>
      <c r="O5" s="42"/>
      <c r="P5" s="42"/>
      <c r="Q5" s="42"/>
      <c r="R5" s="42"/>
      <c r="S5" s="67"/>
    </row>
    <row r="6" spans="2:19" ht="30" customHeight="1" x14ac:dyDescent="0.25">
      <c r="B6" s="16"/>
      <c r="C6" s="61" t="s">
        <v>130</v>
      </c>
      <c r="D6" s="33"/>
      <c r="E6" s="33"/>
      <c r="F6" s="33"/>
      <c r="G6" s="21">
        <v>5</v>
      </c>
      <c r="H6" s="22"/>
      <c r="I6" s="17">
        <v>100</v>
      </c>
      <c r="J6" s="4">
        <f t="shared" ref="J6:J7" si="2">G6*I6</f>
        <v>500</v>
      </c>
      <c r="K6" s="23">
        <f t="shared" ref="K6:K7" si="3">H6*I6</f>
        <v>0</v>
      </c>
      <c r="L6" s="43"/>
      <c r="M6" s="45">
        <f t="shared" si="1"/>
        <v>0</v>
      </c>
      <c r="N6" s="18"/>
      <c r="O6" s="15"/>
      <c r="P6" s="15"/>
      <c r="Q6" s="15"/>
      <c r="R6" s="15"/>
      <c r="S6" s="66"/>
    </row>
    <row r="7" spans="2:19" ht="30.75" thickBot="1" x14ac:dyDescent="0.3">
      <c r="B7" s="68"/>
      <c r="C7" s="69" t="s">
        <v>133</v>
      </c>
      <c r="D7" s="70"/>
      <c r="E7" s="70"/>
      <c r="F7" s="70"/>
      <c r="G7" s="71">
        <v>150</v>
      </c>
      <c r="H7" s="72"/>
      <c r="I7" s="73">
        <v>1</v>
      </c>
      <c r="J7" s="74">
        <f t="shared" si="2"/>
        <v>150</v>
      </c>
      <c r="K7" s="75">
        <f t="shared" si="3"/>
        <v>0</v>
      </c>
      <c r="L7" s="76"/>
      <c r="M7" s="77">
        <f t="shared" si="1"/>
        <v>0</v>
      </c>
      <c r="N7" s="78"/>
      <c r="O7" s="79"/>
      <c r="P7" s="79"/>
      <c r="Q7" s="79"/>
      <c r="R7" s="79"/>
      <c r="S7" s="80"/>
    </row>
    <row r="8" spans="2:19" ht="21" x14ac:dyDescent="0.25">
      <c r="B8" s="136" t="s">
        <v>75</v>
      </c>
      <c r="C8" s="137"/>
      <c r="D8" s="137"/>
      <c r="E8" s="137"/>
      <c r="F8" s="137"/>
      <c r="G8" s="138"/>
      <c r="H8" s="25" t="s">
        <v>59</v>
      </c>
      <c r="I8" s="25"/>
      <c r="J8" s="63">
        <f>SUM(J3:J7)</f>
        <v>3650</v>
      </c>
      <c r="K8" s="64">
        <f>SUM(K3:K7)</f>
        <v>0</v>
      </c>
      <c r="M8" s="65">
        <f>SUM(M6:M7)</f>
        <v>0</v>
      </c>
    </row>
  </sheetData>
  <mergeCells count="2">
    <mergeCell ref="O1:S1"/>
    <mergeCell ref="B8:G8"/>
  </mergeCells>
  <pageMargins left="0.7" right="0.7" top="0.75" bottom="0.75" header="0.3" footer="0.3"/>
  <pageSetup paperSize="5" scale="62" orientation="landscape" verticalDpi="597" r:id="rId1"/>
  <ignoredErrors>
    <ignoredError sqref="M3:M8"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11A3B-DB1C-4D88-8B63-4086C29AE2D0}">
  <sheetPr>
    <tabColor rgb="FF002060"/>
    <pageSetUpPr fitToPage="1"/>
  </sheetPr>
  <dimension ref="A1:S10"/>
  <sheetViews>
    <sheetView tabSelected="1" zoomScale="160" zoomScaleNormal="160" workbookViewId="0">
      <pane ySplit="2" topLeftCell="A4" activePane="bottomLeft" state="frozen"/>
      <selection pane="bottomLeft" activeCell="C4" sqref="C4"/>
    </sheetView>
  </sheetViews>
  <sheetFormatPr defaultRowHeight="15" x14ac:dyDescent="0.25"/>
  <cols>
    <col min="1" max="1" width="3.85546875" style="5" customWidth="1"/>
    <col min="2" max="2" width="17.7109375" customWidth="1"/>
    <col min="3" max="3" width="75.7109375" style="1" customWidth="1"/>
    <col min="4" max="4" width="9.5703125" style="30" customWidth="1"/>
    <col min="5" max="6" width="11.85546875" style="30" customWidth="1"/>
    <col min="7" max="7" width="10.28515625" customWidth="1"/>
    <col min="10" max="10" width="9.85546875" bestFit="1" customWidth="1"/>
    <col min="11" max="11" width="10.42578125" customWidth="1"/>
    <col min="12" max="12" width="10.42578125" style="6" customWidth="1"/>
    <col min="13" max="13" width="12.5703125" customWidth="1"/>
    <col min="14" max="14" width="2" customWidth="1"/>
    <col min="15" max="19" width="10.7109375" customWidth="1"/>
  </cols>
  <sheetData>
    <row r="1" spans="2:19" ht="26.1" customHeight="1" thickBot="1" x14ac:dyDescent="0.3">
      <c r="J1" s="3"/>
      <c r="K1" s="3"/>
      <c r="O1" s="127"/>
      <c r="P1" s="127"/>
      <c r="Q1" s="127"/>
      <c r="R1" s="127"/>
      <c r="S1" s="127"/>
    </row>
    <row r="2" spans="2:19" ht="40.5" customHeight="1" x14ac:dyDescent="0.25">
      <c r="B2" s="28" t="s">
        <v>134</v>
      </c>
      <c r="C2" s="29" t="s">
        <v>0</v>
      </c>
      <c r="D2" s="29" t="s">
        <v>36</v>
      </c>
      <c r="E2" s="29" t="s">
        <v>32</v>
      </c>
      <c r="F2" s="29" t="s">
        <v>47</v>
      </c>
      <c r="G2" s="29" t="s">
        <v>1</v>
      </c>
      <c r="H2" s="29" t="s">
        <v>2</v>
      </c>
      <c r="I2" s="29" t="s">
        <v>3</v>
      </c>
      <c r="J2" s="29" t="s">
        <v>50</v>
      </c>
      <c r="K2" s="29" t="s">
        <v>61</v>
      </c>
      <c r="L2" s="29" t="s">
        <v>64</v>
      </c>
      <c r="M2" s="29" t="s">
        <v>48</v>
      </c>
      <c r="N2" s="2"/>
      <c r="O2" s="29" t="s">
        <v>4</v>
      </c>
      <c r="P2" s="29" t="s">
        <v>5</v>
      </c>
      <c r="Q2" s="29" t="s">
        <v>6</v>
      </c>
      <c r="R2" s="29" t="s">
        <v>7</v>
      </c>
      <c r="S2" s="62" t="s">
        <v>8</v>
      </c>
    </row>
    <row r="3" spans="2:19" ht="21" x14ac:dyDescent="0.25">
      <c r="B3" s="16" t="s">
        <v>41</v>
      </c>
      <c r="C3" s="19" t="s">
        <v>146</v>
      </c>
      <c r="D3" s="31">
        <v>1</v>
      </c>
      <c r="E3" s="31" t="s">
        <v>33</v>
      </c>
      <c r="F3" s="33"/>
      <c r="G3" s="36">
        <v>150</v>
      </c>
      <c r="H3" s="22"/>
      <c r="I3" s="17">
        <v>10</v>
      </c>
      <c r="J3" s="4">
        <f>G3*I3</f>
        <v>1500</v>
      </c>
      <c r="K3" s="23">
        <f>H3*I3</f>
        <v>0</v>
      </c>
      <c r="L3" s="43"/>
      <c r="M3" s="45">
        <f>L3*I3</f>
        <v>0</v>
      </c>
      <c r="N3" s="18"/>
      <c r="O3" s="15"/>
      <c r="P3" s="15"/>
      <c r="Q3" s="15"/>
      <c r="R3" s="15"/>
      <c r="S3" s="66"/>
    </row>
    <row r="4" spans="2:19" ht="135" x14ac:dyDescent="0.25">
      <c r="B4" s="16" t="s">
        <v>40</v>
      </c>
      <c r="C4" s="19" t="s">
        <v>150</v>
      </c>
      <c r="D4" s="31" t="s">
        <v>37</v>
      </c>
      <c r="E4" s="31" t="s">
        <v>34</v>
      </c>
      <c r="F4" s="33"/>
      <c r="G4" s="21">
        <v>75</v>
      </c>
      <c r="H4" s="22"/>
      <c r="I4" s="17">
        <v>20</v>
      </c>
      <c r="J4" s="4">
        <f t="shared" ref="J4" si="0">G4*I4</f>
        <v>1500</v>
      </c>
      <c r="K4" s="23">
        <f>H4*I4</f>
        <v>0</v>
      </c>
      <c r="L4" s="43"/>
      <c r="M4" s="45">
        <f t="shared" ref="M4:M6" si="1">L4*I4</f>
        <v>0</v>
      </c>
      <c r="N4" s="18"/>
      <c r="O4" s="15"/>
      <c r="P4" s="15"/>
      <c r="Q4" s="15"/>
      <c r="R4" s="15"/>
      <c r="S4" s="66"/>
    </row>
    <row r="5" spans="2:19" ht="30" x14ac:dyDescent="0.35">
      <c r="B5" s="16" t="s">
        <v>43</v>
      </c>
      <c r="C5" s="20" t="s">
        <v>119</v>
      </c>
      <c r="D5" s="31" t="s">
        <v>37</v>
      </c>
      <c r="E5" s="31" t="s">
        <v>34</v>
      </c>
      <c r="F5" s="35"/>
      <c r="G5" s="39"/>
      <c r="H5" s="40"/>
      <c r="I5" s="37"/>
      <c r="J5" s="38"/>
      <c r="K5" s="41"/>
      <c r="L5" s="44"/>
      <c r="M5" s="46"/>
      <c r="N5" s="18"/>
      <c r="O5" s="42"/>
      <c r="P5" s="42"/>
      <c r="Q5" s="42"/>
      <c r="R5" s="42"/>
      <c r="S5" s="67"/>
    </row>
    <row r="6" spans="2:19" ht="21" x14ac:dyDescent="0.25">
      <c r="B6" s="16"/>
      <c r="C6" s="27" t="s">
        <v>149</v>
      </c>
      <c r="D6" s="33"/>
      <c r="E6" s="33"/>
      <c r="F6" s="33"/>
      <c r="G6" s="21">
        <v>5</v>
      </c>
      <c r="H6" s="22"/>
      <c r="I6" s="17">
        <v>100</v>
      </c>
      <c r="J6" s="4">
        <f t="shared" ref="J6" si="2">G6*I6</f>
        <v>500</v>
      </c>
      <c r="K6" s="23">
        <f t="shared" ref="K6" si="3">H6*I6</f>
        <v>0</v>
      </c>
      <c r="L6" s="43"/>
      <c r="M6" s="45">
        <f t="shared" si="1"/>
        <v>0</v>
      </c>
      <c r="N6" s="18"/>
      <c r="O6" s="15"/>
      <c r="P6" s="15"/>
      <c r="Q6" s="15"/>
      <c r="R6" s="15"/>
      <c r="S6" s="66"/>
    </row>
    <row r="7" spans="2:19" ht="30" x14ac:dyDescent="0.25">
      <c r="B7" s="16"/>
      <c r="C7" s="27" t="s">
        <v>28</v>
      </c>
      <c r="D7" s="33"/>
      <c r="E7" s="33"/>
      <c r="F7" s="33"/>
      <c r="G7" s="21">
        <v>5</v>
      </c>
      <c r="H7" s="22"/>
      <c r="I7" s="17">
        <v>100</v>
      </c>
      <c r="J7" s="4">
        <f t="shared" ref="J7:J9" si="4">G7*I7</f>
        <v>500</v>
      </c>
      <c r="K7" s="23">
        <f t="shared" ref="K7:K9" si="5">H7*I7</f>
        <v>0</v>
      </c>
      <c r="L7" s="43"/>
      <c r="M7" s="45">
        <f t="shared" ref="M7:M9" si="6">L7*I7</f>
        <v>0</v>
      </c>
      <c r="N7" s="18"/>
      <c r="O7" s="15"/>
      <c r="P7" s="15"/>
      <c r="Q7" s="15"/>
      <c r="R7" s="15"/>
      <c r="S7" s="66"/>
    </row>
    <row r="8" spans="2:19" ht="30" x14ac:dyDescent="0.25">
      <c r="B8" s="16"/>
      <c r="C8" s="27" t="s">
        <v>26</v>
      </c>
      <c r="D8" s="33"/>
      <c r="E8" s="33"/>
      <c r="F8" s="33"/>
      <c r="G8" s="21">
        <v>5</v>
      </c>
      <c r="H8" s="22"/>
      <c r="I8" s="17">
        <v>100</v>
      </c>
      <c r="J8" s="4">
        <f t="shared" si="4"/>
        <v>500</v>
      </c>
      <c r="K8" s="23">
        <f t="shared" si="5"/>
        <v>0</v>
      </c>
      <c r="L8" s="43"/>
      <c r="M8" s="45">
        <f t="shared" si="6"/>
        <v>0</v>
      </c>
      <c r="N8" s="18"/>
      <c r="O8" s="15"/>
      <c r="P8" s="15"/>
      <c r="Q8" s="15"/>
      <c r="R8" s="15"/>
      <c r="S8" s="66"/>
    </row>
    <row r="9" spans="2:19" ht="30.75" thickBot="1" x14ac:dyDescent="0.3">
      <c r="B9" s="68"/>
      <c r="C9" s="69" t="s">
        <v>27</v>
      </c>
      <c r="D9" s="70"/>
      <c r="E9" s="70"/>
      <c r="F9" s="70"/>
      <c r="G9" s="71">
        <v>5</v>
      </c>
      <c r="H9" s="72"/>
      <c r="I9" s="73">
        <v>200</v>
      </c>
      <c r="J9" s="74">
        <f t="shared" si="4"/>
        <v>1000</v>
      </c>
      <c r="K9" s="75">
        <f t="shared" si="5"/>
        <v>0</v>
      </c>
      <c r="L9" s="76"/>
      <c r="M9" s="77">
        <f t="shared" si="6"/>
        <v>0</v>
      </c>
      <c r="N9" s="78"/>
      <c r="O9" s="79"/>
      <c r="P9" s="79"/>
      <c r="Q9" s="79"/>
      <c r="R9" s="79"/>
      <c r="S9" s="80"/>
    </row>
    <row r="10" spans="2:19" ht="21" x14ac:dyDescent="0.25">
      <c r="B10" s="136" t="s">
        <v>76</v>
      </c>
      <c r="C10" s="137"/>
      <c r="D10" s="137"/>
      <c r="E10" s="137"/>
      <c r="F10" s="137"/>
      <c r="G10" s="138"/>
      <c r="H10" s="25" t="s">
        <v>59</v>
      </c>
      <c r="I10" s="25"/>
      <c r="J10" s="63">
        <f>SUM(J3:J9)</f>
        <v>5500</v>
      </c>
      <c r="K10" s="64">
        <f>SUM(K3:K9)</f>
        <v>0</v>
      </c>
      <c r="M10" s="65">
        <f>SUM(M6:M9)</f>
        <v>0</v>
      </c>
    </row>
  </sheetData>
  <mergeCells count="2">
    <mergeCell ref="O1:S1"/>
    <mergeCell ref="B10:G10"/>
  </mergeCells>
  <pageMargins left="0.7" right="0.7" top="0.75" bottom="0.75" header="0.3" footer="0.3"/>
  <pageSetup paperSize="5" scale="62" orientation="landscape" verticalDpi="597" r:id="rId1"/>
  <ignoredErrors>
    <ignoredError sqref="M6 M3:M4 M7:M10" unlocked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36236a8-c1ff-4957-835c-74d8228a8ebe" xsi:nil="true"/>
    <lcf76f155ced4ddcb4097134ff3c332f xmlns="afe9cc1a-f185-44bb-a697-d12fd72d04d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5BB1BEA0DC8E046B5276DDDE77FD698" ma:contentTypeVersion="11" ma:contentTypeDescription="Create a new document." ma:contentTypeScope="" ma:versionID="5d2da07dbb3bfbf6a6937a1ef0186c4c">
  <xsd:schema xmlns:xsd="http://www.w3.org/2001/XMLSchema" xmlns:xs="http://www.w3.org/2001/XMLSchema" xmlns:p="http://schemas.microsoft.com/office/2006/metadata/properties" xmlns:ns2="afe9cc1a-f185-44bb-a697-d12fd72d04df" xmlns:ns3="a36236a8-c1ff-4957-835c-74d8228a8ebe" targetNamespace="http://schemas.microsoft.com/office/2006/metadata/properties" ma:root="true" ma:fieldsID="00a5e05ecef1e9af40db22921c404b46" ns2:_="" ns3:_="">
    <xsd:import namespace="afe9cc1a-f185-44bb-a697-d12fd72d04df"/>
    <xsd:import namespace="a36236a8-c1ff-4957-835c-74d8228a8eb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e9cc1a-f185-44bb-a697-d12fd72d04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bcb310-9c3d-4239-a405-6899594bcd6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6236a8-c1ff-4957-835c-74d8228a8eb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3f3356a-370b-4359-b36b-9189499630e1}" ma:internalName="TaxCatchAll" ma:showField="CatchAllData" ma:web="a36236a8-c1ff-4957-835c-74d8228a8e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8AE121-ECF4-44B6-BD5A-309B937E4F56}">
  <ds:schemaRefs>
    <ds:schemaRef ds:uri="http://schemas.microsoft.com/office/2006/metadata/properties"/>
    <ds:schemaRef ds:uri="a36236a8-c1ff-4957-835c-74d8228a8ebe"/>
    <ds:schemaRef ds:uri="http://schemas.microsoft.com/office/2006/documentManagement/types"/>
    <ds:schemaRef ds:uri="http://www.w3.org/XML/1998/namespace"/>
    <ds:schemaRef ds:uri="http://purl.org/dc/terms/"/>
    <ds:schemaRef ds:uri="http://purl.org/dc/elements/1.1/"/>
    <ds:schemaRef ds:uri="http://schemas.openxmlformats.org/package/2006/metadata/core-properties"/>
    <ds:schemaRef ds:uri="http://schemas.microsoft.com/office/infopath/2007/PartnerControls"/>
    <ds:schemaRef ds:uri="afe9cc1a-f185-44bb-a697-d12fd72d04df"/>
    <ds:schemaRef ds:uri="http://purl.org/dc/dcmitype/"/>
  </ds:schemaRefs>
</ds:datastoreItem>
</file>

<file path=customXml/itemProps2.xml><?xml version="1.0" encoding="utf-8"?>
<ds:datastoreItem xmlns:ds="http://schemas.openxmlformats.org/officeDocument/2006/customXml" ds:itemID="{AD5B05DE-9C73-4997-9D7E-9BE8E0145238}">
  <ds:schemaRefs>
    <ds:schemaRef ds:uri="http://schemas.microsoft.com/sharepoint/v3/contenttype/forms"/>
  </ds:schemaRefs>
</ds:datastoreItem>
</file>

<file path=customXml/itemProps3.xml><?xml version="1.0" encoding="utf-8"?>
<ds:datastoreItem xmlns:ds="http://schemas.openxmlformats.org/officeDocument/2006/customXml" ds:itemID="{DFFFCD3E-BBCC-44E7-B01D-0FB855248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e9cc1a-f185-44bb-a697-d12fd72d04df"/>
    <ds:schemaRef ds:uri="a36236a8-c1ff-4957-835c-74d8228a8e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Column Explanation</vt:lpstr>
      <vt:lpstr>Scoring Summary</vt:lpstr>
      <vt:lpstr>General</vt:lpstr>
      <vt:lpstr>Education</vt:lpstr>
      <vt:lpstr>Exercise</vt:lpstr>
      <vt:lpstr>Intelligence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2024-11-25T21:12:41Z</dcterms:created>
  <dcterms:modified xsi:type="dcterms:W3CDTF">2024-11-25T21:35:35Z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6fb369a-307f-449b-a188-56348c6f1760_Enabled">
    <vt:lpwstr>true</vt:lpwstr>
  </property>
  <property fmtid="{D5CDD505-2E9C-101B-9397-08002B2CF9AE}" pid="3" name="MSIP_Label_d6fb369a-307f-449b-a188-56348c6f1760_SetDate">
    <vt:lpwstr>2024-11-25T21:12:46Z</vt:lpwstr>
  </property>
  <property fmtid="{D5CDD505-2E9C-101B-9397-08002B2CF9AE}" pid="4" name="MSIP_Label_d6fb369a-307f-449b-a188-56348c6f1760_Method">
    <vt:lpwstr>Standard</vt:lpwstr>
  </property>
  <property fmtid="{D5CDD505-2E9C-101B-9397-08002B2CF9AE}" pid="5" name="MSIP_Label_d6fb369a-307f-449b-a188-56348c6f1760_Name">
    <vt:lpwstr>d6fb369a-307f-449b-a188-56348c6f1760</vt:lpwstr>
  </property>
  <property fmtid="{D5CDD505-2E9C-101B-9397-08002B2CF9AE}" pid="6" name="MSIP_Label_d6fb369a-307f-449b-a188-56348c6f1760_SiteId">
    <vt:lpwstr>f93616dd-45a6-40c8-9e29-adab2fb5f25c</vt:lpwstr>
  </property>
  <property fmtid="{D5CDD505-2E9C-101B-9397-08002B2CF9AE}" pid="7" name="MSIP_Label_d6fb369a-307f-449b-a188-56348c6f1760_ActionId">
    <vt:lpwstr>f2a8d9df-fc78-47cb-94c4-8cc3a3d002ec</vt:lpwstr>
  </property>
  <property fmtid="{D5CDD505-2E9C-101B-9397-08002B2CF9AE}" pid="8" name="MSIP_Label_d6fb369a-307f-449b-a188-56348c6f1760_ContentBits">
    <vt:lpwstr>1</vt:lpwstr>
  </property>
  <property fmtid="{D5CDD505-2E9C-101B-9397-08002B2CF9AE}" pid="9" name="ContentTypeId">
    <vt:lpwstr>0x01010065BB1BEA0DC8E046B5276DDDE77FD698</vt:lpwstr>
  </property>
  <property fmtid="{D5CDD505-2E9C-101B-9397-08002B2CF9AE}" pid="10" name="MediaServiceImageTags">
    <vt:lpwstr/>
  </property>
</Properties>
</file>