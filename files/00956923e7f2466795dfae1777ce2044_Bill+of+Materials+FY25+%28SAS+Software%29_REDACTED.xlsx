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ZLE\PZLET\0_IT Contracts\IT FY25\2_FA2396-25-TBD 711 SAS Software-KW\80_Notice of Intent Sole Source (IASS)\"/>
    </mc:Choice>
  </mc:AlternateContent>
  <xr:revisionPtr revIDLastSave="0" documentId="8_{183CC968-E654-42C1-AD12-AD31D4AC1931}" xr6:coauthVersionLast="47" xr6:coauthVersionMax="47" xr10:uidLastSave="{00000000-0000-0000-0000-000000000000}"/>
  <bookViews>
    <workbookView xWindow="28680" yWindow="-10965" windowWidth="29040" windowHeight="15510" xr2:uid="{00000000-000D-0000-FFFF-FFFF00000000}"/>
  </bookViews>
  <sheets>
    <sheet name="Sheet1" sheetId="1" r:id="rId1"/>
  </sheets>
  <definedNames>
    <definedName name="_xlnm.Print_Area" localSheetId="0">Sheet1!$A$2:$C$4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6" i="1"/>
  <c r="D4" i="1"/>
  <c r="D13" i="1" l="1"/>
</calcChain>
</file>

<file path=xl/sharedStrings.xml><?xml version="1.0" encoding="utf-8"?>
<sst xmlns="http://schemas.openxmlformats.org/spreadsheetml/2006/main" count="22" uniqueCount="20">
  <si>
    <t>Description</t>
  </si>
  <si>
    <t>Quantity</t>
  </si>
  <si>
    <t>Unit Price</t>
  </si>
  <si>
    <t>Note:</t>
  </si>
  <si>
    <t>1 base license (25 Users)</t>
  </si>
  <si>
    <t>`</t>
  </si>
  <si>
    <t>Total Price</t>
  </si>
  <si>
    <t>1 base package (25 users)</t>
  </si>
  <si>
    <t>1 base package (25 users) times two producs</t>
  </si>
  <si>
    <t>Bill of Materials for Quantity 45 One Year SAS Licenses with Two Add-ons For Each License and all Maintenance Agreements</t>
  </si>
  <si>
    <t>ACCOLE DB, Connect - 25 PC Users,
Windows, Annual Maintenance for site
543689. Period of Performance of 5/1/24 -
4/30/25. (Qty.2 = 2 prod)</t>
  </si>
  <si>
    <t>Base SAS - 25 PC users, Windows. Annual
Maintenance for site 543689. Period of
Performance of 5/1/25 - 4/30/26.</t>
  </si>
  <si>
    <t>Base SAS - Ea Addl User Over 25 Users-PC,
Windows. Annual Maintenance for site
543689. Period of Performance of 5/1/25 -
4/30/26. (Qty. 20 = 20 add'l users)</t>
  </si>
  <si>
    <t>SAS/STAT - 25 PC Users, Windows, Annual
Maintenance for site 543689. Period of
Performance of 5/1/25 - 4/30/26.</t>
  </si>
  <si>
    <t>SAS/STAT - Ea Addl User Over 25 Users-
PC, Windows. Annual Maintenance for site 543689. Period of Performance of 5/1/25 -4/30/26. (Qty. 20 = 20 add'l users)</t>
  </si>
  <si>
    <t>SAS/Graph - 25 PC Users, Windows,Annual
Maintenance for site 543689. Period of
Performance of 5/1/25 - 4/30/26.</t>
  </si>
  <si>
    <t>SAS/GRAPH - Ea Addl User Over 25 PC
Users, Windows. Annual Maintenance for
site 543689. Period of Performance of
5/1/25 - 4/30/26. (Qty. 20 = 20 add'l
users)</t>
  </si>
  <si>
    <t>ACCOLE DB, Connect - Ea Addl User Over
25 Users-PC, Wndws. Annual Maintenance
for site 543689. Period of Performance of
5/1/25 - 4/30/26. (Qty.40 = 2 prod x 20
add'l users)</t>
  </si>
  <si>
    <t>ASSIST, FSP - 25 PC Users, Windows,
Annual Maintenance for site 543689.
Period of Performance of 5/1/25 -
4/30/26. (Qty.2 = 2 prod)</t>
  </si>
  <si>
    <t>ASSIST, FSP - Ea Addl User Over 25 Users-
PC, Wndws. Annual Maintenance for site
543689. Period of Performance of 5/1/25 -
4/30/26. (Qty.40 = 2 prod x 20 add'l users)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</si>
</sst>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164" fontId="0" fillId="0" borderId="8" xfId="0" applyNumberForma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/>
    </xf>
    <xf numFmtId="0" fontId="0" fillId="0" borderId="12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left" vertical="center"/>
    </xf>
    <xf numFmtId="164" fontId="3" fillId="0" borderId="13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90" zoomScaleNormal="90" workbookViewId="0">
      <selection activeCell="E8" sqref="E8"/>
    </sheetView>
  </sheetViews>
  <sheetFormatPr defaultRowHeight="14.4" x14ac:dyDescent="0.3"/>
  <cols>
    <col min="1" max="1" width="37.44140625" customWidth="1"/>
    <col min="2" max="2" width="24.21875" customWidth="1"/>
    <col min="3" max="3" width="19.77734375" customWidth="1"/>
    <col min="4" max="4" width="15.77734375" bestFit="1" customWidth="1"/>
    <col min="5" max="5" width="54.77734375" customWidth="1"/>
    <col min="6" max="6" width="49.77734375" customWidth="1"/>
  </cols>
  <sheetData>
    <row r="1" spans="1:8" ht="31.5" customHeight="1" thickBot="1" x14ac:dyDescent="0.35">
      <c r="A1" s="28" t="s">
        <v>9</v>
      </c>
      <c r="B1" s="29"/>
      <c r="C1" s="29"/>
      <c r="D1" s="29"/>
      <c r="E1" s="30"/>
    </row>
    <row r="2" spans="1:8" s="1" customFormat="1" ht="33" customHeight="1" thickBot="1" x14ac:dyDescent="0.35">
      <c r="A2" s="21" t="s">
        <v>0</v>
      </c>
      <c r="B2" s="22" t="s">
        <v>1</v>
      </c>
      <c r="C2" s="23" t="s">
        <v>2</v>
      </c>
      <c r="D2" s="22" t="s">
        <v>6</v>
      </c>
      <c r="E2" s="24" t="s">
        <v>3</v>
      </c>
    </row>
    <row r="3" spans="1:8" ht="69.75" customHeight="1" x14ac:dyDescent="0.3">
      <c r="A3" s="17" t="s">
        <v>11</v>
      </c>
      <c r="B3" s="18" t="s">
        <v>4</v>
      </c>
      <c r="C3" s="19"/>
      <c r="D3" s="19"/>
      <c r="E3" s="20"/>
      <c r="H3" t="s">
        <v>5</v>
      </c>
    </row>
    <row r="4" spans="1:8" ht="87" customHeight="1" x14ac:dyDescent="0.3">
      <c r="A4" s="4" t="s">
        <v>12</v>
      </c>
      <c r="B4" s="5">
        <v>20</v>
      </c>
      <c r="C4" s="6"/>
      <c r="D4" s="8">
        <f>C4*B4</f>
        <v>0</v>
      </c>
      <c r="E4" s="7"/>
    </row>
    <row r="5" spans="1:8" ht="68.25" customHeight="1" x14ac:dyDescent="0.3">
      <c r="A5" s="9" t="s">
        <v>13</v>
      </c>
      <c r="B5" s="5" t="s">
        <v>7</v>
      </c>
      <c r="C5" s="8"/>
      <c r="D5" s="8"/>
      <c r="E5" s="7"/>
    </row>
    <row r="6" spans="1:8" ht="60" customHeight="1" x14ac:dyDescent="0.3">
      <c r="A6" s="10" t="s">
        <v>14</v>
      </c>
      <c r="B6" s="5">
        <v>20</v>
      </c>
      <c r="C6" s="8"/>
      <c r="D6" s="8">
        <f>C6*B6</f>
        <v>0</v>
      </c>
      <c r="E6" s="11"/>
    </row>
    <row r="7" spans="1:8" ht="43.2" x14ac:dyDescent="0.3">
      <c r="A7" s="10" t="s">
        <v>15</v>
      </c>
      <c r="B7" s="5" t="s">
        <v>7</v>
      </c>
      <c r="C7" s="8"/>
      <c r="D7" s="8"/>
      <c r="E7" s="11"/>
    </row>
    <row r="8" spans="1:8" ht="78.75" customHeight="1" x14ac:dyDescent="0.3">
      <c r="A8" s="10" t="s">
        <v>16</v>
      </c>
      <c r="B8" s="5">
        <v>20</v>
      </c>
      <c r="C8" s="8"/>
      <c r="D8" s="8">
        <f>C8*B8</f>
        <v>0</v>
      </c>
      <c r="E8" s="11"/>
    </row>
    <row r="9" spans="1:8" ht="58.95" customHeight="1" x14ac:dyDescent="0.3">
      <c r="A9" s="10" t="s">
        <v>10</v>
      </c>
      <c r="B9" s="12">
        <v>2</v>
      </c>
      <c r="C9" s="8"/>
      <c r="D9" s="8">
        <f>C9*2</f>
        <v>0</v>
      </c>
      <c r="E9" s="11"/>
    </row>
    <row r="10" spans="1:8" ht="88.5" customHeight="1" x14ac:dyDescent="0.3">
      <c r="A10" s="10" t="s">
        <v>17</v>
      </c>
      <c r="B10" s="12">
        <v>40</v>
      </c>
      <c r="C10" s="8"/>
      <c r="D10" s="8">
        <f>C10*40</f>
        <v>0</v>
      </c>
      <c r="E10" s="11"/>
    </row>
    <row r="11" spans="1:8" ht="60.45" customHeight="1" x14ac:dyDescent="0.3">
      <c r="A11" s="10" t="s">
        <v>18</v>
      </c>
      <c r="B11" s="12" t="s">
        <v>8</v>
      </c>
      <c r="C11" s="8"/>
      <c r="D11" s="8">
        <f>C11*2</f>
        <v>0</v>
      </c>
      <c r="E11" s="11"/>
    </row>
    <row r="12" spans="1:8" ht="62.55" customHeight="1" thickBot="1" x14ac:dyDescent="0.35">
      <c r="A12" s="13" t="s">
        <v>19</v>
      </c>
      <c r="B12" s="14">
        <v>40</v>
      </c>
      <c r="C12" s="15"/>
      <c r="D12" s="15">
        <f>C12*40</f>
        <v>0</v>
      </c>
      <c r="E12" s="16"/>
    </row>
    <row r="13" spans="1:8" ht="18" customHeight="1" thickBot="1" x14ac:dyDescent="0.35">
      <c r="A13" s="26" t="s">
        <v>6</v>
      </c>
      <c r="B13" s="27"/>
      <c r="C13" s="27"/>
      <c r="D13" s="27">
        <f>SUM(D3:D12)</f>
        <v>0</v>
      </c>
      <c r="E13" s="25"/>
    </row>
    <row r="14" spans="1:8" ht="18" customHeight="1" x14ac:dyDescent="0.3">
      <c r="B14" s="2"/>
      <c r="C14" s="3"/>
      <c r="D14" s="3"/>
    </row>
    <row r="15" spans="1:8" ht="18" customHeight="1" x14ac:dyDescent="0.3">
      <c r="B15" s="2"/>
      <c r="C15" s="3"/>
      <c r="D15" s="3"/>
    </row>
    <row r="16" spans="1:8" ht="18" customHeight="1" x14ac:dyDescent="0.3">
      <c r="B16" s="2"/>
      <c r="C16" s="3"/>
      <c r="D16" s="3"/>
    </row>
    <row r="17" spans="2:4" ht="18" customHeight="1" x14ac:dyDescent="0.3">
      <c r="B17" s="2"/>
      <c r="C17" s="3"/>
      <c r="D17" s="3"/>
    </row>
    <row r="18" spans="2:4" ht="18" customHeight="1" x14ac:dyDescent="0.3">
      <c r="B18" s="2"/>
      <c r="C18" s="3"/>
      <c r="D18" s="3"/>
    </row>
    <row r="19" spans="2:4" ht="18" customHeight="1" x14ac:dyDescent="0.3">
      <c r="B19" s="2"/>
      <c r="C19" s="2"/>
      <c r="D19" s="2"/>
    </row>
  </sheetData>
  <mergeCells count="1">
    <mergeCell ref="A1:E1"/>
  </mergeCells>
  <printOptions gridLines="1"/>
  <pageMargins left="0" right="0" top="0" bottom="0" header="0.3" footer="0.3"/>
  <pageSetup orientation="portrait" r:id="rId1"/>
  <ignoredErrors>
    <ignoredError sqref="D10:D1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1464F6924784449B4B2C5DAE8ADD8E" ma:contentTypeVersion="8" ma:contentTypeDescription="Create a new document." ma:contentTypeScope="" ma:versionID="cbec91fffe7ffb850a889f3f9b21f1a1">
  <xsd:schema xmlns:xsd="http://www.w3.org/2001/XMLSchema" xmlns:xs="http://www.w3.org/2001/XMLSchema" xmlns:p="http://schemas.microsoft.com/office/2006/metadata/properties" xmlns:ns3="44c313b3-6738-4527-a952-b1f8f7dc4d20" targetNamespace="http://schemas.microsoft.com/office/2006/metadata/properties" ma:root="true" ma:fieldsID="397b77dad2f55a26dae630205e12bd03" ns3:_="">
    <xsd:import namespace="44c313b3-6738-4527-a952-b1f8f7dc4d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313b3-6738-4527-a952-b1f8f7dc4d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A661B5-B261-4EE6-BC04-EEF2409878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D32394-6751-4A56-A517-C9F113AFE78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4c313b3-6738-4527-a952-b1f8f7dc4d20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F259CC5-D970-49E7-82DB-ADD160314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c313b3-6738-4527-a952-b1f8f7dc4d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smithda2</dc:creator>
  <cp:lastModifiedBy>SHEETS, STEPHEN I CIV USAF AFMC AFRL/PZLET</cp:lastModifiedBy>
  <cp:lastPrinted>2021-04-01T08:59:52Z</cp:lastPrinted>
  <dcterms:created xsi:type="dcterms:W3CDTF">2012-08-10T15:12:23Z</dcterms:created>
  <dcterms:modified xsi:type="dcterms:W3CDTF">2025-03-28T16:01:44Z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0x010100DD1464F6924784449B4B2C5DAE8ADD8E</vt:lpwstr>
  </property>
  <property fmtid="{D5CDD505-2E9C-101B-9397-08002B2CF9AE}" pid="3" name="TemplateUrl">
    <vt:lpwstr/>
  </property>
  <property fmtid="{D5CDD505-2E9C-101B-9397-08002B2CF9AE}" pid="4" name="Order">
    <vt:r8>12200</vt:r8>
  </property>
  <property fmtid="{D5CDD505-2E9C-101B-9397-08002B2CF9AE}" pid="5" name="URL">
    <vt:lpwstr/>
  </property>
  <property fmtid="{D5CDD505-2E9C-101B-9397-08002B2CF9AE}" pid="6" name="xd_ProgID">
    <vt:lpwstr/>
  </property>
</Properties>
</file>