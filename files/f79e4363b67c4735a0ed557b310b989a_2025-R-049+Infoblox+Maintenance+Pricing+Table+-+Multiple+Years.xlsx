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P:\Solicitations &amp; RFPs\2025 RFQs and Solicitations\2025-R-049 Infoblox Renewal\sam.gov\"/>
    </mc:Choice>
  </mc:AlternateContent>
  <xr:revisionPtr revIDLastSave="0" documentId="13_ncr:1_{4E39CB7A-1780-4852-B720-1BD3A2F14489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 PRICING TABLE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7" i="1" l="1"/>
  <c r="G15" i="1"/>
  <c r="G12" i="1"/>
  <c r="G60" i="1"/>
  <c r="G61" i="1"/>
  <c r="G62" i="1"/>
  <c r="G63" i="1"/>
  <c r="G64" i="1"/>
  <c r="G49" i="1"/>
  <c r="G50" i="1"/>
  <c r="G51" i="1"/>
  <c r="G52" i="1"/>
  <c r="G53" i="1"/>
  <c r="G38" i="1"/>
  <c r="G39" i="1"/>
  <c r="G40" i="1"/>
  <c r="G41" i="1"/>
  <c r="G42" i="1"/>
  <c r="G27" i="1"/>
  <c r="G28" i="1"/>
  <c r="G29" i="1"/>
  <c r="G30" i="1"/>
  <c r="G31" i="1"/>
  <c r="G13" i="1"/>
  <c r="G14" i="1"/>
  <c r="G16" i="1"/>
  <c r="G17" i="1"/>
  <c r="G18" i="1"/>
  <c r="G19" i="1"/>
  <c r="G20" i="1"/>
  <c r="G21" i="1" l="1"/>
  <c r="G59" i="1"/>
  <c r="G58" i="1"/>
  <c r="G57" i="1"/>
  <c r="G56" i="1"/>
  <c r="G65" i="1" s="1"/>
  <c r="G48" i="1"/>
  <c r="G46" i="1"/>
  <c r="G45" i="1"/>
  <c r="G37" i="1"/>
  <c r="G36" i="1"/>
  <c r="G35" i="1"/>
  <c r="G34" i="1"/>
  <c r="G26" i="1"/>
  <c r="G25" i="1"/>
  <c r="G24" i="1"/>
  <c r="G23" i="1"/>
  <c r="G32" i="1" s="1"/>
  <c r="G54" i="1" l="1"/>
  <c r="G43" i="1"/>
  <c r="G67" i="1" s="1"/>
</calcChain>
</file>

<file path=xl/sharedStrings.xml><?xml version="1.0" encoding="utf-8"?>
<sst xmlns="http://schemas.openxmlformats.org/spreadsheetml/2006/main" count="216" uniqueCount="95">
  <si>
    <t xml:space="preserve">SAA Request for Quotation </t>
  </si>
  <si>
    <t>2025-R-049</t>
  </si>
  <si>
    <t>PRICING TABLE</t>
  </si>
  <si>
    <t xml:space="preserve">1) The U.S. Senate Office of the Sergeant at Arms (SAA) requests a quotation for the products or services specified below. THE ENTIRE REQUEST FOR QUOTATION (RFQ) CONSISTS OF THIS PRICING TABLE, INSTRUCTIONS &amp; SUBMISSION REQUIREMENTS, CONTRACT CLAUSES, AND ADDENDUM TO COMMERCIAL AGREEMENTS (IF APPLICABLE).
</t>
  </si>
  <si>
    <t xml:space="preserve">2) The Offeror shall provide a quotation for the products or services listed below on a Firm-Fixed-Price basis. Shipping shall be on a F.O.B. Destination basis, United States Senate, Washington, DC 20510, and Offeror shall identify separately any shipping/handling charges. 
</t>
  </si>
  <si>
    <t xml:space="preserve">3) Offeror shall state below if quotation is Open Market, or subject to a GSA Schedule/NASA SEWP/Other GWAC.
</t>
  </si>
  <si>
    <t>5) The SAA reserves the right to reject Offeror’s quotation if not compliant with the INSTRUCTIONS &amp; SUBMISSION REQUIREMENTS of this RFQ.</t>
  </si>
  <si>
    <t>All prices are shown in USD</t>
  </si>
  <si>
    <t>Line Item #</t>
  </si>
  <si>
    <t>Manufacturer / 
Part Number</t>
  </si>
  <si>
    <t>Description</t>
  </si>
  <si>
    <t>Unit of Measure</t>
  </si>
  <si>
    <t>Quantity</t>
  </si>
  <si>
    <t>Unit Price</t>
  </si>
  <si>
    <t>Total Price</t>
  </si>
  <si>
    <t>BASE YEAR - 06/22/2025-06/21/2026</t>
  </si>
  <si>
    <t>0001</t>
  </si>
  <si>
    <t>TE-926-SWBSUB-DDIGD-4</t>
  </si>
  <si>
    <t>c X6 926 Software Bundle Subscription, DDI, DNS Traffic Control, DNS Firewall, Cloud Platform, and Grid with Infoblox Premium Maintenance- Enterprise per year. Infoblox Inc</t>
  </si>
  <si>
    <t>Each</t>
  </si>
  <si>
    <t>0002</t>
  </si>
  <si>
    <t>Infoblox Hardware Maintenance-Enterprise for 
TE- 906-HW-2AC per year. Infoblox Inc</t>
  </si>
  <si>
    <t>0003</t>
  </si>
  <si>
    <t>TE-1526-SWBSUB-DDIGD-4</t>
  </si>
  <si>
    <t>Trinzic X6 1526 Software Bundle Subscription, DDI, DNS Traffic Control, DNS Firewall, Cloud Platform, and Grid with Infoblox Premium Maintenance-Enterprise per year. Infoblox Inc</t>
  </si>
  <si>
    <t>0004</t>
  </si>
  <si>
    <t>10-TE-1606-HW-AC</t>
  </si>
  <si>
    <t>Infoblox Hardware Maintenance-Enterprise for 
TE- 1606-HW-AC per year. Infoblox Inc</t>
  </si>
  <si>
    <t>0005</t>
  </si>
  <si>
    <t>4-TE-2306-HW-AC</t>
  </si>
  <si>
    <t>Infoblox Premium Maintenance-Enterprise for 
TE- 2306-HW-AC per year. Infoblox Inc</t>
  </si>
  <si>
    <t>0006</t>
  </si>
  <si>
    <t>TR-SWBSUB-5005-ACTIVATION</t>
  </si>
  <si>
    <t>TR-5005 Reporting &amp; Analytics Software Bundle, activation, requires Infoblox Reporting and Analytics Subscription License per year. Infoblox Inc</t>
  </si>
  <si>
    <t>0007</t>
  </si>
  <si>
    <t>IB-SWTL-GD</t>
  </si>
  <si>
    <t>Infoblox Inc - IB-SWTL-GD</t>
  </si>
  <si>
    <t>0008</t>
  </si>
  <si>
    <t>TR-SWTL-10GB-4</t>
  </si>
  <si>
    <t>Trinzic Reporting and Analytics Subscription License, 1 License per Grid, requires Reporting and Analytics HW and Grid Software or Activation Software Bundle with Infoblox Premium Maintenance-Enterprise 10GB Indexing capacity/day, per year. Infoblox Inc</t>
  </si>
  <si>
    <t>0009</t>
  </si>
  <si>
    <t>IB-SWTL-BASE-TR-5005</t>
  </si>
  <si>
    <t>Infoblox Inc - IB-SWTL-BASE-TR-5005</t>
  </si>
  <si>
    <t>SUB-TOTAL</t>
  </si>
  <si>
    <t>OPTION YEAR 1 - 06/22/2026-06/21/2027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</si>
  <si>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</si>
  <si>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</si>
  <si>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</si>
  <si>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</si>
  <si>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</si>
  <si>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</si>
  <si>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</si>
  <si>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</si>
  <si>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</si>
  <si>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OPTION YEAR 2 -06/22/2027-06/21/2028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</si>
  <si>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</si>
  <si>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</si>
  <si>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</si>
  <si>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</si>
  <si>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</si>
  <si>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</si>
  <si>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</si>
  <si>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</si>
  <si>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</si>
  <si>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OPTION YEAR 3 - 06/22/2028-06/21/2029</t>
  </si>
  <si>
    <t>3001</t>
  </si>
  <si>
    <t>3002</t>
  </si>
  <si>
    <t>3003</t>
  </si>
  <si>
    <t>3004</t>
  </si>
  <si>
    <t>3005</t>
  </si>
  <si>
    <t>3006</t>
  </si>
  <si>
    <t>3007</t>
  </si>
  <si>
    <t>3008</t>
  </si>
  <si>
    <t>3009</t>
  </si>
  <si>
    <t>OPTION YEAR 4 - 06/22/2029-06/21/2030</t>
  </si>
  <si>
    <t>4001</t>
  </si>
  <si>
    <t>4002</t>
  </si>
  <si>
    <t>4003</t>
  </si>
  <si>
    <t>4004</t>
  </si>
  <si>
    <t>4005</t>
  </si>
  <si>
    <t>4006</t>
  </si>
  <si>
    <t>4007</t>
  </si>
  <si>
    <t>4008</t>
  </si>
  <si>
    <t>4009</t>
  </si>
  <si>
    <t>TOTAL</t>
  </si>
  <si>
    <t>MANDATORY VENDOR INFORMATION:</t>
  </si>
  <si>
    <t>Company Name:</t>
  </si>
  <si>
    <t>Open Market/GSA/NASA SEWP:</t>
  </si>
  <si>
    <t xml:space="preserve">TAX ID NO.:  </t>
  </si>
  <si>
    <t>DUNS or Unique Entity Identifier :</t>
  </si>
  <si>
    <t>Signature:</t>
  </si>
  <si>
    <t>Printed Name/Title/Date:</t>
  </si>
  <si>
    <t>Pricing Table V1 | December 2020</t>
  </si>
  <si>
    <t xml:space="preserve">4) Price quotes shall be valid until 06/21/2025.
</t>
  </si>
  <si>
    <t>10-TE-906-HW-2AC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</si>
</sst>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\$#,##0.00"/>
    <numFmt numFmtId="165" formatCode="[$$-409]#,##0"/>
    <numFmt numFmtId="166" formatCode="&quot;$&quot;#,##0.00"/>
  </numFmts>
  <fonts count="20" x14ac:knownFonts="1">
    <font>
      <sz val="11"/>
      <color rgb="FF000000"/>
      <name val="Calibri"/>
      <family val="2"/>
      <charset val="1"/>
    </font>
    <font>
      <sz val="10"/>
      <name val="Arial"/>
      <family val="2"/>
      <charset val="1"/>
    </font>
    <font>
      <b/>
      <sz val="10"/>
      <name val="Arial"/>
      <family val="2"/>
    </font>
    <font>
      <sz val="11"/>
      <color rgb="FF000000"/>
      <name val="Calibri"/>
      <family val="2"/>
      <charset val="1"/>
    </font>
    <font>
      <sz val="10"/>
      <name val="Arial"/>
      <family val="2"/>
    </font>
    <font>
      <b/>
      <sz val="12"/>
      <color rgb="FF000000"/>
      <name val="Arial"/>
      <family val="2"/>
    </font>
    <font>
      <b/>
      <sz val="12"/>
      <name val="Arial"/>
      <family val="2"/>
    </font>
    <font>
      <sz val="10"/>
      <color rgb="FF000000"/>
      <name val="Arial"/>
      <family val="2"/>
    </font>
    <font>
      <sz val="11"/>
      <name val="Arial"/>
      <family val="2"/>
    </font>
    <font>
      <b/>
      <sz val="9"/>
      <name val="Arial"/>
      <family val="2"/>
    </font>
    <font>
      <b/>
      <i/>
      <sz val="12"/>
      <name val="Arial"/>
      <family val="2"/>
    </font>
    <font>
      <sz val="12"/>
      <name val="Arial"/>
      <family val="2"/>
    </font>
    <font>
      <b/>
      <i/>
      <sz val="12"/>
      <color rgb="FF000000"/>
      <name val="Arial"/>
      <family val="2"/>
    </font>
    <font>
      <sz val="11"/>
      <color rgb="FF000000"/>
      <name val="Arial"/>
      <family val="2"/>
    </font>
    <font>
      <sz val="10"/>
      <color rgb="FFC00000"/>
      <name val="Arial"/>
      <family val="2"/>
    </font>
    <font>
      <b/>
      <i/>
      <sz val="11"/>
      <name val="Arial"/>
      <family val="2"/>
    </font>
    <font>
      <b/>
      <i/>
      <sz val="11"/>
      <color rgb="FF000000"/>
      <name val="Arial"/>
      <family val="2"/>
    </font>
    <font>
      <b/>
      <sz val="11"/>
      <name val="Arial"/>
      <family val="2"/>
    </font>
    <font>
      <sz val="12"/>
      <color rgb="FF000000"/>
      <name val="Times New Roman"/>
      <family val="1"/>
    </font>
    <font>
      <b/>
      <sz val="11"/>
      <color rgb="FFFF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C0C0C0"/>
        <bgColor rgb="FFBFBFBF"/>
      </patternFill>
    </fill>
    <fill>
      <patternFill patternType="solid">
        <fgColor rgb="FFFFC000"/>
        <bgColor indexed="64"/>
      </patternFill>
    </fill>
    <fill>
      <patternFill patternType="solid">
        <fgColor rgb="FFFFC000"/>
        <bgColor rgb="FFFF9900"/>
      </patternFill>
    </fill>
    <fill>
      <patternFill patternType="solid">
        <fgColor rgb="FFADB9CA"/>
        <bgColor rgb="FFBFBFBF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rgb="FFC0C0C0"/>
      </patternFill>
    </fill>
  </fills>
  <borders count="35">
    <border>
      <left/>
      <right/>
      <top/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indexed="64"/>
      </left>
      <right/>
      <top style="medium">
        <color auto="1"/>
      </top>
      <bottom/>
      <diagonal/>
    </border>
    <border>
      <left style="thin">
        <color indexed="64"/>
      </left>
      <right style="medium">
        <color auto="1"/>
      </right>
      <top style="medium">
        <color auto="1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auto="1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auto="1"/>
      </bottom>
      <diagonal/>
    </border>
    <border>
      <left style="medium">
        <color indexed="64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auto="1"/>
      </bottom>
      <diagonal/>
    </border>
  </borders>
  <cellStyleXfs count="5">
    <xf numFmtId="0" fontId="0" fillId="0" borderId="0"/>
    <xf numFmtId="0" fontId="1" fillId="0" borderId="0"/>
    <xf numFmtId="0" fontId="1" fillId="0" borderId="0"/>
    <xf numFmtId="0" fontId="1" fillId="0" borderId="0"/>
    <xf numFmtId="44" fontId="3" fillId="0" borderId="0" applyFont="0" applyFill="0" applyBorder="0" applyAlignment="0" applyProtection="0"/>
  </cellStyleXfs>
  <cellXfs count="103">
    <xf numFmtId="0" fontId="0" fillId="0" borderId="0" xfId="0"/>
    <xf numFmtId="0" fontId="4" fillId="0" borderId="0" xfId="1" applyFont="1"/>
    <xf numFmtId="0" fontId="6" fillId="0" borderId="3" xfId="3" applyFont="1" applyBorder="1" applyAlignment="1">
      <alignment horizontal="center"/>
    </xf>
    <xf numFmtId="0" fontId="8" fillId="0" borderId="0" xfId="1" applyFont="1"/>
    <xf numFmtId="0" fontId="4" fillId="6" borderId="8" xfId="1" applyFont="1" applyFill="1" applyBorder="1"/>
    <xf numFmtId="0" fontId="4" fillId="6" borderId="12" xfId="1" applyFont="1" applyFill="1" applyBorder="1"/>
    <xf numFmtId="0" fontId="6" fillId="6" borderId="12" xfId="1" applyFont="1" applyFill="1" applyBorder="1" applyAlignment="1">
      <alignment horizontal="center" wrapText="1"/>
    </xf>
    <xf numFmtId="0" fontId="9" fillId="5" borderId="8" xfId="1" applyFont="1" applyFill="1" applyBorder="1" applyAlignment="1">
      <alignment horizontal="center" wrapText="1"/>
    </xf>
    <xf numFmtId="0" fontId="4" fillId="0" borderId="11" xfId="0" applyFont="1" applyBorder="1" applyAlignment="1">
      <alignment horizontal="left" wrapText="1"/>
    </xf>
    <xf numFmtId="0" fontId="4" fillId="0" borderId="15" xfId="1" applyFont="1" applyBorder="1" applyAlignment="1">
      <alignment horizontal="center"/>
    </xf>
    <xf numFmtId="0" fontId="4" fillId="0" borderId="0" xfId="1" applyFont="1" applyAlignment="1">
      <alignment horizontal="center"/>
    </xf>
    <xf numFmtId="0" fontId="4" fillId="0" borderId="12" xfId="1" applyFont="1" applyBorder="1" applyAlignment="1">
      <alignment horizontal="center"/>
    </xf>
    <xf numFmtId="0" fontId="4" fillId="0" borderId="10" xfId="0" applyFont="1" applyBorder="1" applyAlignment="1">
      <alignment horizontal="left" wrapText="1"/>
    </xf>
    <xf numFmtId="0" fontId="11" fillId="0" borderId="0" xfId="1" applyFont="1"/>
    <xf numFmtId="0" fontId="10" fillId="3" borderId="8" xfId="0" applyFont="1" applyFill="1" applyBorder="1" applyAlignment="1">
      <alignment horizontal="center" wrapText="1"/>
    </xf>
    <xf numFmtId="165" fontId="13" fillId="0" borderId="8" xfId="0" applyNumberFormat="1" applyFont="1" applyBorder="1" applyAlignment="1">
      <alignment horizontal="left" wrapText="1"/>
    </xf>
    <xf numFmtId="165" fontId="13" fillId="3" borderId="8" xfId="0" applyNumberFormat="1" applyFont="1" applyFill="1" applyBorder="1" applyAlignment="1">
      <alignment horizontal="left" wrapText="1"/>
    </xf>
    <xf numFmtId="0" fontId="4" fillId="7" borderId="9" xfId="0" applyFont="1" applyFill="1" applyBorder="1" applyAlignment="1">
      <alignment horizontal="left" wrapText="1"/>
    </xf>
    <xf numFmtId="0" fontId="13" fillId="0" borderId="0" xfId="0" applyFont="1"/>
    <xf numFmtId="0" fontId="4" fillId="6" borderId="27" xfId="1" applyFont="1" applyFill="1" applyBorder="1"/>
    <xf numFmtId="0" fontId="9" fillId="5" borderId="27" xfId="1" applyFont="1" applyFill="1" applyBorder="1" applyAlignment="1">
      <alignment horizontal="center" wrapText="1"/>
    </xf>
    <xf numFmtId="0" fontId="9" fillId="5" borderId="28" xfId="1" applyFont="1" applyFill="1" applyBorder="1" applyAlignment="1">
      <alignment horizontal="center" wrapText="1"/>
    </xf>
    <xf numFmtId="49" fontId="2" fillId="0" borderId="29" xfId="1" quotePrefix="1" applyNumberFormat="1" applyFont="1" applyBorder="1" applyAlignment="1">
      <alignment horizontal="center"/>
    </xf>
    <xf numFmtId="164" fontId="4" fillId="0" borderId="30" xfId="1" applyNumberFormat="1" applyFont="1" applyBorder="1" applyAlignment="1">
      <alignment horizontal="right" wrapText="1"/>
    </xf>
    <xf numFmtId="164" fontId="11" fillId="0" borderId="31" xfId="1" applyNumberFormat="1" applyFont="1" applyBorder="1"/>
    <xf numFmtId="49" fontId="2" fillId="0" borderId="32" xfId="1" applyNumberFormat="1" applyFont="1" applyBorder="1" applyAlignment="1">
      <alignment horizontal="center"/>
    </xf>
    <xf numFmtId="164" fontId="11" fillId="0" borderId="28" xfId="1" applyNumberFormat="1" applyFont="1" applyBorder="1"/>
    <xf numFmtId="49" fontId="2" fillId="3" borderId="32" xfId="1" applyNumberFormat="1" applyFont="1" applyFill="1" applyBorder="1" applyAlignment="1">
      <alignment horizontal="center"/>
    </xf>
    <xf numFmtId="164" fontId="2" fillId="3" borderId="28" xfId="1" applyNumberFormat="1" applyFont="1" applyFill="1" applyBorder="1" applyAlignment="1">
      <alignment horizontal="center" wrapText="1"/>
    </xf>
    <xf numFmtId="0" fontId="11" fillId="7" borderId="33" xfId="1" applyFont="1" applyFill="1" applyBorder="1"/>
    <xf numFmtId="166" fontId="11" fillId="7" borderId="34" xfId="4" applyNumberFormat="1" applyFont="1" applyFill="1" applyBorder="1"/>
    <xf numFmtId="0" fontId="4" fillId="0" borderId="0" xfId="1" applyFont="1" applyAlignment="1">
      <alignment vertical="top"/>
    </xf>
    <xf numFmtId="0" fontId="8" fillId="3" borderId="32" xfId="1" applyFont="1" applyFill="1" applyBorder="1"/>
    <xf numFmtId="0" fontId="8" fillId="3" borderId="8" xfId="0" applyFont="1" applyFill="1" applyBorder="1" applyAlignment="1">
      <alignment horizontal="left" wrapText="1"/>
    </xf>
    <xf numFmtId="0" fontId="15" fillId="3" borderId="8" xfId="0" applyFont="1" applyFill="1" applyBorder="1" applyAlignment="1">
      <alignment horizontal="center" wrapText="1"/>
    </xf>
    <xf numFmtId="0" fontId="8" fillId="3" borderId="8" xfId="0" applyFont="1" applyFill="1" applyBorder="1" applyAlignment="1">
      <alignment horizontal="center" wrapText="1"/>
    </xf>
    <xf numFmtId="0" fontId="16" fillId="3" borderId="10" xfId="2" applyFont="1" applyFill="1" applyBorder="1" applyAlignment="1">
      <alignment horizontal="center"/>
    </xf>
    <xf numFmtId="0" fontId="8" fillId="3" borderId="28" xfId="1" applyFont="1" applyFill="1" applyBorder="1"/>
    <xf numFmtId="0" fontId="3" fillId="0" borderId="0" xfId="0" applyFont="1"/>
    <xf numFmtId="0" fontId="17" fillId="4" borderId="27" xfId="1" applyFont="1" applyFill="1" applyBorder="1" applyAlignment="1">
      <alignment horizontal="center" wrapText="1"/>
    </xf>
    <xf numFmtId="0" fontId="17" fillId="4" borderId="8" xfId="1" applyFont="1" applyFill="1" applyBorder="1" applyAlignment="1">
      <alignment horizontal="center" wrapText="1"/>
    </xf>
    <xf numFmtId="0" fontId="15" fillId="4" borderId="8" xfId="1" applyFont="1" applyFill="1" applyBorder="1" applyAlignment="1">
      <alignment horizontal="center" wrapText="1"/>
    </xf>
    <xf numFmtId="0" fontId="17" fillId="4" borderId="28" xfId="1" applyFont="1" applyFill="1" applyBorder="1" applyAlignment="1">
      <alignment horizontal="center" wrapText="1"/>
    </xf>
    <xf numFmtId="0" fontId="4" fillId="0" borderId="11" xfId="0" applyFont="1" applyBorder="1" applyAlignment="1">
      <alignment horizontal="left" vertical="center" wrapText="1"/>
    </xf>
    <xf numFmtId="0" fontId="4" fillId="0" borderId="11" xfId="0" applyFont="1" applyBorder="1" applyAlignment="1">
      <alignment horizontal="center" vertical="center" wrapText="1"/>
    </xf>
    <xf numFmtId="49" fontId="2" fillId="0" borderId="29" xfId="1" quotePrefix="1" applyNumberFormat="1" applyFont="1" applyBorder="1" applyAlignment="1">
      <alignment horizontal="center" vertical="center"/>
    </xf>
    <xf numFmtId="0" fontId="19" fillId="0" borderId="0" xfId="0" applyFont="1"/>
    <xf numFmtId="0" fontId="4" fillId="0" borderId="27" xfId="2" applyFont="1" applyBorder="1" applyAlignment="1" applyProtection="1">
      <alignment vertical="top" wrapText="1"/>
      <protection locked="0"/>
    </xf>
    <xf numFmtId="0" fontId="4" fillId="0" borderId="8" xfId="2" applyFont="1" applyBorder="1" applyAlignment="1" applyProtection="1">
      <alignment vertical="top" wrapText="1"/>
      <protection locked="0"/>
    </xf>
    <xf numFmtId="0" fontId="4" fillId="0" borderId="28" xfId="2" applyFont="1" applyBorder="1" applyAlignment="1" applyProtection="1">
      <alignment vertical="top" wrapText="1"/>
      <protection locked="0"/>
    </xf>
    <xf numFmtId="0" fontId="9" fillId="6" borderId="8" xfId="1" applyFont="1" applyFill="1" applyBorder="1" applyAlignment="1">
      <alignment horizontal="center"/>
    </xf>
    <xf numFmtId="0" fontId="9" fillId="6" borderId="28" xfId="1" applyFont="1" applyFill="1" applyBorder="1" applyAlignment="1">
      <alignment horizontal="center"/>
    </xf>
    <xf numFmtId="164" fontId="10" fillId="0" borderId="14" xfId="1" applyNumberFormat="1" applyFont="1" applyBorder="1" applyAlignment="1">
      <alignment horizontal="left"/>
    </xf>
    <xf numFmtId="164" fontId="10" fillId="0" borderId="13" xfId="1" applyNumberFormat="1" applyFont="1" applyBorder="1" applyAlignment="1">
      <alignment horizontal="left"/>
    </xf>
    <xf numFmtId="164" fontId="10" fillId="0" borderId="12" xfId="1" applyNumberFormat="1" applyFont="1" applyBorder="1" applyAlignment="1">
      <alignment horizontal="left"/>
    </xf>
    <xf numFmtId="0" fontId="5" fillId="0" borderId="3" xfId="3" applyFont="1" applyBorder="1" applyAlignment="1">
      <alignment horizontal="right"/>
    </xf>
    <xf numFmtId="0" fontId="5" fillId="0" borderId="23" xfId="3" applyFont="1" applyBorder="1" applyAlignment="1">
      <alignment horizontal="right"/>
    </xf>
    <xf numFmtId="0" fontId="4" fillId="0" borderId="27" xfId="3" applyFont="1" applyBorder="1" applyAlignment="1" applyProtection="1">
      <alignment vertical="top" wrapText="1"/>
      <protection locked="0"/>
    </xf>
    <xf numFmtId="0" fontId="14" fillId="0" borderId="8" xfId="3" applyFont="1" applyBorder="1" applyAlignment="1" applyProtection="1">
      <alignment vertical="top" wrapText="1"/>
      <protection locked="0"/>
    </xf>
    <xf numFmtId="0" fontId="14" fillId="0" borderId="28" xfId="3" applyFont="1" applyBorder="1" applyAlignment="1" applyProtection="1">
      <alignment vertical="top" wrapText="1"/>
      <protection locked="0"/>
    </xf>
    <xf numFmtId="0" fontId="5" fillId="0" borderId="4" xfId="3" applyFont="1" applyBorder="1" applyAlignment="1">
      <alignment horizontal="left"/>
    </xf>
    <xf numFmtId="0" fontId="5" fillId="0" borderId="21" xfId="3" applyFont="1" applyBorder="1" applyAlignment="1">
      <alignment horizontal="left"/>
    </xf>
    <xf numFmtId="0" fontId="5" fillId="0" borderId="20" xfId="3" applyFont="1" applyBorder="1" applyAlignment="1">
      <alignment horizontal="center"/>
    </xf>
    <xf numFmtId="0" fontId="5" fillId="0" borderId="24" xfId="3" applyFont="1" applyBorder="1" applyAlignment="1">
      <alignment horizontal="center"/>
    </xf>
    <xf numFmtId="0" fontId="7" fillId="0" borderId="26" xfId="2" applyFont="1" applyBorder="1" applyAlignment="1" applyProtection="1">
      <alignment vertical="top" wrapText="1"/>
      <protection locked="0"/>
    </xf>
    <xf numFmtId="0" fontId="7" fillId="0" borderId="16" xfId="2" applyFont="1" applyBorder="1" applyAlignment="1" applyProtection="1">
      <alignment vertical="top" wrapText="1"/>
      <protection locked="0"/>
    </xf>
    <xf numFmtId="0" fontId="7" fillId="0" borderId="22" xfId="2" applyFont="1" applyBorder="1" applyAlignment="1" applyProtection="1">
      <alignment vertical="top" wrapText="1"/>
      <protection locked="0"/>
    </xf>
    <xf numFmtId="0" fontId="4" fillId="0" borderId="27" xfId="2" applyFont="1" applyBorder="1" applyAlignment="1" applyProtection="1">
      <alignment vertical="center" wrapText="1"/>
      <protection locked="0"/>
    </xf>
    <xf numFmtId="0" fontId="4" fillId="0" borderId="8" xfId="2" applyFont="1" applyBorder="1" applyAlignment="1" applyProtection="1">
      <alignment vertical="center" wrapText="1"/>
      <protection locked="0"/>
    </xf>
    <xf numFmtId="0" fontId="4" fillId="0" borderId="28" xfId="2" applyFont="1" applyBorder="1" applyAlignment="1" applyProtection="1">
      <alignment vertical="center" wrapText="1"/>
      <protection locked="0"/>
    </xf>
    <xf numFmtId="0" fontId="4" fillId="0" borderId="8" xfId="3" applyFont="1" applyBorder="1" applyAlignment="1" applyProtection="1">
      <alignment vertical="top" wrapText="1"/>
      <protection locked="0"/>
    </xf>
    <xf numFmtId="0" fontId="4" fillId="0" borderId="28" xfId="3" applyFont="1" applyBorder="1" applyAlignment="1" applyProtection="1">
      <alignment vertical="top" wrapText="1"/>
      <protection locked="0"/>
    </xf>
    <xf numFmtId="0" fontId="5" fillId="0" borderId="25" xfId="3" applyFont="1" applyBorder="1" applyAlignment="1">
      <alignment horizontal="center"/>
    </xf>
    <xf numFmtId="0" fontId="5" fillId="0" borderId="7" xfId="3" applyFont="1" applyBorder="1" applyAlignment="1">
      <alignment horizontal="center"/>
    </xf>
    <xf numFmtId="0" fontId="5" fillId="0" borderId="6" xfId="3" applyFont="1" applyBorder="1" applyAlignment="1">
      <alignment horizontal="center"/>
    </xf>
    <xf numFmtId="0" fontId="4" fillId="3" borderId="14" xfId="0" applyFont="1" applyFill="1" applyBorder="1" applyAlignment="1">
      <alignment horizontal="center" wrapText="1"/>
    </xf>
    <xf numFmtId="0" fontId="4" fillId="3" borderId="13" xfId="0" applyFont="1" applyFill="1" applyBorder="1" applyAlignment="1">
      <alignment horizontal="center" wrapText="1"/>
    </xf>
    <xf numFmtId="0" fontId="4" fillId="3" borderId="12" xfId="0" applyFont="1" applyFill="1" applyBorder="1" applyAlignment="1">
      <alignment horizontal="center" wrapText="1"/>
    </xf>
    <xf numFmtId="0" fontId="12" fillId="0" borderId="14" xfId="2" applyFont="1" applyBorder="1" applyAlignment="1">
      <alignment horizontal="left"/>
    </xf>
    <xf numFmtId="0" fontId="12" fillId="0" borderId="13" xfId="2" applyFont="1" applyBorder="1" applyAlignment="1">
      <alignment horizontal="left"/>
    </xf>
    <xf numFmtId="0" fontId="12" fillId="0" borderId="12" xfId="2" applyFont="1" applyBorder="1" applyAlignment="1">
      <alignment horizontal="left"/>
    </xf>
    <xf numFmtId="164" fontId="10" fillId="0" borderId="14" xfId="1" applyNumberFormat="1" applyFont="1" applyBorder="1" applyAlignment="1">
      <alignment horizontal="left" wrapText="1"/>
    </xf>
    <xf numFmtId="164" fontId="10" fillId="0" borderId="13" xfId="1" applyNumberFormat="1" applyFont="1" applyBorder="1" applyAlignment="1">
      <alignment horizontal="left" wrapText="1"/>
    </xf>
    <xf numFmtId="164" fontId="10" fillId="0" borderId="12" xfId="1" applyNumberFormat="1" applyFont="1" applyBorder="1" applyAlignment="1">
      <alignment horizontal="left" wrapText="1"/>
    </xf>
    <xf numFmtId="0" fontId="10" fillId="7" borderId="19" xfId="0" applyFont="1" applyFill="1" applyBorder="1" applyAlignment="1">
      <alignment horizontal="left"/>
    </xf>
    <xf numFmtId="0" fontId="10" fillId="7" borderId="18" xfId="0" applyFont="1" applyFill="1" applyBorder="1" applyAlignment="1">
      <alignment horizontal="left"/>
    </xf>
    <xf numFmtId="0" fontId="10" fillId="7" borderId="17" xfId="0" applyFont="1" applyFill="1" applyBorder="1" applyAlignment="1">
      <alignment horizontal="left"/>
    </xf>
    <xf numFmtId="0" fontId="6" fillId="0" borderId="5" xfId="0" applyFont="1" applyBorder="1" applyAlignment="1">
      <alignment horizontal="left" wrapText="1"/>
    </xf>
    <xf numFmtId="0" fontId="6" fillId="0" borderId="2" xfId="0" applyFont="1" applyBorder="1" applyAlignment="1">
      <alignment horizontal="left" wrapText="1"/>
    </xf>
    <xf numFmtId="0" fontId="6" fillId="0" borderId="1" xfId="0" applyFont="1" applyBorder="1" applyAlignment="1">
      <alignment horizontal="left" wrapText="1"/>
    </xf>
    <xf numFmtId="0" fontId="5" fillId="0" borderId="5" xfId="2" applyFont="1" applyBorder="1" applyAlignment="1">
      <alignment horizontal="left"/>
    </xf>
    <xf numFmtId="0" fontId="5" fillId="0" borderId="2" xfId="2" applyFont="1" applyBorder="1" applyAlignment="1">
      <alignment horizontal="left"/>
    </xf>
    <xf numFmtId="0" fontId="5" fillId="0" borderId="1" xfId="2" applyFont="1" applyBorder="1" applyAlignment="1">
      <alignment horizontal="left"/>
    </xf>
    <xf numFmtId="0" fontId="5" fillId="0" borderId="5" xfId="2" applyFont="1" applyBorder="1"/>
    <xf numFmtId="0" fontId="5" fillId="0" borderId="2" xfId="2" applyFont="1" applyBorder="1"/>
    <xf numFmtId="0" fontId="5" fillId="0" borderId="1" xfId="2" applyFont="1" applyBorder="1"/>
    <xf numFmtId="0" fontId="11" fillId="2" borderId="5" xfId="2" applyFont="1" applyFill="1" applyBorder="1"/>
    <xf numFmtId="0" fontId="11" fillId="2" borderId="2" xfId="2" applyFont="1" applyFill="1" applyBorder="1"/>
    <xf numFmtId="0" fontId="11" fillId="2" borderId="1" xfId="2" applyFont="1" applyFill="1" applyBorder="1"/>
    <xf numFmtId="0" fontId="18" fillId="0" borderId="3" xfId="0" applyFont="1" applyBorder="1" applyAlignment="1">
      <alignment horizontal="left" vertical="center"/>
    </xf>
    <xf numFmtId="0" fontId="6" fillId="0" borderId="5" xfId="1" applyFont="1" applyBorder="1" applyAlignment="1">
      <alignment horizontal="left"/>
    </xf>
    <xf numFmtId="0" fontId="6" fillId="0" borderId="2" xfId="1" applyFont="1" applyBorder="1" applyAlignment="1">
      <alignment horizontal="left"/>
    </xf>
    <xf numFmtId="0" fontId="6" fillId="0" borderId="1" xfId="1" applyFont="1" applyBorder="1" applyAlignment="1">
      <alignment horizontal="left"/>
    </xf>
  </cellXfs>
  <cellStyles count="5">
    <cellStyle name="Currency" xfId="4" builtinId="4"/>
    <cellStyle name="Normal" xfId="0" builtinId="0"/>
    <cellStyle name="Normal 10" xfId="3" xr:uid="{00000000-0005-0000-0000-000002000000}"/>
    <cellStyle name="Normal 2" xfId="1" xr:uid="{00000000-0005-0000-0000-000003000000}"/>
    <cellStyle name="Normal 2 2" xfId="2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MD76"/>
  <sheetViews>
    <sheetView showGridLines="0" tabSelected="1" topLeftCell="B1" zoomScaleNormal="100" workbookViewId="0">
      <selection activeCell="B65" sqref="A65:XFD65"/>
    </sheetView>
  </sheetViews>
  <sheetFormatPr defaultColWidth="15.1796875" defaultRowHeight="14.5" x14ac:dyDescent="0.35"/>
  <cols>
    <col min="1" max="1" width="6.6328125" style="1" customWidth="1"/>
    <col min="2" max="2" width="25.36328125" style="1" customWidth="1"/>
    <col min="3" max="3" width="52.6328125" style="1" customWidth="1"/>
    <col min="4" max="4" width="7.81640625" style="10" customWidth="1"/>
    <col min="5" max="5" width="7.6328125" style="1" customWidth="1"/>
    <col min="6" max="6" width="12.6328125" style="1" customWidth="1"/>
    <col min="7" max="7" width="16.6328125" style="1" customWidth="1"/>
    <col min="8" max="8" width="15.1796875" customWidth="1"/>
    <col min="32" max="1018" width="15.1796875" style="1"/>
    <col min="1019" max="16384" width="15.1796875" style="18"/>
  </cols>
  <sheetData>
    <row r="1" spans="1:31" s="1" customFormat="1" ht="15.5" x14ac:dyDescent="0.35">
      <c r="A1" s="60" t="s">
        <v>0</v>
      </c>
      <c r="B1" s="61"/>
      <c r="C1" s="61"/>
      <c r="D1" s="2"/>
      <c r="E1" s="55" t="s">
        <v>1</v>
      </c>
      <c r="F1" s="55"/>
      <c r="G1" s="56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</row>
    <row r="2" spans="1:31" s="1" customFormat="1" ht="15.5" x14ac:dyDescent="0.35">
      <c r="A2" s="62" t="s">
        <v>2</v>
      </c>
      <c r="B2" s="62"/>
      <c r="C2" s="62"/>
      <c r="D2" s="62"/>
      <c r="E2" s="62"/>
      <c r="F2" s="62"/>
      <c r="G2" s="63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</row>
    <row r="3" spans="1:31" s="1" customFormat="1" ht="16" thickBot="1" x14ac:dyDescent="0.4">
      <c r="A3" s="72"/>
      <c r="B3" s="73"/>
      <c r="C3" s="73"/>
      <c r="D3" s="73"/>
      <c r="E3" s="73"/>
      <c r="F3" s="73"/>
      <c r="G3" s="74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</row>
    <row r="4" spans="1:31" s="3" customFormat="1" ht="51.75" customHeight="1" x14ac:dyDescent="0.35">
      <c r="A4" s="64" t="s">
        <v>3</v>
      </c>
      <c r="B4" s="65"/>
      <c r="C4" s="65"/>
      <c r="D4" s="65"/>
      <c r="E4" s="65"/>
      <c r="F4" s="65"/>
      <c r="G4" s="66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</row>
    <row r="5" spans="1:31" s="1" customFormat="1" ht="42" customHeight="1" x14ac:dyDescent="0.35">
      <c r="A5" s="67" t="s">
        <v>4</v>
      </c>
      <c r="B5" s="68"/>
      <c r="C5" s="68"/>
      <c r="D5" s="68"/>
      <c r="E5" s="68"/>
      <c r="F5" s="68"/>
      <c r="G5" s="69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</row>
    <row r="6" spans="1:31" s="1" customFormat="1" ht="21" customHeight="1" x14ac:dyDescent="0.35">
      <c r="A6" s="57" t="s">
        <v>5</v>
      </c>
      <c r="B6" s="70"/>
      <c r="C6" s="70"/>
      <c r="D6" s="70"/>
      <c r="E6" s="70"/>
      <c r="F6" s="70"/>
      <c r="G6" s="71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</row>
    <row r="7" spans="1:31" s="31" customFormat="1" ht="21" customHeight="1" x14ac:dyDescent="0.35">
      <c r="A7" s="57" t="s">
        <v>93</v>
      </c>
      <c r="B7" s="58"/>
      <c r="C7" s="58"/>
      <c r="D7" s="58"/>
      <c r="E7" s="58"/>
      <c r="F7" s="58"/>
      <c r="G7" s="59"/>
      <c r="H7" s="46"/>
      <c r="I7" s="46"/>
      <c r="J7" s="46"/>
      <c r="K7" s="46"/>
      <c r="L7" s="46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</row>
    <row r="8" spans="1:31" s="1" customFormat="1" ht="21" customHeight="1" x14ac:dyDescent="0.35">
      <c r="A8" s="47" t="s">
        <v>6</v>
      </c>
      <c r="B8" s="48"/>
      <c r="C8" s="48"/>
      <c r="D8" s="48"/>
      <c r="E8" s="48"/>
      <c r="F8" s="48"/>
      <c r="G8" s="49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</row>
    <row r="9" spans="1:31" s="1" customFormat="1" ht="15.5" x14ac:dyDescent="0.35">
      <c r="A9" s="19"/>
      <c r="B9" s="5"/>
      <c r="C9" s="6"/>
      <c r="D9" s="6"/>
      <c r="E9" s="4"/>
      <c r="F9" s="50" t="s">
        <v>7</v>
      </c>
      <c r="G9" s="51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</row>
    <row r="10" spans="1:31" s="1" customFormat="1" ht="24" x14ac:dyDescent="0.35">
      <c r="A10" s="20" t="s">
        <v>8</v>
      </c>
      <c r="B10" s="7" t="s">
        <v>9</v>
      </c>
      <c r="C10" s="7" t="s">
        <v>10</v>
      </c>
      <c r="D10" s="7" t="s">
        <v>11</v>
      </c>
      <c r="E10" s="7" t="s">
        <v>12</v>
      </c>
      <c r="F10" s="7" t="s">
        <v>13</v>
      </c>
      <c r="G10" s="21" t="s">
        <v>14</v>
      </c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</row>
    <row r="11" spans="1:31" s="3" customFormat="1" x14ac:dyDescent="0.35">
      <c r="A11" s="39"/>
      <c r="B11" s="40"/>
      <c r="C11" s="41" t="s">
        <v>15</v>
      </c>
      <c r="D11" s="40"/>
      <c r="E11" s="40"/>
      <c r="F11" s="40"/>
      <c r="G11" s="42"/>
      <c r="H11" s="38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  <c r="AA11" s="38"/>
      <c r="AB11" s="38"/>
      <c r="AC11" s="38"/>
      <c r="AD11" s="38"/>
      <c r="AE11" s="38"/>
    </row>
    <row r="12" spans="1:31" s="10" customFormat="1" ht="37.5" x14ac:dyDescent="0.35">
      <c r="A12" s="45" t="s">
        <v>16</v>
      </c>
      <c r="B12" s="44" t="s">
        <v>17</v>
      </c>
      <c r="C12" s="43" t="s">
        <v>18</v>
      </c>
      <c r="D12" s="44" t="s">
        <v>19</v>
      </c>
      <c r="E12" s="44">
        <v>9</v>
      </c>
      <c r="F12" s="9"/>
      <c r="G12" s="23">
        <f>E12*F12</f>
        <v>0</v>
      </c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</row>
    <row r="13" spans="1:31" s="10" customFormat="1" ht="25" x14ac:dyDescent="0.35">
      <c r="A13" s="45" t="s">
        <v>20</v>
      </c>
      <c r="B13" s="44" t="s">
        <v>94</v>
      </c>
      <c r="C13" s="43" t="s">
        <v>21</v>
      </c>
      <c r="D13" s="44" t="s">
        <v>19</v>
      </c>
      <c r="E13" s="44">
        <v>9</v>
      </c>
      <c r="F13" s="11"/>
      <c r="G13" s="23">
        <f t="shared" ref="G13:G20" si="0">E13*F13</f>
        <v>0</v>
      </c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</row>
    <row r="14" spans="1:31" s="10" customFormat="1" ht="42" customHeight="1" x14ac:dyDescent="0.35">
      <c r="A14" s="45" t="s">
        <v>22</v>
      </c>
      <c r="B14" s="44" t="s">
        <v>23</v>
      </c>
      <c r="C14" s="43" t="s">
        <v>24</v>
      </c>
      <c r="D14" s="44" t="s">
        <v>19</v>
      </c>
      <c r="E14" s="44">
        <v>17</v>
      </c>
      <c r="F14" s="11"/>
      <c r="G14" s="23">
        <f t="shared" si="0"/>
        <v>0</v>
      </c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</row>
    <row r="15" spans="1:31" s="10" customFormat="1" ht="25" x14ac:dyDescent="0.35">
      <c r="A15" s="45" t="s">
        <v>25</v>
      </c>
      <c r="B15" s="44" t="s">
        <v>26</v>
      </c>
      <c r="C15" s="43" t="s">
        <v>27</v>
      </c>
      <c r="D15" s="44" t="s">
        <v>19</v>
      </c>
      <c r="E15" s="44">
        <v>17</v>
      </c>
      <c r="F15" s="11"/>
      <c r="G15" s="23">
        <f>E15*F15</f>
        <v>0</v>
      </c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</row>
    <row r="16" spans="1:31" s="10" customFormat="1" ht="25" x14ac:dyDescent="0.35">
      <c r="A16" s="45" t="s">
        <v>28</v>
      </c>
      <c r="B16" s="44" t="s">
        <v>29</v>
      </c>
      <c r="C16" s="43" t="s">
        <v>30</v>
      </c>
      <c r="D16" s="44" t="s">
        <v>19</v>
      </c>
      <c r="E16" s="44">
        <v>2</v>
      </c>
      <c r="F16" s="11"/>
      <c r="G16" s="23">
        <f t="shared" si="0"/>
        <v>0</v>
      </c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</row>
    <row r="17" spans="1:31" s="10" customFormat="1" ht="37.5" x14ac:dyDescent="0.35">
      <c r="A17" s="45" t="s">
        <v>31</v>
      </c>
      <c r="B17" s="44" t="s">
        <v>32</v>
      </c>
      <c r="C17" s="43" t="s">
        <v>33</v>
      </c>
      <c r="D17" s="44" t="s">
        <v>19</v>
      </c>
      <c r="E17" s="44">
        <v>2</v>
      </c>
      <c r="F17" s="11"/>
      <c r="G17" s="23">
        <f t="shared" si="0"/>
        <v>0</v>
      </c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</row>
    <row r="18" spans="1:31" s="10" customFormat="1" x14ac:dyDescent="0.35">
      <c r="A18" s="45" t="s">
        <v>34</v>
      </c>
      <c r="B18" s="44" t="s">
        <v>35</v>
      </c>
      <c r="C18" s="43" t="s">
        <v>36</v>
      </c>
      <c r="D18" s="44" t="s">
        <v>19</v>
      </c>
      <c r="E18" s="44">
        <v>2</v>
      </c>
      <c r="F18" s="11"/>
      <c r="G18" s="23">
        <f t="shared" si="0"/>
        <v>0</v>
      </c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</row>
    <row r="19" spans="1:31" s="10" customFormat="1" ht="62.5" x14ac:dyDescent="0.35">
      <c r="A19" s="45" t="s">
        <v>37</v>
      </c>
      <c r="B19" s="44" t="s">
        <v>38</v>
      </c>
      <c r="C19" s="43" t="s">
        <v>39</v>
      </c>
      <c r="D19" s="44" t="s">
        <v>19</v>
      </c>
      <c r="E19" s="44">
        <v>1</v>
      </c>
      <c r="F19" s="11"/>
      <c r="G19" s="23">
        <f t="shared" si="0"/>
        <v>0</v>
      </c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</row>
    <row r="20" spans="1:31" s="10" customFormat="1" x14ac:dyDescent="0.35">
      <c r="A20" s="45" t="s">
        <v>40</v>
      </c>
      <c r="B20" s="44" t="s">
        <v>41</v>
      </c>
      <c r="C20" s="43" t="s">
        <v>42</v>
      </c>
      <c r="D20" s="44" t="s">
        <v>19</v>
      </c>
      <c r="E20" s="44">
        <v>1</v>
      </c>
      <c r="F20" s="11"/>
      <c r="G20" s="23">
        <f t="shared" si="0"/>
        <v>0</v>
      </c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</row>
    <row r="21" spans="1:31" s="13" customFormat="1" ht="15.5" x14ac:dyDescent="0.35">
      <c r="A21" s="22"/>
      <c r="B21" s="12"/>
      <c r="C21" s="12"/>
      <c r="D21" s="78" t="s">
        <v>43</v>
      </c>
      <c r="E21" s="79"/>
      <c r="F21" s="80"/>
      <c r="G21" s="24">
        <f>SUM(G12:G20)</f>
        <v>0</v>
      </c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</row>
    <row r="22" spans="1:31" s="3" customFormat="1" x14ac:dyDescent="0.35">
      <c r="A22" s="32"/>
      <c r="B22" s="33"/>
      <c r="C22" s="34" t="s">
        <v>44</v>
      </c>
      <c r="D22" s="35"/>
      <c r="E22" s="35"/>
      <c r="F22" s="36"/>
      <c r="G22" s="37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  <c r="AA22" s="38"/>
      <c r="AB22" s="38"/>
      <c r="AC22" s="38"/>
      <c r="AD22" s="38"/>
      <c r="AE22" s="38"/>
    </row>
    <row r="23" spans="1:31" s="13" customFormat="1" ht="37.5" x14ac:dyDescent="0.35">
      <c r="A23" s="22" t="s">
        <v>45</v>
      </c>
      <c r="B23" s="44" t="s">
        <v>17</v>
      </c>
      <c r="C23" s="43" t="s">
        <v>18</v>
      </c>
      <c r="D23" s="44" t="s">
        <v>19</v>
      </c>
      <c r="E23" s="44">
        <v>9</v>
      </c>
      <c r="F23" s="9"/>
      <c r="G23" s="23">
        <f>E23*F23</f>
        <v>0</v>
      </c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</row>
    <row r="24" spans="1:31" s="13" customFormat="1" ht="25" x14ac:dyDescent="0.35">
      <c r="A24" s="22" t="s">
        <v>46</v>
      </c>
      <c r="B24" s="44" t="s">
        <v>94</v>
      </c>
      <c r="C24" s="43" t="s">
        <v>21</v>
      </c>
      <c r="D24" s="44" t="s">
        <v>19</v>
      </c>
      <c r="E24" s="44">
        <v>9</v>
      </c>
      <c r="F24" s="11"/>
      <c r="G24" s="23">
        <f t="shared" ref="G24:G31" si="1">E24*F24</f>
        <v>0</v>
      </c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</row>
    <row r="25" spans="1:31" s="13" customFormat="1" ht="37.5" x14ac:dyDescent="0.35">
      <c r="A25" s="22" t="s">
        <v>47</v>
      </c>
      <c r="B25" s="44" t="s">
        <v>23</v>
      </c>
      <c r="C25" s="43" t="s">
        <v>24</v>
      </c>
      <c r="D25" s="44" t="s">
        <v>19</v>
      </c>
      <c r="E25" s="44">
        <v>17</v>
      </c>
      <c r="F25" s="11"/>
      <c r="G25" s="23">
        <f t="shared" si="1"/>
        <v>0</v>
      </c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</row>
    <row r="26" spans="1:31" s="13" customFormat="1" ht="25" x14ac:dyDescent="0.35">
      <c r="A26" s="22" t="s">
        <v>48</v>
      </c>
      <c r="B26" s="44" t="s">
        <v>26</v>
      </c>
      <c r="C26" s="43" t="s">
        <v>27</v>
      </c>
      <c r="D26" s="44" t="s">
        <v>19</v>
      </c>
      <c r="E26" s="44">
        <v>17</v>
      </c>
      <c r="F26" s="11"/>
      <c r="G26" s="23">
        <f t="shared" si="1"/>
        <v>0</v>
      </c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</row>
    <row r="27" spans="1:31" s="13" customFormat="1" ht="25" x14ac:dyDescent="0.35">
      <c r="A27" s="22" t="s">
        <v>49</v>
      </c>
      <c r="B27" s="44" t="s">
        <v>29</v>
      </c>
      <c r="C27" s="43" t="s">
        <v>30</v>
      </c>
      <c r="D27" s="44" t="s">
        <v>19</v>
      </c>
      <c r="E27" s="44">
        <v>2</v>
      </c>
      <c r="F27" s="11"/>
      <c r="G27" s="23">
        <f t="shared" si="1"/>
        <v>0</v>
      </c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</row>
    <row r="28" spans="1:31" s="13" customFormat="1" ht="24.5" customHeight="1" x14ac:dyDescent="0.35">
      <c r="A28" s="22" t="s">
        <v>50</v>
      </c>
      <c r="B28" s="44" t="s">
        <v>32</v>
      </c>
      <c r="C28" s="43" t="s">
        <v>33</v>
      </c>
      <c r="D28" s="44" t="s">
        <v>19</v>
      </c>
      <c r="E28" s="44">
        <v>2</v>
      </c>
      <c r="F28" s="11"/>
      <c r="G28" s="23">
        <f t="shared" si="1"/>
        <v>0</v>
      </c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</row>
    <row r="29" spans="1:31" s="3" customFormat="1" x14ac:dyDescent="0.35">
      <c r="A29" s="22" t="s">
        <v>51</v>
      </c>
      <c r="B29" s="44" t="s">
        <v>35</v>
      </c>
      <c r="C29" s="43" t="s">
        <v>36</v>
      </c>
      <c r="D29" s="44" t="s">
        <v>19</v>
      </c>
      <c r="E29" s="44">
        <v>2</v>
      </c>
      <c r="F29" s="11"/>
      <c r="G29" s="23">
        <f t="shared" si="1"/>
        <v>0</v>
      </c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  <c r="AA29" s="38"/>
      <c r="AB29" s="38"/>
      <c r="AC29" s="38"/>
      <c r="AD29" s="38"/>
      <c r="AE29" s="38"/>
    </row>
    <row r="30" spans="1:31" s="13" customFormat="1" ht="62.5" x14ac:dyDescent="0.35">
      <c r="A30" s="22" t="s">
        <v>52</v>
      </c>
      <c r="B30" s="44" t="s">
        <v>38</v>
      </c>
      <c r="C30" s="43" t="s">
        <v>39</v>
      </c>
      <c r="D30" s="44" t="s">
        <v>19</v>
      </c>
      <c r="E30" s="44">
        <v>1</v>
      </c>
      <c r="F30" s="11"/>
      <c r="G30" s="23">
        <f t="shared" si="1"/>
        <v>0</v>
      </c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</row>
    <row r="31" spans="1:31" s="13" customFormat="1" ht="15.5" x14ac:dyDescent="0.35">
      <c r="A31" s="22" t="s">
        <v>53</v>
      </c>
      <c r="B31" s="44" t="s">
        <v>41</v>
      </c>
      <c r="C31" s="43" t="s">
        <v>42</v>
      </c>
      <c r="D31" s="44" t="s">
        <v>19</v>
      </c>
      <c r="E31" s="44">
        <v>1</v>
      </c>
      <c r="F31" s="11"/>
      <c r="G31" s="23">
        <f t="shared" si="1"/>
        <v>0</v>
      </c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</row>
    <row r="32" spans="1:31" s="13" customFormat="1" ht="15" customHeight="1" x14ac:dyDescent="0.35">
      <c r="A32" s="25"/>
      <c r="B32" s="15"/>
      <c r="C32" s="8"/>
      <c r="D32" s="81" t="s">
        <v>43</v>
      </c>
      <c r="E32" s="82"/>
      <c r="F32" s="83"/>
      <c r="G32" s="26">
        <f>SUM(G23:G31)</f>
        <v>0</v>
      </c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</row>
    <row r="33" spans="1:31" s="3" customFormat="1" x14ac:dyDescent="0.35">
      <c r="A33" s="32"/>
      <c r="B33" s="33"/>
      <c r="C33" s="34" t="s">
        <v>54</v>
      </c>
      <c r="D33" s="35"/>
      <c r="E33" s="35"/>
      <c r="F33" s="36"/>
      <c r="G33" s="37"/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  <c r="AA33" s="38"/>
      <c r="AB33" s="38"/>
      <c r="AC33" s="38"/>
      <c r="AD33" s="38"/>
      <c r="AE33" s="38"/>
    </row>
    <row r="34" spans="1:31" s="13" customFormat="1" ht="37.5" x14ac:dyDescent="0.35">
      <c r="A34" s="22" t="s">
        <v>55</v>
      </c>
      <c r="B34" s="44" t="s">
        <v>17</v>
      </c>
      <c r="C34" s="43" t="s">
        <v>18</v>
      </c>
      <c r="D34" s="44" t="s">
        <v>19</v>
      </c>
      <c r="E34" s="44">
        <v>9</v>
      </c>
      <c r="F34" s="9"/>
      <c r="G34" s="23">
        <f>E34*F34</f>
        <v>0</v>
      </c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</row>
    <row r="35" spans="1:31" s="13" customFormat="1" ht="25" x14ac:dyDescent="0.35">
      <c r="A35" s="22" t="s">
        <v>56</v>
      </c>
      <c r="B35" s="44" t="s">
        <v>94</v>
      </c>
      <c r="C35" s="43" t="s">
        <v>21</v>
      </c>
      <c r="D35" s="44" t="s">
        <v>19</v>
      </c>
      <c r="E35" s="44">
        <v>9</v>
      </c>
      <c r="F35" s="11"/>
      <c r="G35" s="23">
        <f t="shared" ref="G35:G42" si="2">E35*F35</f>
        <v>0</v>
      </c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</row>
    <row r="36" spans="1:31" s="13" customFormat="1" ht="37.5" x14ac:dyDescent="0.35">
      <c r="A36" s="22" t="s">
        <v>57</v>
      </c>
      <c r="B36" s="44" t="s">
        <v>23</v>
      </c>
      <c r="C36" s="43" t="s">
        <v>24</v>
      </c>
      <c r="D36" s="44" t="s">
        <v>19</v>
      </c>
      <c r="E36" s="44">
        <v>17</v>
      </c>
      <c r="F36" s="11"/>
      <c r="G36" s="23">
        <f t="shared" si="2"/>
        <v>0</v>
      </c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</row>
    <row r="37" spans="1:31" s="13" customFormat="1" ht="25" x14ac:dyDescent="0.35">
      <c r="A37" s="22" t="s">
        <v>58</v>
      </c>
      <c r="B37" s="44" t="s">
        <v>26</v>
      </c>
      <c r="C37" s="43" t="s">
        <v>27</v>
      </c>
      <c r="D37" s="44" t="s">
        <v>19</v>
      </c>
      <c r="E37" s="44">
        <v>17</v>
      </c>
      <c r="F37" s="11"/>
      <c r="G37" s="23">
        <f t="shared" si="2"/>
        <v>0</v>
      </c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</row>
    <row r="38" spans="1:31" s="13" customFormat="1" ht="25" x14ac:dyDescent="0.35">
      <c r="A38" s="22" t="s">
        <v>59</v>
      </c>
      <c r="B38" s="44" t="s">
        <v>29</v>
      </c>
      <c r="C38" s="43" t="s">
        <v>30</v>
      </c>
      <c r="D38" s="44" t="s">
        <v>19</v>
      </c>
      <c r="E38" s="44">
        <v>2</v>
      </c>
      <c r="F38" s="11"/>
      <c r="G38" s="23">
        <f t="shared" si="2"/>
        <v>0</v>
      </c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</row>
    <row r="39" spans="1:31" s="13" customFormat="1" ht="25.25" customHeight="1" x14ac:dyDescent="0.35">
      <c r="A39" s="22" t="s">
        <v>60</v>
      </c>
      <c r="B39" s="44" t="s">
        <v>32</v>
      </c>
      <c r="C39" s="43" t="s">
        <v>33</v>
      </c>
      <c r="D39" s="44" t="s">
        <v>19</v>
      </c>
      <c r="E39" s="44">
        <v>2</v>
      </c>
      <c r="F39" s="11"/>
      <c r="G39" s="23">
        <f t="shared" si="2"/>
        <v>0</v>
      </c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</row>
    <row r="40" spans="1:31" s="3" customFormat="1" x14ac:dyDescent="0.35">
      <c r="A40" s="22" t="s">
        <v>61</v>
      </c>
      <c r="B40" s="44" t="s">
        <v>35</v>
      </c>
      <c r="C40" s="43" t="s">
        <v>36</v>
      </c>
      <c r="D40" s="44" t="s">
        <v>19</v>
      </c>
      <c r="E40" s="44">
        <v>2</v>
      </c>
      <c r="F40" s="11"/>
      <c r="G40" s="23">
        <f t="shared" si="2"/>
        <v>0</v>
      </c>
      <c r="H40" s="38"/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  <c r="AA40" s="38"/>
      <c r="AB40" s="38"/>
      <c r="AC40" s="38"/>
      <c r="AD40" s="38"/>
      <c r="AE40" s="38"/>
    </row>
    <row r="41" spans="1:31" s="13" customFormat="1" ht="62.5" x14ac:dyDescent="0.35">
      <c r="A41" s="22" t="s">
        <v>62</v>
      </c>
      <c r="B41" s="44" t="s">
        <v>38</v>
      </c>
      <c r="C41" s="43" t="s">
        <v>39</v>
      </c>
      <c r="D41" s="44" t="s">
        <v>19</v>
      </c>
      <c r="E41" s="44">
        <v>1</v>
      </c>
      <c r="F41" s="11"/>
      <c r="G41" s="23">
        <f t="shared" si="2"/>
        <v>0</v>
      </c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</row>
    <row r="42" spans="1:31" s="13" customFormat="1" ht="15.5" x14ac:dyDescent="0.35">
      <c r="A42" s="22" t="s">
        <v>63</v>
      </c>
      <c r="B42" s="44" t="s">
        <v>41</v>
      </c>
      <c r="C42" s="43" t="s">
        <v>42</v>
      </c>
      <c r="D42" s="44" t="s">
        <v>19</v>
      </c>
      <c r="E42" s="44">
        <v>1</v>
      </c>
      <c r="F42" s="11"/>
      <c r="G42" s="23">
        <f t="shared" si="2"/>
        <v>0</v>
      </c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</row>
    <row r="43" spans="1:31" s="13" customFormat="1" ht="15.5" x14ac:dyDescent="0.35">
      <c r="A43" s="25"/>
      <c r="B43" s="15"/>
      <c r="C43" s="8"/>
      <c r="D43" s="52" t="s">
        <v>43</v>
      </c>
      <c r="E43" s="53"/>
      <c r="F43" s="54"/>
      <c r="G43" s="26">
        <f>SUM(G34:G42)</f>
        <v>0</v>
      </c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</row>
    <row r="44" spans="1:31" s="13" customFormat="1" ht="15.5" x14ac:dyDescent="0.35">
      <c r="A44" s="32"/>
      <c r="B44" s="33"/>
      <c r="C44" s="34" t="s">
        <v>64</v>
      </c>
      <c r="D44" s="35"/>
      <c r="E44" s="35"/>
      <c r="F44" s="36"/>
      <c r="G44" s="37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</row>
    <row r="45" spans="1:31" s="13" customFormat="1" ht="37.5" x14ac:dyDescent="0.35">
      <c r="A45" s="22" t="s">
        <v>65</v>
      </c>
      <c r="B45" s="44" t="s">
        <v>17</v>
      </c>
      <c r="C45" s="43" t="s">
        <v>18</v>
      </c>
      <c r="D45" s="44" t="s">
        <v>19</v>
      </c>
      <c r="E45" s="44">
        <v>9</v>
      </c>
      <c r="F45" s="9"/>
      <c r="G45" s="23">
        <f>E45*F45</f>
        <v>0</v>
      </c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</row>
    <row r="46" spans="1:31" s="13" customFormat="1" ht="29.5" customHeight="1" x14ac:dyDescent="0.35">
      <c r="A46" s="22" t="s">
        <v>66</v>
      </c>
      <c r="B46" s="44" t="s">
        <v>94</v>
      </c>
      <c r="C46" s="43" t="s">
        <v>21</v>
      </c>
      <c r="D46" s="44" t="s">
        <v>19</v>
      </c>
      <c r="E46" s="44">
        <v>9</v>
      </c>
      <c r="F46" s="11"/>
      <c r="G46" s="23">
        <f t="shared" ref="G46:G53" si="3">E46*F46</f>
        <v>0</v>
      </c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</row>
    <row r="47" spans="1:31" s="13" customFormat="1" ht="37.5" x14ac:dyDescent="0.35">
      <c r="A47" s="22" t="s">
        <v>67</v>
      </c>
      <c r="B47" s="44" t="s">
        <v>23</v>
      </c>
      <c r="C47" s="43" t="s">
        <v>24</v>
      </c>
      <c r="D47" s="44" t="s">
        <v>19</v>
      </c>
      <c r="E47" s="44">
        <v>17</v>
      </c>
      <c r="F47" s="11"/>
      <c r="G47" s="23">
        <f>E47*F47</f>
        <v>0</v>
      </c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</row>
    <row r="48" spans="1:31" s="13" customFormat="1" ht="24.5" customHeight="1" x14ac:dyDescent="0.35">
      <c r="A48" s="22" t="s">
        <v>68</v>
      </c>
      <c r="B48" s="44" t="s">
        <v>26</v>
      </c>
      <c r="C48" s="43" t="s">
        <v>27</v>
      </c>
      <c r="D48" s="44" t="s">
        <v>19</v>
      </c>
      <c r="E48" s="44">
        <v>17</v>
      </c>
      <c r="F48" s="11"/>
      <c r="G48" s="23">
        <f t="shared" si="3"/>
        <v>0</v>
      </c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</row>
    <row r="49" spans="1:30" s="13" customFormat="1" ht="25" x14ac:dyDescent="0.35">
      <c r="A49" s="22" t="s">
        <v>69</v>
      </c>
      <c r="B49" s="44" t="s">
        <v>29</v>
      </c>
      <c r="C49" s="43" t="s">
        <v>30</v>
      </c>
      <c r="D49" s="44" t="s">
        <v>19</v>
      </c>
      <c r="E49" s="44">
        <v>2</v>
      </c>
      <c r="F49" s="11"/>
      <c r="G49" s="23">
        <f t="shared" si="3"/>
        <v>0</v>
      </c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</row>
    <row r="50" spans="1:30" s="13" customFormat="1" ht="37.5" x14ac:dyDescent="0.35">
      <c r="A50" s="22" t="s">
        <v>70</v>
      </c>
      <c r="B50" s="44" t="s">
        <v>32</v>
      </c>
      <c r="C50" s="43" t="s">
        <v>33</v>
      </c>
      <c r="D50" s="44" t="s">
        <v>19</v>
      </c>
      <c r="E50" s="44">
        <v>2</v>
      </c>
      <c r="F50" s="11"/>
      <c r="G50" s="23">
        <f t="shared" si="3"/>
        <v>0</v>
      </c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</row>
    <row r="51" spans="1:30" s="13" customFormat="1" ht="15.5" x14ac:dyDescent="0.35">
      <c r="A51" s="22" t="s">
        <v>71</v>
      </c>
      <c r="B51" s="44" t="s">
        <v>35</v>
      </c>
      <c r="C51" s="43" t="s">
        <v>36</v>
      </c>
      <c r="D51" s="44" t="s">
        <v>19</v>
      </c>
      <c r="E51" s="44">
        <v>2</v>
      </c>
      <c r="F51" s="11"/>
      <c r="G51" s="23">
        <f t="shared" si="3"/>
        <v>0</v>
      </c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</row>
    <row r="52" spans="1:30" s="13" customFormat="1" ht="62.5" x14ac:dyDescent="0.35">
      <c r="A52" s="22" t="s">
        <v>72</v>
      </c>
      <c r="B52" s="44" t="s">
        <v>38</v>
      </c>
      <c r="C52" s="43" t="s">
        <v>39</v>
      </c>
      <c r="D52" s="44" t="s">
        <v>19</v>
      </c>
      <c r="E52" s="44">
        <v>1</v>
      </c>
      <c r="F52" s="11"/>
      <c r="G52" s="23">
        <f t="shared" si="3"/>
        <v>0</v>
      </c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</row>
    <row r="53" spans="1:30" s="13" customFormat="1" ht="15.5" x14ac:dyDescent="0.35">
      <c r="A53" s="22" t="s">
        <v>73</v>
      </c>
      <c r="B53" s="44" t="s">
        <v>41</v>
      </c>
      <c r="C53" s="43" t="s">
        <v>42</v>
      </c>
      <c r="D53" s="44" t="s">
        <v>19</v>
      </c>
      <c r="E53" s="44">
        <v>1</v>
      </c>
      <c r="F53" s="11"/>
      <c r="G53" s="23">
        <f t="shared" si="3"/>
        <v>0</v>
      </c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</row>
    <row r="54" spans="1:30" ht="15.5" x14ac:dyDescent="0.35">
      <c r="A54" s="25"/>
      <c r="B54" s="15"/>
      <c r="C54" s="8"/>
      <c r="D54" s="52" t="s">
        <v>43</v>
      </c>
      <c r="E54" s="53"/>
      <c r="F54" s="54"/>
      <c r="G54" s="26">
        <f>SUM(G45:G53)</f>
        <v>0</v>
      </c>
    </row>
    <row r="55" spans="1:30" x14ac:dyDescent="0.35">
      <c r="A55" s="32"/>
      <c r="B55" s="33"/>
      <c r="C55" s="34" t="s">
        <v>74</v>
      </c>
      <c r="D55" s="35"/>
      <c r="E55" s="35"/>
      <c r="F55" s="36"/>
      <c r="G55" s="37"/>
    </row>
    <row r="56" spans="1:30" ht="37.5" x14ac:dyDescent="0.35">
      <c r="A56" s="22" t="s">
        <v>75</v>
      </c>
      <c r="B56" s="44" t="s">
        <v>17</v>
      </c>
      <c r="C56" s="43" t="s">
        <v>18</v>
      </c>
      <c r="D56" s="44" t="s">
        <v>19</v>
      </c>
      <c r="E56" s="44">
        <v>9</v>
      </c>
      <c r="F56" s="9"/>
      <c r="G56" s="23">
        <f>E56*F56</f>
        <v>0</v>
      </c>
    </row>
    <row r="57" spans="1:30" ht="25" x14ac:dyDescent="0.35">
      <c r="A57" s="22" t="s">
        <v>76</v>
      </c>
      <c r="B57" s="44" t="s">
        <v>94</v>
      </c>
      <c r="C57" s="43" t="s">
        <v>21</v>
      </c>
      <c r="D57" s="44" t="s">
        <v>19</v>
      </c>
      <c r="E57" s="44">
        <v>9</v>
      </c>
      <c r="F57" s="11"/>
      <c r="G57" s="23">
        <f t="shared" ref="G57:G64" si="4">E57*F57</f>
        <v>0</v>
      </c>
    </row>
    <row r="58" spans="1:30" ht="37.5" x14ac:dyDescent="0.35">
      <c r="A58" s="22" t="s">
        <v>77</v>
      </c>
      <c r="B58" s="44" t="s">
        <v>23</v>
      </c>
      <c r="C58" s="43" t="s">
        <v>24</v>
      </c>
      <c r="D58" s="44" t="s">
        <v>19</v>
      </c>
      <c r="E58" s="44">
        <v>17</v>
      </c>
      <c r="F58" s="11"/>
      <c r="G58" s="23">
        <f t="shared" si="4"/>
        <v>0</v>
      </c>
    </row>
    <row r="59" spans="1:30" ht="25" x14ac:dyDescent="0.35">
      <c r="A59" s="22" t="s">
        <v>78</v>
      </c>
      <c r="B59" s="44" t="s">
        <v>26</v>
      </c>
      <c r="C59" s="43" t="s">
        <v>27</v>
      </c>
      <c r="D59" s="44" t="s">
        <v>19</v>
      </c>
      <c r="E59" s="44">
        <v>17</v>
      </c>
      <c r="F59" s="11"/>
      <c r="G59" s="23">
        <f t="shared" si="4"/>
        <v>0</v>
      </c>
    </row>
    <row r="60" spans="1:30" ht="25" x14ac:dyDescent="0.35">
      <c r="A60" s="22" t="s">
        <v>79</v>
      </c>
      <c r="B60" s="44" t="s">
        <v>29</v>
      </c>
      <c r="C60" s="43" t="s">
        <v>30</v>
      </c>
      <c r="D60" s="44" t="s">
        <v>19</v>
      </c>
      <c r="E60" s="44">
        <v>2</v>
      </c>
      <c r="F60" s="11"/>
      <c r="G60" s="23">
        <f t="shared" si="4"/>
        <v>0</v>
      </c>
    </row>
    <row r="61" spans="1:30" ht="37.5" x14ac:dyDescent="0.35">
      <c r="A61" s="22" t="s">
        <v>80</v>
      </c>
      <c r="B61" s="44" t="s">
        <v>32</v>
      </c>
      <c r="C61" s="43" t="s">
        <v>33</v>
      </c>
      <c r="D61" s="44" t="s">
        <v>19</v>
      </c>
      <c r="E61" s="44">
        <v>2</v>
      </c>
      <c r="F61" s="11"/>
      <c r="G61" s="23">
        <f t="shared" si="4"/>
        <v>0</v>
      </c>
    </row>
    <row r="62" spans="1:30" x14ac:dyDescent="0.35">
      <c r="A62" s="22" t="s">
        <v>81</v>
      </c>
      <c r="B62" s="44" t="s">
        <v>35</v>
      </c>
      <c r="C62" s="43" t="s">
        <v>36</v>
      </c>
      <c r="D62" s="44" t="s">
        <v>19</v>
      </c>
      <c r="E62" s="44">
        <v>2</v>
      </c>
      <c r="F62" s="11"/>
      <c r="G62" s="23">
        <f t="shared" si="4"/>
        <v>0</v>
      </c>
    </row>
    <row r="63" spans="1:30" ht="62.5" x14ac:dyDescent="0.35">
      <c r="A63" s="22" t="s">
        <v>82</v>
      </c>
      <c r="B63" s="44" t="s">
        <v>38</v>
      </c>
      <c r="C63" s="43" t="s">
        <v>39</v>
      </c>
      <c r="D63" s="44" t="s">
        <v>19</v>
      </c>
      <c r="E63" s="44">
        <v>1</v>
      </c>
      <c r="F63" s="11"/>
      <c r="G63" s="23">
        <f t="shared" si="4"/>
        <v>0</v>
      </c>
    </row>
    <row r="64" spans="1:30" x14ac:dyDescent="0.35">
      <c r="A64" s="22" t="s">
        <v>83</v>
      </c>
      <c r="B64" s="44" t="s">
        <v>41</v>
      </c>
      <c r="C64" s="43" t="s">
        <v>42</v>
      </c>
      <c r="D64" s="44" t="s">
        <v>19</v>
      </c>
      <c r="E64" s="44">
        <v>1</v>
      </c>
      <c r="F64" s="11"/>
      <c r="G64" s="23">
        <f t="shared" si="4"/>
        <v>0</v>
      </c>
    </row>
    <row r="65" spans="1:7" ht="15.5" x14ac:dyDescent="0.35">
      <c r="A65" s="25"/>
      <c r="B65" s="15"/>
      <c r="C65" s="8"/>
      <c r="D65" s="52" t="s">
        <v>43</v>
      </c>
      <c r="E65" s="53"/>
      <c r="F65" s="54"/>
      <c r="G65" s="26">
        <f>SUM(G56:G64)</f>
        <v>0</v>
      </c>
    </row>
    <row r="66" spans="1:7" ht="15.5" x14ac:dyDescent="0.35">
      <c r="A66" s="27"/>
      <c r="B66" s="16"/>
      <c r="C66" s="14" t="s">
        <v>84</v>
      </c>
      <c r="D66" s="75"/>
      <c r="E66" s="76"/>
      <c r="F66" s="77"/>
      <c r="G66" s="28"/>
    </row>
    <row r="67" spans="1:7" ht="16" thickBot="1" x14ac:dyDescent="0.4">
      <c r="A67" s="29"/>
      <c r="B67" s="17"/>
      <c r="C67" s="17"/>
      <c r="D67" s="84" t="s">
        <v>84</v>
      </c>
      <c r="E67" s="85"/>
      <c r="F67" s="86"/>
      <c r="G67" s="30">
        <f>G21+G32+G43+G54+G65</f>
        <v>0</v>
      </c>
    </row>
    <row r="68" spans="1:7" ht="16" thickBot="1" x14ac:dyDescent="0.4">
      <c r="A68" s="100" t="s">
        <v>85</v>
      </c>
      <c r="B68" s="101"/>
      <c r="C68" s="101"/>
      <c r="D68" s="101"/>
      <c r="E68" s="101"/>
      <c r="F68" s="101"/>
      <c r="G68" s="102"/>
    </row>
    <row r="69" spans="1:7" ht="16" thickBot="1" x14ac:dyDescent="0.4">
      <c r="A69" s="87" t="s">
        <v>86</v>
      </c>
      <c r="B69" s="88"/>
      <c r="C69" s="88"/>
      <c r="D69" s="88"/>
      <c r="E69" s="88"/>
      <c r="F69" s="88"/>
      <c r="G69" s="89"/>
    </row>
    <row r="70" spans="1:7" ht="16" thickBot="1" x14ac:dyDescent="0.4">
      <c r="A70" s="90" t="s">
        <v>87</v>
      </c>
      <c r="B70" s="91"/>
      <c r="C70" s="91"/>
      <c r="D70" s="91"/>
      <c r="E70" s="91"/>
      <c r="F70" s="91"/>
      <c r="G70" s="92"/>
    </row>
    <row r="71" spans="1:7" ht="16" thickBot="1" x14ac:dyDescent="0.4">
      <c r="A71" s="93" t="s">
        <v>88</v>
      </c>
      <c r="B71" s="94"/>
      <c r="C71" s="94"/>
      <c r="D71" s="94"/>
      <c r="E71" s="94"/>
      <c r="F71" s="94"/>
      <c r="G71" s="95"/>
    </row>
    <row r="72" spans="1:7" ht="16" thickBot="1" x14ac:dyDescent="0.4">
      <c r="A72" s="93" t="s">
        <v>89</v>
      </c>
      <c r="B72" s="94"/>
      <c r="C72" s="94"/>
      <c r="D72" s="94"/>
      <c r="E72" s="94"/>
      <c r="F72" s="94"/>
      <c r="G72" s="95"/>
    </row>
    <row r="73" spans="1:7" ht="16" thickBot="1" x14ac:dyDescent="0.4">
      <c r="A73" s="96"/>
      <c r="B73" s="97"/>
      <c r="C73" s="97"/>
      <c r="D73" s="97"/>
      <c r="E73" s="97"/>
      <c r="F73" s="97"/>
      <c r="G73" s="98"/>
    </row>
    <row r="74" spans="1:7" ht="16" thickBot="1" x14ac:dyDescent="0.4">
      <c r="A74" s="90" t="s">
        <v>90</v>
      </c>
      <c r="B74" s="91"/>
      <c r="C74" s="91"/>
      <c r="D74" s="91"/>
      <c r="E74" s="91"/>
      <c r="F74" s="91"/>
      <c r="G74" s="92"/>
    </row>
    <row r="75" spans="1:7" ht="16" thickBot="1" x14ac:dyDescent="0.4">
      <c r="A75" s="90" t="s">
        <v>91</v>
      </c>
      <c r="B75" s="91"/>
      <c r="C75" s="91"/>
      <c r="D75" s="91"/>
      <c r="E75" s="91"/>
      <c r="F75" s="91"/>
      <c r="G75" s="92"/>
    </row>
    <row r="76" spans="1:7" ht="15.5" x14ac:dyDescent="0.35">
      <c r="A76" s="99" t="s">
        <v>92</v>
      </c>
      <c r="B76" s="99"/>
      <c r="C76" s="99"/>
      <c r="D76" s="99"/>
      <c r="E76" s="99"/>
      <c r="F76" s="99"/>
      <c r="G76" s="99"/>
    </row>
  </sheetData>
  <mergeCells count="26">
    <mergeCell ref="A73:G73"/>
    <mergeCell ref="A74:G74"/>
    <mergeCell ref="A75:G75"/>
    <mergeCell ref="A76:G76"/>
    <mergeCell ref="A68:G68"/>
    <mergeCell ref="D67:F67"/>
    <mergeCell ref="A69:G69"/>
    <mergeCell ref="A70:G70"/>
    <mergeCell ref="A71:G71"/>
    <mergeCell ref="A72:G72"/>
    <mergeCell ref="D54:F54"/>
    <mergeCell ref="D65:F65"/>
    <mergeCell ref="D66:F66"/>
    <mergeCell ref="D21:F21"/>
    <mergeCell ref="D32:F32"/>
    <mergeCell ref="A8:G8"/>
    <mergeCell ref="F9:G9"/>
    <mergeCell ref="D43:F43"/>
    <mergeCell ref="E1:G1"/>
    <mergeCell ref="A7:G7"/>
    <mergeCell ref="A1:C1"/>
    <mergeCell ref="A2:G2"/>
    <mergeCell ref="A4:G4"/>
    <mergeCell ref="A5:G5"/>
    <mergeCell ref="A6:G6"/>
    <mergeCell ref="A3:G3"/>
  </mergeCells>
  <printOptions horizontalCentered="1"/>
  <pageMargins left="0.5" right="0.5" top="0.5" bottom="0.5" header="0.51180555555555496" footer="0.3"/>
  <pageSetup scale="76" firstPageNumber="0" orientation="portrait" horizontalDpi="300" verticalDpi="300" r:id="rId1"/>
  <headerFooter>
    <oddHeader>&amp;LPricing Table V1 | December 2020</oddHeader>
    <oddFooter>Page 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i0f84bba906045b4af568ee102a52dcb xmlns="60cf2265-0123-4bdd-b005-f29651438544">
      <Terms xmlns="http://schemas.microsoft.com/office/infopath/2007/PartnerControls">
        <TermInfo xmlns="http://schemas.microsoft.com/office/infopath/2007/PartnerControls">
          <TermName xmlns="http://schemas.microsoft.com/office/infopath/2007/PartnerControls">SAATeams</TermName>
          <TermId xmlns="http://schemas.microsoft.com/office/infopath/2007/PartnerControls">41c42ab1-b1a9-432c-905b-304b551048c3</TermId>
        </TermInfo>
      </Terms>
    </i0f84bba906045b4af568ee102a52dcb>
    <TaxCatchAll xmlns="60cf2265-0123-4bdd-b005-f29651438544">
      <Value>4</Value>
    </TaxCatchAll>
    <lcf76f155ced4ddcb4097134ff3c332f xmlns="f0197cb2-fa5d-407e-8d9e-ff0c4ef4ac2c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A67B8AF75D78D489A513AB5B80AACBB" ma:contentTypeVersion="17" ma:contentTypeDescription="Create a new document." ma:contentTypeScope="" ma:versionID="9f579f07bfccd48b0931ee6856ffd310">
  <xsd:schema xmlns:xsd="http://www.w3.org/2001/XMLSchema" xmlns:xs="http://www.w3.org/2001/XMLSchema" xmlns:p="http://schemas.microsoft.com/office/2006/metadata/properties" xmlns:ns2="f0197cb2-fa5d-407e-8d9e-ff0c4ef4ac2c" xmlns:ns3="60cf2265-0123-4bdd-b005-f29651438544" targetNamespace="http://schemas.microsoft.com/office/2006/metadata/properties" ma:root="true" ma:fieldsID="5602931b1c316bfc0333e432ddbb9503" ns2:_="" ns3:_="">
    <xsd:import namespace="f0197cb2-fa5d-407e-8d9e-ff0c4ef4ac2c"/>
    <xsd:import namespace="60cf2265-0123-4bdd-b005-f2965143854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bjectDetectorVersions" minOccurs="0"/>
                <xsd:element ref="ns3:i0f84bba906045b4af568ee102a52dcb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197cb2-fa5d-407e-8d9e-ff0c4ef4ac2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a6c7ba20-d28d-4670-8008-cb20b00b110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0cf2265-0123-4bdd-b005-f29651438544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3f5a4536-2c3c-4077-a3fb-f1982af522c3}" ma:internalName="TaxCatchAll" ma:showField="CatchAllData" ma:web="60cf2265-0123-4bdd-b005-f2965143854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i0f84bba906045b4af568ee102a52dcb" ma:index="22" nillable="true" ma:taxonomy="true" ma:internalName="i0f84bba906045b4af568ee102a52dcb" ma:taxonomyFieldName="RevIMBCS" ma:displayName="SAAAvePtGroup" ma:indexed="true" ma:default="4;#SAATeams|41c42ab1-b1a9-432c-905b-304b551048c3" ma:fieldId="{20f84bba-9060-45b4-af56-8ee102a52dcb}" ma:sspId="a6c7ba20-d28d-4670-8008-cb20b00b110c" ma:termSetId="bedebaea-e226-498c-b6ba-62b821ed5438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2497DDD-8C9D-4C9A-AE36-54EBCF588ECC}">
  <ds:schemaRefs>
    <ds:schemaRef ds:uri="http://purl.org/dc/dcmitype/"/>
    <ds:schemaRef ds:uri="http://purl.org/dc/terms/"/>
    <ds:schemaRef ds:uri="http://schemas.microsoft.com/office/2006/documentManagement/types"/>
    <ds:schemaRef ds:uri="http://schemas.microsoft.com/office/infopath/2007/PartnerControls"/>
    <ds:schemaRef ds:uri="60cf2265-0123-4bdd-b005-f29651438544"/>
    <ds:schemaRef ds:uri="http://purl.org/dc/elements/1.1/"/>
    <ds:schemaRef ds:uri="http://schemas.microsoft.com/office/2006/metadata/properties"/>
    <ds:schemaRef ds:uri="http://schemas.openxmlformats.org/package/2006/metadata/core-properties"/>
    <ds:schemaRef ds:uri="f0197cb2-fa5d-407e-8d9e-ff0c4ef4ac2c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CCF3D006-B5B5-47E2-BAD8-88957F96BE2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0197cb2-fa5d-407e-8d9e-ff0c4ef4ac2c"/>
    <ds:schemaRef ds:uri="60cf2265-0123-4bdd-b005-f2965143854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1C219D2-0ABF-4ABE-9870-3194B315DFD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PRICING TABLE</vt:lpstr>
    </vt:vector>
  </TitlesOfParts>
  <Manager/>
  <Company>United States Senate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Hann, Amy (SAA)</dc:creator>
  <cp:keywords/>
  <dc:description/>
  <cp:lastModifiedBy>McDonald, Holly (SAA)</cp:lastModifiedBy>
  <cp:revision/>
  <dcterms:created xsi:type="dcterms:W3CDTF">2020-10-29T14:27:47Z</dcterms:created>
  <dcterms:modified xsi:type="dcterms:W3CDTF">2025-04-22T19:06:03Z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0x0101005A67B8AF75D78D489A513AB5B80AACBB</vt:lpwstr>
  </property>
  <property fmtid="{D5CDD505-2E9C-101B-9397-08002B2CF9AE}" pid="3" name="MediaServiceImageTags">
    <vt:lpwstr/>
  </property>
  <property fmtid="{D5CDD505-2E9C-101B-9397-08002B2CF9AE}" pid="4" name="RevIMBCS">
    <vt:lpwstr>4;#SAATeams|41c42ab1-b1a9-432c-905b-304b551048c3</vt:lpwstr>
  </property>
</Properties>
</file>