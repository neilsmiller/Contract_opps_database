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TMAS\TMAS 2\FOPR\AEDC Documents\FOPR Final Release Attachments\"/>
    </mc:Choice>
  </mc:AlternateContent>
  <bookViews>
    <workbookView xWindow="0" yWindow="140" windowWidth="19200" windowHeight="6330" tabRatio="1000"/>
  </bookViews>
  <sheets>
    <sheet name="Self Score Sheet" sheetId="1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6" i="14" l="1"/>
  <c r="K28" i="14" l="1"/>
  <c r="I28" i="14"/>
  <c r="M28" i="14" s="1"/>
  <c r="L28" i="14" l="1"/>
  <c r="K29" i="14"/>
  <c r="I29" i="14"/>
  <c r="L29" i="14" s="1"/>
  <c r="K27" i="14"/>
  <c r="I27" i="14"/>
  <c r="L27" i="14" s="1"/>
  <c r="I26" i="14"/>
  <c r="L26" i="14" s="1"/>
  <c r="K26" i="14"/>
  <c r="K25" i="14"/>
  <c r="I25" i="14"/>
  <c r="M25" i="14" s="1"/>
  <c r="I19" i="14"/>
  <c r="I20" i="14"/>
  <c r="I21" i="14"/>
  <c r="I22" i="14"/>
  <c r="I23" i="14"/>
  <c r="I24" i="14"/>
  <c r="I18" i="14"/>
  <c r="I11" i="14"/>
  <c r="I12" i="14"/>
  <c r="I13" i="14"/>
  <c r="I14" i="14"/>
  <c r="I15" i="14"/>
  <c r="I16" i="14"/>
  <c r="M26" i="14" l="1"/>
  <c r="M27" i="14"/>
  <c r="M29" i="14"/>
  <c r="L25" i="14"/>
  <c r="H37" i="14" l="1"/>
  <c r="H43" i="14" s="1"/>
  <c r="L15" i="14" l="1"/>
  <c r="K15" i="14"/>
  <c r="M15" i="14"/>
  <c r="K21" i="14" l="1"/>
  <c r="M21" i="14"/>
  <c r="M13" i="14"/>
  <c r="M23" i="14"/>
  <c r="M22" i="14"/>
  <c r="M24" i="14"/>
  <c r="M20" i="14"/>
  <c r="L21" i="14" l="1"/>
  <c r="M12" i="14"/>
  <c r="M18" i="14" l="1"/>
  <c r="M19" i="14"/>
  <c r="M11" i="14"/>
  <c r="K16" i="14" l="1"/>
  <c r="M16" i="14"/>
  <c r="L16" i="14" l="1"/>
  <c r="K20" i="14" l="1"/>
  <c r="K24" i="14"/>
  <c r="L24" i="14" l="1"/>
  <c r="L20" i="14"/>
  <c r="L23" i="14"/>
  <c r="K23" i="14"/>
  <c r="M14" i="14" l="1"/>
  <c r="J38" i="14" l="1"/>
  <c r="J39" i="14"/>
  <c r="J40" i="14"/>
  <c r="J41" i="14"/>
  <c r="J37" i="14"/>
  <c r="D43" i="14"/>
  <c r="I38" i="14"/>
  <c r="I39" i="14"/>
  <c r="I40" i="14"/>
  <c r="I41" i="14"/>
  <c r="I37" i="14"/>
  <c r="H38" i="14"/>
  <c r="H39" i="14"/>
  <c r="H40" i="14"/>
  <c r="H41" i="14"/>
  <c r="J43" i="14" l="1"/>
  <c r="I43" i="14"/>
  <c r="L14" i="14"/>
  <c r="L19" i="14" l="1"/>
  <c r="L18" i="14"/>
  <c r="L11" i="14" l="1"/>
  <c r="L13" i="14" l="1"/>
  <c r="K22" i="14" l="1"/>
  <c r="K19" i="14"/>
  <c r="K18" i="14"/>
  <c r="K14" i="14"/>
  <c r="K13" i="14"/>
  <c r="K12" i="14"/>
  <c r="K11" i="14"/>
  <c r="D45" i="14" l="1"/>
  <c r="L12" i="14"/>
  <c r="L22" i="14"/>
</calcChain>
</file>

<file path=xl/sharedStrings.xml><?xml version="1.0" encoding="utf-8"?>
<sst xmlns="http://schemas.openxmlformats.org/spreadsheetml/2006/main" count="97" uniqueCount="87">
  <si>
    <t>Weight Factor</t>
  </si>
  <si>
    <t>3.1.1</t>
  </si>
  <si>
    <t>3.1.2</t>
  </si>
  <si>
    <t>3.1.3</t>
  </si>
  <si>
    <t>3.1.4</t>
  </si>
  <si>
    <t>3.2.1</t>
  </si>
  <si>
    <t>3.2.2</t>
  </si>
  <si>
    <t>3.2.3</t>
  </si>
  <si>
    <t>3.2.4</t>
  </si>
  <si>
    <t>3.2.5</t>
  </si>
  <si>
    <t>3.3.1</t>
  </si>
  <si>
    <t>Maximum Total Score</t>
  </si>
  <si>
    <r>
      <t xml:space="preserve">OFFEROR NAME: </t>
    </r>
    <r>
      <rPr>
        <b/>
        <sz val="14"/>
        <color theme="3" tint="0.39997558519241921"/>
        <rFont val="Times New Roman"/>
        <family val="1"/>
      </rPr>
      <t>[FILL IN OFFEROR NAME HERE]</t>
    </r>
  </si>
  <si>
    <t>3.1.5</t>
  </si>
  <si>
    <t>Max Possible Points</t>
  </si>
  <si>
    <t>3.4.1</t>
  </si>
  <si>
    <t>3.4.2</t>
  </si>
  <si>
    <t>3.4.3</t>
  </si>
  <si>
    <t>3.4.4</t>
  </si>
  <si>
    <t>3.4.5</t>
  </si>
  <si>
    <t>Totals</t>
  </si>
  <si>
    <t>Technical</t>
  </si>
  <si>
    <t>3.2.6</t>
  </si>
  <si>
    <t>3.2.7</t>
  </si>
  <si>
    <t>3.2.8</t>
  </si>
  <si>
    <t>3.2.9</t>
  </si>
  <si>
    <t>3.2.10</t>
  </si>
  <si>
    <t>3.2.11</t>
  </si>
  <si>
    <t>3.2.12</t>
  </si>
  <si>
    <t>DSS Vunerability Rating</t>
  </si>
  <si>
    <t>Superior</t>
  </si>
  <si>
    <t>Commendable</t>
  </si>
  <si>
    <t>Satisfactory</t>
  </si>
  <si>
    <t>Marginal</t>
  </si>
  <si>
    <t xml:space="preserve">Category                                           </t>
  </si>
  <si>
    <t>Eval Criteria Section</t>
  </si>
  <si>
    <t>Max. Possible Points</t>
  </si>
  <si>
    <t>Offeror's Position/Location Total</t>
  </si>
  <si>
    <t>1000 Points</t>
  </si>
  <si>
    <t>Offeror's Self-Score</t>
  </si>
  <si>
    <t>Offeror's Weighted Self-Score</t>
  </si>
  <si>
    <t>Note: See Attachment 05, Evaluation Criteria, for Additional Information</t>
  </si>
  <si>
    <t>Note: Offerors only fill in the orange shaded blocks throughout</t>
  </si>
  <si>
    <t>Most recent DSS vulnerability assessment</t>
  </si>
  <si>
    <t>Unsatisfactory</t>
  </si>
  <si>
    <t>750 Points</t>
  </si>
  <si>
    <t>500 Points</t>
  </si>
  <si>
    <t>0 Points</t>
  </si>
  <si>
    <t>-1000 Points</t>
  </si>
  <si>
    <t>Points for Each Rating</t>
  </si>
  <si>
    <t>Work Sample CPAR Ratings</t>
  </si>
  <si>
    <t>-500 Points</t>
  </si>
  <si>
    <t>No Current Rating Available</t>
  </si>
  <si>
    <t>CPAR categories rated "exceptional" over last 5 years</t>
  </si>
  <si>
    <t>CPAR categories rated "very good" over last 5 years</t>
  </si>
  <si>
    <t>CPAR categories rated "satisfactory" over last 5 years</t>
  </si>
  <si>
    <t>CPAR categories rated "marginal" over last 5 years</t>
  </si>
  <si>
    <t>CPAR categories rated "unsatisfactory" over last 5 years</t>
  </si>
  <si>
    <t>1</t>
  </si>
  <si>
    <t>Percentage of CPAR Ratings (Cannot Exceed 100.00% in Total)</t>
  </si>
  <si>
    <t>Offeror's Total Self-Score</t>
  </si>
  <si>
    <t xml:space="preserve"> Points Per Position/ Location (1,000 Points/Max Count)</t>
  </si>
  <si>
    <t>Max Count</t>
  </si>
  <si>
    <t>3.1.6</t>
  </si>
  <si>
    <t>TMAS 2 AEDC Task Order</t>
  </si>
  <si>
    <t>Task Order Management</t>
  </si>
  <si>
    <t>Number of Contracts/TOs that provide direct technical engineering support on DoD RDT&amp;E Ground Test (max count  = 5)</t>
  </si>
  <si>
    <t>Number of Contracts/TOs that provide direct technical support for air breathing propulsion testing  (max count = 5)</t>
  </si>
  <si>
    <t>Number of Contracts/TOs that operate in a multifunctional team including military, government civilians, as well as other contractors. (max count = 5)</t>
  </si>
  <si>
    <t>Number of Contracts/TOs that provide direct technical support for testing of high-altitude/space environmental effects and senors (max count = 5)</t>
  </si>
  <si>
    <t>Number of Contracts/TOs that provide direct technical support for high altitude rocket propulsion. (max count = 5)</t>
  </si>
  <si>
    <t>Number of Contracts/TOs that provide direct technical support for hypersonic vehicle testing to inlcude propulsion, simulation, flow, high-temperature effects, materials characterization, and boundary layer. (max count = 5)</t>
  </si>
  <si>
    <t>Number of Contracts/TOs that provide multi-spectral signature measurement and analysis. (max count = 5)</t>
  </si>
  <si>
    <t>Number of Contracts/TOs that provide project and financial managemnet support for DoD entities. (max count = 5)</t>
  </si>
  <si>
    <t>Number of Contracts/TOs that provide direct technical support for captive trajectory testing of DoD weapon systems. (max count = 5)</t>
  </si>
  <si>
    <t>Number of Contracts/TOs that provide direct technical support for transonic, supersonic, or hypersonic wind tunnel testing for DoD programs. (max count = 5)</t>
  </si>
  <si>
    <t>Number of Contracts/TOs that provide mission-focused ID&amp;C operations support and strategic planning (max count = 5)</t>
  </si>
  <si>
    <t>Number of total positions (max CME count)</t>
  </si>
  <si>
    <t>Number of geographically separated work locations supported</t>
  </si>
  <si>
    <t>Number of incumbent positions transitioned in a 90 day span</t>
  </si>
  <si>
    <t>Number of personnel supporting programs requiring an adjudicated, current non-critical sensitive investigation (secret) / Tier 3 Investigation or above (max positions)</t>
  </si>
  <si>
    <t xml:space="preserve">Financial stability - ability to cover up to three months of base year cost, truncate decimals--e.g. enter 22.6 percent as "22" </t>
  </si>
  <si>
    <t>SOLICITATION # FA2486-20-F-1004</t>
  </si>
  <si>
    <t>Number of non-incumbent engineering positions hired in a 30 day span</t>
  </si>
  <si>
    <t>Number of Contracts/TOs that provide support to a Lead Developmental Test Organization (LDTO) or Executing Test Organization (ETO). (max count = 5)</t>
  </si>
  <si>
    <r>
      <t xml:space="preserve">SELF-SCORING </t>
    </r>
    <r>
      <rPr>
        <b/>
        <sz val="14"/>
        <rFont val="Times New Roman"/>
        <family val="1"/>
      </rPr>
      <t>MATRIX</t>
    </r>
  </si>
  <si>
    <t>Amendment 02, 6 October 2020 ATTACHMENT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</si>
</sst>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3" tint="0.3999755851924192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2"/>
      <color theme="1"/>
      <name val="Times New Roman"/>
      <family val="1"/>
    </font>
    <font>
      <b/>
      <i/>
      <sz val="12"/>
      <color theme="4" tint="-0.24997711111789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1"/>
      <name val="Calibri"/>
      <family val="2"/>
      <scheme val="minor"/>
    </font>
    <font>
      <sz val="11"/>
      <color rgb="FF0000FF"/>
      <name val="Times New Roman"/>
      <family val="1"/>
    </font>
    <font>
      <sz val="11"/>
      <color rgb="FF0000FF"/>
      <name val="Calibri"/>
      <family val="2"/>
      <scheme val="minor"/>
    </font>
    <font>
      <b/>
      <sz val="11"/>
      <color theme="9" tint="-0.249977111117893"/>
      <name val="Times New Roman"/>
      <family val="1"/>
    </font>
    <font>
      <b/>
      <sz val="11"/>
      <color theme="9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79">
    <xf numFmtId="0" fontId="0" fillId="0" borderId="0" xfId="0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1" fontId="7" fillId="0" borderId="8" xfId="0" applyNumberFormat="1" applyFont="1" applyBorder="1" applyAlignment="1" applyProtection="1">
      <alignment horizontal="center" vertical="center"/>
    </xf>
    <xf numFmtId="1" fontId="7" fillId="0" borderId="1" xfId="0" applyNumberFormat="1" applyFont="1" applyBorder="1" applyAlignment="1" applyProtection="1">
      <alignment horizontal="center" vertical="center"/>
    </xf>
    <xf numFmtId="0" fontId="8" fillId="0" borderId="17" xfId="0" applyFont="1" applyBorder="1" applyAlignment="1" applyProtection="1">
      <alignment horizontal="center" vertical="center" wrapText="1"/>
    </xf>
    <xf numFmtId="0" fontId="8" fillId="0" borderId="18" xfId="0" applyFont="1" applyBorder="1" applyAlignment="1" applyProtection="1">
      <alignment horizontal="center" vertical="center" wrapText="1"/>
    </xf>
    <xf numFmtId="0" fontId="7" fillId="4" borderId="20" xfId="0" applyFont="1" applyFill="1" applyBorder="1" applyAlignment="1" applyProtection="1">
      <alignment horizontal="center" vertical="center"/>
    </xf>
    <xf numFmtId="0" fontId="9" fillId="4" borderId="33" xfId="0" applyFont="1" applyFill="1" applyBorder="1" applyAlignment="1" applyProtection="1">
      <alignment horizontal="center" vertical="center" wrapText="1"/>
    </xf>
    <xf numFmtId="0" fontId="8" fillId="4" borderId="17" xfId="0" applyFont="1" applyFill="1" applyBorder="1" applyAlignment="1" applyProtection="1">
      <alignment horizontal="center" vertical="center" wrapText="1"/>
    </xf>
    <xf numFmtId="0" fontId="9" fillId="4" borderId="13" xfId="0" applyFont="1" applyFill="1" applyBorder="1" applyAlignment="1" applyProtection="1">
      <alignment horizontal="center" vertical="center" wrapText="1"/>
    </xf>
    <xf numFmtId="2" fontId="7" fillId="4" borderId="22" xfId="0" applyNumberFormat="1" applyFont="1" applyFill="1" applyBorder="1" applyAlignment="1" applyProtection="1">
      <alignment horizontal="center" vertical="center"/>
    </xf>
    <xf numFmtId="0" fontId="7" fillId="0" borderId="0" xfId="0" applyFont="1" applyBorder="1" applyAlignment="1" applyProtection="1">
      <alignment horizontal="center" vertical="center"/>
    </xf>
    <xf numFmtId="0" fontId="10" fillId="0" borderId="0" xfId="0" applyFont="1" applyFill="1" applyBorder="1" applyAlignment="1" applyProtection="1">
      <alignment vertical="center" wrapText="1"/>
    </xf>
    <xf numFmtId="0" fontId="10" fillId="0" borderId="0" xfId="0" applyFont="1" applyBorder="1" applyAlignment="1" applyProtection="1">
      <alignment horizontal="center" vertical="center"/>
    </xf>
    <xf numFmtId="49" fontId="7" fillId="0" borderId="0" xfId="0" applyNumberFormat="1" applyFont="1" applyBorder="1" applyAlignment="1" applyProtection="1">
      <alignment horizontal="center" vertical="center"/>
    </xf>
    <xf numFmtId="0" fontId="7" fillId="0" borderId="0" xfId="0" applyNumberFormat="1" applyFont="1" applyBorder="1" applyAlignment="1" applyProtection="1">
      <alignment horizontal="center" vertical="center"/>
    </xf>
    <xf numFmtId="0" fontId="9" fillId="4" borderId="25" xfId="0" applyFont="1" applyFill="1" applyBorder="1" applyAlignment="1" applyProtection="1">
      <alignment horizontal="center" vertical="center" wrapText="1"/>
    </xf>
    <xf numFmtId="49" fontId="7" fillId="4" borderId="22" xfId="0" applyNumberFormat="1" applyFont="1" applyFill="1" applyBorder="1" applyAlignment="1" applyProtection="1">
      <alignment horizontal="center" vertical="center"/>
    </xf>
    <xf numFmtId="0" fontId="7" fillId="0" borderId="20" xfId="0" applyFont="1" applyBorder="1" applyAlignment="1" applyProtection="1">
      <alignment horizontal="center" vertical="center"/>
    </xf>
    <xf numFmtId="0" fontId="10" fillId="3" borderId="21" xfId="0" applyFont="1" applyFill="1" applyBorder="1" applyAlignment="1" applyProtection="1">
      <alignment vertical="center" wrapText="1"/>
    </xf>
    <xf numFmtId="0" fontId="7" fillId="0" borderId="22" xfId="0" applyFont="1" applyBorder="1" applyAlignment="1" applyProtection="1">
      <alignment horizontal="center" vertical="center"/>
    </xf>
    <xf numFmtId="49" fontId="7" fillId="0" borderId="22" xfId="0" applyNumberFormat="1" applyFont="1" applyBorder="1" applyAlignment="1" applyProtection="1">
      <alignment horizontal="center" vertical="center"/>
    </xf>
    <xf numFmtId="49" fontId="7" fillId="0" borderId="0" xfId="0" applyNumberFormat="1" applyFont="1" applyFill="1" applyBorder="1" applyAlignment="1" applyProtection="1">
      <alignment horizontal="center" vertical="center"/>
    </xf>
    <xf numFmtId="0" fontId="7" fillId="0" borderId="0" xfId="0" applyFont="1" applyFill="1" applyBorder="1" applyAlignment="1" applyProtection="1">
      <alignment horizontal="center" vertical="center"/>
    </xf>
    <xf numFmtId="0" fontId="7" fillId="0" borderId="0" xfId="0" applyFont="1" applyFill="1" applyBorder="1" applyAlignment="1" applyProtection="1">
      <alignment vertical="center"/>
    </xf>
    <xf numFmtId="0" fontId="10" fillId="0" borderId="27" xfId="0" applyFont="1" applyFill="1" applyBorder="1" applyAlignment="1" applyProtection="1">
      <alignment horizontal="center" vertical="center"/>
    </xf>
    <xf numFmtId="0" fontId="10" fillId="3" borderId="2" xfId="0" applyFont="1" applyFill="1" applyBorder="1" applyAlignment="1" applyProtection="1">
      <alignment vertical="center" wrapText="1"/>
    </xf>
    <xf numFmtId="0" fontId="10" fillId="0" borderId="27" xfId="0" applyFont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11" fillId="0" borderId="0" xfId="0" applyFont="1" applyFill="1" applyBorder="1" applyAlignment="1" applyProtection="1">
      <alignment horizontal="center" vertical="center"/>
    </xf>
    <xf numFmtId="0" fontId="11" fillId="0" borderId="0" xfId="0" applyFont="1" applyFill="1" applyBorder="1" applyAlignment="1" applyProtection="1">
      <alignment vertical="center" wrapText="1"/>
    </xf>
    <xf numFmtId="0" fontId="10" fillId="0" borderId="0" xfId="0" applyFont="1" applyFill="1" applyBorder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7" fillId="0" borderId="0" xfId="0" applyFont="1" applyAlignment="1" applyProtection="1">
      <alignment vertical="center"/>
    </xf>
    <xf numFmtId="49" fontId="7" fillId="0" borderId="22" xfId="0" applyNumberFormat="1" applyFont="1" applyBorder="1" applyAlignment="1" applyProtection="1">
      <alignment horizontal="center" vertical="center" wrapText="1"/>
    </xf>
    <xf numFmtId="0" fontId="7" fillId="4" borderId="22" xfId="0" applyFont="1" applyFill="1" applyBorder="1" applyAlignment="1" applyProtection="1">
      <alignment horizontal="center" vertical="center"/>
    </xf>
    <xf numFmtId="0" fontId="8" fillId="0" borderId="16" xfId="0" applyFont="1" applyBorder="1" applyAlignment="1" applyProtection="1">
      <alignment horizontal="center" vertical="center" wrapText="1"/>
    </xf>
    <xf numFmtId="0" fontId="8" fillId="0" borderId="15" xfId="0" applyFont="1" applyBorder="1" applyAlignment="1" applyProtection="1">
      <alignment horizontal="center" vertical="center" wrapText="1"/>
    </xf>
    <xf numFmtId="3" fontId="7" fillId="0" borderId="8" xfId="0" applyNumberFormat="1" applyFont="1" applyBorder="1" applyAlignment="1" applyProtection="1">
      <alignment horizontal="center" vertical="center"/>
    </xf>
    <xf numFmtId="3" fontId="7" fillId="0" borderId="1" xfId="0" applyNumberFormat="1" applyFont="1" applyBorder="1" applyAlignment="1" applyProtection="1">
      <alignment horizontal="center" vertical="center"/>
    </xf>
    <xf numFmtId="0" fontId="10" fillId="3" borderId="37" xfId="0" applyFont="1" applyFill="1" applyBorder="1" applyAlignment="1" applyProtection="1">
      <alignment vertical="center" wrapText="1"/>
    </xf>
    <xf numFmtId="0" fontId="10" fillId="3" borderId="7" xfId="0" applyFont="1" applyFill="1" applyBorder="1" applyAlignment="1" applyProtection="1">
      <alignment vertical="center" wrapText="1"/>
    </xf>
    <xf numFmtId="0" fontId="10" fillId="3" borderId="0" xfId="0" applyFont="1" applyFill="1" applyBorder="1" applyAlignment="1" applyProtection="1">
      <alignment vertical="center" wrapText="1"/>
    </xf>
    <xf numFmtId="0" fontId="10" fillId="3" borderId="31" xfId="0" applyFont="1" applyFill="1" applyBorder="1" applyAlignment="1" applyProtection="1">
      <alignment vertical="center" wrapText="1"/>
    </xf>
    <xf numFmtId="0" fontId="8" fillId="0" borderId="17" xfId="0" quotePrefix="1" applyFont="1" applyBorder="1" applyAlignment="1" applyProtection="1">
      <alignment horizontal="center" vertical="center" wrapText="1"/>
    </xf>
    <xf numFmtId="0" fontId="10" fillId="0" borderId="36" xfId="0" applyFont="1" applyFill="1" applyBorder="1" applyAlignment="1" applyProtection="1">
      <alignment horizontal="center" vertical="center"/>
    </xf>
    <xf numFmtId="0" fontId="9" fillId="4" borderId="25" xfId="0" applyFont="1" applyFill="1" applyBorder="1" applyAlignment="1" applyProtection="1">
      <alignment horizontal="center" vertical="center"/>
    </xf>
    <xf numFmtId="0" fontId="9" fillId="4" borderId="22" xfId="0" applyFont="1" applyFill="1" applyBorder="1" applyAlignment="1" applyProtection="1">
      <alignment horizontal="center" vertical="center"/>
    </xf>
    <xf numFmtId="0" fontId="10" fillId="4" borderId="22" xfId="0" applyFont="1" applyFill="1" applyBorder="1" applyAlignment="1" applyProtection="1">
      <alignment horizontal="center" vertical="center"/>
    </xf>
    <xf numFmtId="0" fontId="10" fillId="4" borderId="23" xfId="0" applyFont="1" applyFill="1" applyBorder="1" applyAlignment="1" applyProtection="1">
      <alignment horizontal="center" vertical="center"/>
    </xf>
    <xf numFmtId="0" fontId="8" fillId="0" borderId="17" xfId="0" applyFont="1" applyFill="1" applyBorder="1" applyAlignment="1" applyProtection="1">
      <alignment horizontal="center" vertical="center" wrapText="1"/>
    </xf>
    <xf numFmtId="0" fontId="8" fillId="0" borderId="19" xfId="0" applyFont="1" applyBorder="1" applyAlignment="1" applyProtection="1">
      <alignment horizontal="center" vertical="center" wrapText="1"/>
    </xf>
    <xf numFmtId="38" fontId="10" fillId="0" borderId="31" xfId="2" applyNumberFormat="1" applyFont="1" applyFill="1" applyBorder="1" applyAlignment="1" applyProtection="1">
      <alignment horizontal="center" vertical="center"/>
    </xf>
    <xf numFmtId="38" fontId="10" fillId="0" borderId="31" xfId="1" applyNumberFormat="1" applyFont="1" applyFill="1" applyBorder="1" applyAlignment="1" applyProtection="1">
      <alignment horizontal="center" vertical="center"/>
    </xf>
    <xf numFmtId="38" fontId="10" fillId="0" borderId="2" xfId="0" applyNumberFormat="1" applyFont="1" applyBorder="1" applyAlignment="1" applyProtection="1">
      <alignment horizontal="center" vertical="center" wrapText="1"/>
    </xf>
    <xf numFmtId="38" fontId="10" fillId="0" borderId="3" xfId="2" applyNumberFormat="1" applyFont="1" applyFill="1" applyBorder="1" applyAlignment="1" applyProtection="1">
      <alignment horizontal="center" vertical="center"/>
    </xf>
    <xf numFmtId="38" fontId="10" fillId="0" borderId="1" xfId="0" applyNumberFormat="1" applyFont="1" applyBorder="1" applyAlignment="1" applyProtection="1">
      <alignment horizontal="center" vertical="center" wrapText="1"/>
    </xf>
    <xf numFmtId="38" fontId="10" fillId="0" borderId="29" xfId="0" applyNumberFormat="1" applyFont="1" applyBorder="1" applyAlignment="1" applyProtection="1">
      <alignment horizontal="center" vertical="center" wrapText="1"/>
    </xf>
    <xf numFmtId="38" fontId="10" fillId="0" borderId="32" xfId="0" applyNumberFormat="1" applyFont="1" applyBorder="1" applyAlignment="1" applyProtection="1">
      <alignment horizontal="center" vertical="center" wrapText="1"/>
    </xf>
    <xf numFmtId="38" fontId="7" fillId="0" borderId="22" xfId="0" applyNumberFormat="1" applyFont="1" applyBorder="1" applyAlignment="1" applyProtection="1">
      <alignment horizontal="center" vertical="center"/>
    </xf>
    <xf numFmtId="0" fontId="7" fillId="4" borderId="23" xfId="0" applyFont="1" applyFill="1" applyBorder="1" applyAlignment="1" applyProtection="1">
      <alignment vertical="center"/>
    </xf>
    <xf numFmtId="38" fontId="7" fillId="5" borderId="23" xfId="0" applyNumberFormat="1" applyFont="1" applyFill="1" applyBorder="1" applyAlignment="1" applyProtection="1">
      <alignment horizontal="center" vertical="center"/>
    </xf>
    <xf numFmtId="0" fontId="10" fillId="0" borderId="34" xfId="0" applyFont="1" applyBorder="1" applyAlignment="1" applyProtection="1">
      <alignment horizontal="center" vertical="center"/>
    </xf>
    <xf numFmtId="0" fontId="10" fillId="3" borderId="4" xfId="0" applyFont="1" applyFill="1" applyBorder="1" applyAlignment="1" applyProtection="1">
      <alignment vertical="center" wrapText="1"/>
    </xf>
    <xf numFmtId="38" fontId="10" fillId="0" borderId="24" xfId="0" applyNumberFormat="1" applyFont="1" applyBorder="1" applyAlignment="1" applyProtection="1">
      <alignment horizontal="center" vertical="center" wrapText="1"/>
    </xf>
    <xf numFmtId="38" fontId="10" fillId="0" borderId="4" xfId="0" applyNumberFormat="1" applyFont="1" applyBorder="1" applyAlignment="1" applyProtection="1">
      <alignment horizontal="center" vertical="center" wrapText="1"/>
    </xf>
    <xf numFmtId="0" fontId="10" fillId="6" borderId="13" xfId="0" applyFont="1" applyFill="1" applyBorder="1" applyAlignment="1" applyProtection="1">
      <alignment horizontal="center" vertical="center"/>
    </xf>
    <xf numFmtId="0" fontId="10" fillId="6" borderId="14" xfId="0" applyFont="1" applyFill="1" applyBorder="1" applyAlignment="1" applyProtection="1">
      <alignment vertical="center" wrapText="1"/>
    </xf>
    <xf numFmtId="0" fontId="10" fillId="6" borderId="14" xfId="0" applyFont="1" applyFill="1" applyBorder="1" applyAlignment="1" applyProtection="1">
      <alignment horizontal="center" vertical="center"/>
    </xf>
    <xf numFmtId="38" fontId="10" fillId="6" borderId="14" xfId="0" applyNumberFormat="1" applyFont="1" applyFill="1" applyBorder="1" applyAlignment="1" applyProtection="1">
      <alignment horizontal="center" vertical="center"/>
    </xf>
    <xf numFmtId="38" fontId="9" fillId="0" borderId="21" xfId="0" applyNumberFormat="1" applyFont="1" applyBorder="1" applyAlignment="1" applyProtection="1">
      <alignment horizontal="left" vertical="center"/>
    </xf>
    <xf numFmtId="38" fontId="10" fillId="0" borderId="22" xfId="0" applyNumberFormat="1" applyFont="1" applyBorder="1" applyAlignment="1" applyProtection="1">
      <alignment horizontal="center" vertical="center"/>
    </xf>
    <xf numFmtId="38" fontId="10" fillId="0" borderId="23" xfId="0" applyNumberFormat="1" applyFont="1" applyBorder="1" applyAlignment="1" applyProtection="1">
      <alignment horizontal="center" vertical="center"/>
    </xf>
    <xf numFmtId="38" fontId="10" fillId="6" borderId="12" xfId="0" applyNumberFormat="1" applyFont="1" applyFill="1" applyBorder="1" applyAlignment="1" applyProtection="1">
      <alignment horizontal="center" vertical="center"/>
    </xf>
    <xf numFmtId="0" fontId="9" fillId="0" borderId="13" xfId="0" applyFont="1" applyBorder="1" applyAlignment="1" applyProtection="1">
      <alignment vertical="center"/>
    </xf>
    <xf numFmtId="0" fontId="12" fillId="7" borderId="9" xfId="0" applyFont="1" applyFill="1" applyBorder="1" applyAlignment="1" applyProtection="1">
      <alignment vertical="center"/>
    </xf>
    <xf numFmtId="3" fontId="12" fillId="7" borderId="11" xfId="0" applyNumberFormat="1" applyFont="1" applyFill="1" applyBorder="1" applyAlignment="1" applyProtection="1">
      <alignment vertical="center"/>
    </xf>
    <xf numFmtId="0" fontId="12" fillId="7" borderId="5" xfId="0" applyFont="1" applyFill="1" applyBorder="1" applyAlignment="1" applyProtection="1">
      <alignment vertical="center"/>
    </xf>
    <xf numFmtId="3" fontId="12" fillId="7" borderId="6" xfId="0" applyNumberFormat="1" applyFont="1" applyFill="1" applyBorder="1" applyAlignment="1" applyProtection="1">
      <alignment vertical="center"/>
    </xf>
    <xf numFmtId="2" fontId="10" fillId="0" borderId="1" xfId="0" applyNumberFormat="1" applyFont="1" applyBorder="1" applyAlignment="1" applyProtection="1">
      <alignment horizontal="center" vertical="center" wrapText="1"/>
    </xf>
    <xf numFmtId="3" fontId="10" fillId="0" borderId="1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3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1" fontId="10" fillId="0" borderId="1" xfId="0" applyNumberFormat="1" applyFont="1" applyBorder="1" applyAlignment="1" applyProtection="1">
      <alignment horizontal="center" vertical="center"/>
    </xf>
    <xf numFmtId="14" fontId="13" fillId="0" borderId="0" xfId="0" applyNumberFormat="1" applyFont="1" applyFill="1" applyBorder="1" applyAlignment="1">
      <alignment horizontal="center"/>
    </xf>
    <xf numFmtId="3" fontId="10" fillId="0" borderId="2" xfId="0" applyNumberFormat="1" applyFont="1" applyBorder="1" applyAlignment="1" applyProtection="1">
      <alignment horizontal="center" vertical="center"/>
    </xf>
    <xf numFmtId="3" fontId="10" fillId="0" borderId="4" xfId="0" applyNumberFormat="1" applyFont="1" applyBorder="1" applyAlignment="1" applyProtection="1">
      <alignment horizontal="center" vertical="center"/>
    </xf>
    <xf numFmtId="0" fontId="14" fillId="0" borderId="0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15" fillId="0" borderId="0" xfId="0" applyFont="1" applyFill="1" applyBorder="1"/>
    <xf numFmtId="38" fontId="16" fillId="0" borderId="0" xfId="0" applyNumberFormat="1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8" fillId="0" borderId="17" xfId="0" applyFont="1" applyFill="1" applyBorder="1" applyAlignment="1" applyProtection="1">
      <alignment horizontal="center" vertical="center" wrapText="1"/>
    </xf>
    <xf numFmtId="0" fontId="7" fillId="0" borderId="8" xfId="0" applyFont="1" applyFill="1" applyBorder="1" applyAlignment="1" applyProtection="1">
      <alignment horizontal="center" vertical="center"/>
    </xf>
    <xf numFmtId="0" fontId="7" fillId="0" borderId="4" xfId="0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0" fontId="10" fillId="0" borderId="24" xfId="0" applyFont="1" applyFill="1" applyBorder="1" applyAlignment="1" applyProtection="1">
      <alignment horizontal="center" vertical="center"/>
    </xf>
    <xf numFmtId="0" fontId="10" fillId="0" borderId="2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10" fillId="0" borderId="4" xfId="0" applyNumberFormat="1" applyFont="1" applyFill="1" applyBorder="1" applyAlignment="1" applyProtection="1">
      <alignment horizontal="center" vertical="center"/>
    </xf>
    <xf numFmtId="49" fontId="7" fillId="0" borderId="22" xfId="0" applyNumberFormat="1" applyFont="1" applyFill="1" applyBorder="1" applyAlignment="1" applyProtection="1">
      <alignment horizontal="center" vertical="center" wrapText="1"/>
    </xf>
    <xf numFmtId="38" fontId="10" fillId="0" borderId="39" xfId="2" applyNumberFormat="1" applyFont="1" applyFill="1" applyBorder="1" applyAlignment="1" applyProtection="1">
      <alignment horizontal="center" vertical="center"/>
    </xf>
    <xf numFmtId="0" fontId="9" fillId="4" borderId="10" xfId="0" applyFont="1" applyFill="1" applyBorder="1" applyAlignment="1" applyProtection="1">
      <alignment horizontal="center" vertical="center" wrapText="1"/>
    </xf>
    <xf numFmtId="0" fontId="9" fillId="4" borderId="14" xfId="0" applyFont="1" applyFill="1" applyBorder="1" applyAlignment="1" applyProtection="1">
      <alignment horizontal="center" vertical="center" wrapText="1"/>
    </xf>
    <xf numFmtId="0" fontId="10" fillId="3" borderId="26" xfId="0" applyFont="1" applyFill="1" applyBorder="1" applyAlignment="1" applyProtection="1">
      <alignment horizontal="center" vertical="center" wrapText="1"/>
    </xf>
    <xf numFmtId="0" fontId="10" fillId="3" borderId="1" xfId="0" applyFont="1" applyFill="1" applyBorder="1" applyAlignment="1" applyProtection="1">
      <alignment horizontal="center" vertical="center" wrapText="1"/>
    </xf>
    <xf numFmtId="0" fontId="9" fillId="4" borderId="14" xfId="0" applyFont="1" applyFill="1" applyBorder="1" applyAlignment="1" applyProtection="1">
      <alignment vertical="center"/>
    </xf>
    <xf numFmtId="0" fontId="9" fillId="4" borderId="21" xfId="0" applyFont="1" applyFill="1" applyBorder="1" applyAlignment="1" applyProtection="1">
      <alignment vertical="center"/>
    </xf>
    <xf numFmtId="0" fontId="9" fillId="0" borderId="21" xfId="0" applyFont="1" applyBorder="1" applyAlignment="1" applyProtection="1">
      <alignment vertical="center"/>
    </xf>
    <xf numFmtId="38" fontId="9" fillId="0" borderId="22" xfId="0" applyNumberFormat="1" applyFont="1" applyBorder="1" applyAlignment="1" applyProtection="1">
      <alignment horizontal="left" vertical="center"/>
    </xf>
    <xf numFmtId="0" fontId="8" fillId="4" borderId="18" xfId="0" applyFont="1" applyFill="1" applyBorder="1" applyAlignment="1" applyProtection="1">
      <alignment horizontal="center" vertical="center" wrapText="1"/>
    </xf>
    <xf numFmtId="0" fontId="7" fillId="4" borderId="22" xfId="0" applyFont="1" applyFill="1" applyBorder="1" applyAlignment="1" applyProtection="1">
      <alignment horizontal="center" vertical="center"/>
    </xf>
    <xf numFmtId="0" fontId="10" fillId="3" borderId="1" xfId="0" applyFont="1" applyFill="1" applyBorder="1" applyAlignment="1" applyProtection="1">
      <alignment vertical="center" wrapText="1"/>
    </xf>
    <xf numFmtId="3" fontId="10" fillId="0" borderId="40" xfId="0" applyNumberFormat="1" applyFont="1" applyBorder="1" applyAlignment="1" applyProtection="1">
      <alignment horizontal="center" vertical="center"/>
    </xf>
    <xf numFmtId="0" fontId="8" fillId="0" borderId="41" xfId="0" applyFont="1" applyBorder="1" applyAlignment="1" applyProtection="1">
      <alignment horizontal="center" vertical="center" wrapText="1"/>
    </xf>
    <xf numFmtId="0" fontId="8" fillId="0" borderId="42" xfId="0" applyFont="1" applyBorder="1" applyAlignment="1" applyProtection="1">
      <alignment horizontal="center" vertical="center" wrapText="1"/>
    </xf>
    <xf numFmtId="0" fontId="8" fillId="0" borderId="43" xfId="0" applyFont="1" applyBorder="1" applyAlignment="1" applyProtection="1">
      <alignment horizontal="center" vertical="center" wrapText="1"/>
    </xf>
    <xf numFmtId="0" fontId="8" fillId="0" borderId="47" xfId="0" applyFont="1" applyBorder="1" applyAlignment="1" applyProtection="1">
      <alignment horizontal="center" vertical="center" wrapText="1"/>
    </xf>
    <xf numFmtId="0" fontId="8" fillId="0" borderId="48" xfId="0" applyFont="1" applyBorder="1" applyAlignment="1" applyProtection="1">
      <alignment horizontal="center" vertical="center" wrapText="1"/>
    </xf>
    <xf numFmtId="0" fontId="8" fillId="2" borderId="49" xfId="0" applyFont="1" applyFill="1" applyBorder="1" applyAlignment="1" applyProtection="1">
      <alignment horizontal="center" vertical="center" wrapText="1"/>
    </xf>
    <xf numFmtId="0" fontId="7" fillId="4" borderId="50" xfId="0" applyFont="1" applyFill="1" applyBorder="1" applyAlignment="1" applyProtection="1">
      <alignment horizontal="center" vertical="center"/>
    </xf>
    <xf numFmtId="0" fontId="7" fillId="4" borderId="51" xfId="0" applyFont="1" applyFill="1" applyBorder="1" applyAlignment="1" applyProtection="1">
      <alignment vertical="center"/>
    </xf>
    <xf numFmtId="0" fontId="7" fillId="0" borderId="52" xfId="0" applyFont="1" applyBorder="1" applyAlignment="1" applyProtection="1">
      <alignment horizontal="center" vertical="center"/>
    </xf>
    <xf numFmtId="3" fontId="7" fillId="0" borderId="53" xfId="0" applyNumberFormat="1" applyFont="1" applyBorder="1" applyAlignment="1" applyProtection="1">
      <alignment horizontal="center" vertical="center"/>
    </xf>
    <xf numFmtId="0" fontId="7" fillId="0" borderId="54" xfId="0" applyFont="1" applyBorder="1" applyAlignment="1" applyProtection="1">
      <alignment horizontal="center" vertical="center"/>
    </xf>
    <xf numFmtId="3" fontId="7" fillId="0" borderId="55" xfId="0" applyNumberFormat="1" applyFont="1" applyBorder="1" applyAlignment="1" applyProtection="1">
      <alignment horizontal="center" vertical="center"/>
    </xf>
    <xf numFmtId="0" fontId="7" fillId="0" borderId="54" xfId="0" applyFont="1" applyFill="1" applyBorder="1" applyAlignment="1" applyProtection="1">
      <alignment horizontal="center" vertical="center"/>
    </xf>
    <xf numFmtId="3" fontId="7" fillId="0" borderId="40" xfId="0" applyNumberFormat="1" applyFont="1" applyBorder="1" applyAlignment="1" applyProtection="1">
      <alignment horizontal="center" vertical="center"/>
    </xf>
    <xf numFmtId="0" fontId="7" fillId="4" borderId="56" xfId="0" applyFont="1" applyFill="1" applyBorder="1" applyAlignment="1" applyProtection="1">
      <alignment horizontal="center" vertical="center"/>
    </xf>
    <xf numFmtId="0" fontId="7" fillId="4" borderId="57" xfId="0" applyFont="1" applyFill="1" applyBorder="1" applyAlignment="1" applyProtection="1">
      <alignment horizontal="center" vertical="center"/>
    </xf>
    <xf numFmtId="0" fontId="10" fillId="0" borderId="52" xfId="0" applyFont="1" applyBorder="1" applyAlignment="1" applyProtection="1">
      <alignment horizontal="center" vertical="center"/>
    </xf>
    <xf numFmtId="3" fontId="10" fillId="0" borderId="58" xfId="0" applyNumberFormat="1" applyFont="1" applyBorder="1" applyAlignment="1" applyProtection="1">
      <alignment horizontal="center" vertical="center"/>
    </xf>
    <xf numFmtId="3" fontId="0" fillId="0" borderId="0" xfId="0" applyNumberFormat="1" applyFill="1" applyBorder="1" applyAlignment="1">
      <alignment horizontal="center"/>
    </xf>
    <xf numFmtId="3" fontId="15" fillId="0" borderId="0" xfId="0" applyNumberFormat="1" applyFont="1" applyFill="1" applyBorder="1" applyAlignment="1">
      <alignment horizontal="center"/>
    </xf>
    <xf numFmtId="0" fontId="10" fillId="5" borderId="1" xfId="0" applyFont="1" applyFill="1" applyBorder="1" applyAlignment="1" applyProtection="1">
      <alignment horizontal="center" vertical="center" wrapText="1"/>
      <protection locked="0"/>
    </xf>
    <xf numFmtId="0" fontId="7" fillId="4" borderId="22" xfId="0" applyFont="1" applyFill="1" applyBorder="1" applyAlignment="1" applyProtection="1">
      <alignment horizontal="center" vertical="center"/>
    </xf>
    <xf numFmtId="10" fontId="9" fillId="0" borderId="35" xfId="1" applyNumberFormat="1" applyFont="1" applyBorder="1" applyAlignment="1" applyProtection="1">
      <alignment horizontal="center" vertical="center"/>
    </xf>
    <xf numFmtId="10" fontId="9" fillId="0" borderId="14" xfId="1" applyNumberFormat="1" applyFont="1" applyBorder="1" applyAlignment="1" applyProtection="1">
      <alignment horizontal="center" vertical="center"/>
    </xf>
    <xf numFmtId="10" fontId="10" fillId="5" borderId="38" xfId="1" applyNumberFormat="1" applyFont="1" applyFill="1" applyBorder="1" applyAlignment="1" applyProtection="1">
      <alignment horizontal="center" vertical="center"/>
    </xf>
    <xf numFmtId="10" fontId="10" fillId="5" borderId="39" xfId="1" applyNumberFormat="1" applyFont="1" applyFill="1" applyBorder="1" applyAlignment="1" applyProtection="1">
      <alignment horizontal="center" vertical="center"/>
    </xf>
    <xf numFmtId="10" fontId="10" fillId="5" borderId="28" xfId="1" applyNumberFormat="1" applyFont="1" applyFill="1" applyBorder="1" applyAlignment="1" applyProtection="1">
      <alignment horizontal="center" vertical="center"/>
    </xf>
    <xf numFmtId="10" fontId="10" fillId="5" borderId="3" xfId="1" applyNumberFormat="1" applyFont="1" applyFill="1" applyBorder="1" applyAlignment="1" applyProtection="1">
      <alignment horizontal="center" vertical="center"/>
    </xf>
    <xf numFmtId="0" fontId="8" fillId="0" borderId="35" xfId="0" applyFont="1" applyFill="1" applyBorder="1" applyAlignment="1" applyProtection="1">
      <alignment horizontal="center" vertical="center" wrapText="1"/>
    </xf>
    <xf numFmtId="0" fontId="8" fillId="0" borderId="21" xfId="0" applyFont="1" applyFill="1" applyBorder="1" applyAlignment="1" applyProtection="1">
      <alignment horizontal="center" vertical="center" wrapText="1"/>
    </xf>
    <xf numFmtId="10" fontId="10" fillId="5" borderId="30" xfId="1" applyNumberFormat="1" applyFont="1" applyFill="1" applyBorder="1" applyAlignment="1" applyProtection="1">
      <alignment horizontal="center" vertical="center"/>
    </xf>
    <xf numFmtId="10" fontId="10" fillId="5" borderId="31" xfId="1" applyNumberFormat="1" applyFont="1" applyFill="1" applyBorder="1" applyAlignment="1" applyProtection="1">
      <alignment horizontal="center" vertical="center"/>
    </xf>
    <xf numFmtId="0" fontId="8" fillId="0" borderId="35" xfId="0" applyFont="1" applyBorder="1" applyAlignment="1" applyProtection="1">
      <alignment horizontal="center" vertical="center" wrapText="1"/>
    </xf>
    <xf numFmtId="0" fontId="8" fillId="0" borderId="21" xfId="0" applyFont="1" applyBorder="1" applyAlignment="1" applyProtection="1">
      <alignment horizontal="center" vertical="center" wrapText="1"/>
    </xf>
    <xf numFmtId="0" fontId="10" fillId="0" borderId="35" xfId="0" applyFont="1" applyBorder="1" applyAlignment="1" applyProtection="1">
      <alignment horizontal="center" vertical="center"/>
    </xf>
    <xf numFmtId="0" fontId="10" fillId="0" borderId="21" xfId="0" applyFont="1" applyBorder="1" applyAlignment="1" applyProtection="1">
      <alignment horizontal="center" vertical="center"/>
    </xf>
    <xf numFmtId="0" fontId="9" fillId="4" borderId="35" xfId="0" applyFont="1" applyFill="1" applyBorder="1" applyAlignment="1" applyProtection="1">
      <alignment horizontal="center" vertical="center" wrapText="1"/>
    </xf>
    <xf numFmtId="0" fontId="9" fillId="4" borderId="21" xfId="0" applyFont="1" applyFill="1" applyBorder="1" applyAlignment="1" applyProtection="1">
      <alignment horizontal="center" vertical="center" wrapText="1"/>
    </xf>
    <xf numFmtId="0" fontId="1" fillId="0" borderId="0" xfId="0" applyFont="1" applyFill="1" applyAlignment="1">
      <alignment horizontal="right"/>
    </xf>
    <xf numFmtId="0" fontId="4" fillId="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2" fillId="5" borderId="0" xfId="0" applyFont="1" applyFill="1" applyAlignment="1">
      <alignment horizontal="center"/>
    </xf>
    <xf numFmtId="0" fontId="8" fillId="0" borderId="44" xfId="0" applyFont="1" applyBorder="1" applyAlignment="1" applyProtection="1">
      <alignment horizontal="center" vertical="center" wrapText="1"/>
    </xf>
    <xf numFmtId="0" fontId="8" fillId="0" borderId="45" xfId="0" applyFont="1" applyBorder="1" applyAlignment="1" applyProtection="1">
      <alignment horizontal="center" vertical="center" wrapText="1"/>
    </xf>
    <xf numFmtId="0" fontId="8" fillId="0" borderId="46" xfId="0" applyFont="1" applyBorder="1" applyAlignment="1" applyProtection="1">
      <alignment horizontal="center" vertical="center" wrapText="1"/>
    </xf>
    <xf numFmtId="0" fontId="8" fillId="4" borderId="18" xfId="0" applyFont="1" applyFill="1" applyBorder="1" applyAlignment="1" applyProtection="1">
      <alignment horizontal="center" vertical="center" wrapText="1"/>
    </xf>
    <xf numFmtId="0" fontId="8" fillId="4" borderId="10" xfId="0" applyFont="1" applyFill="1" applyBorder="1" applyAlignment="1" applyProtection="1">
      <alignment horizontal="center" vertical="center" wrapText="1"/>
    </xf>
    <xf numFmtId="0" fontId="8" fillId="4" borderId="16" xfId="0" applyFont="1" applyFill="1" applyBorder="1" applyAlignment="1" applyProtection="1">
      <alignment horizontal="center" vertical="center" wrapText="1"/>
    </xf>
    <xf numFmtId="0" fontId="10" fillId="5" borderId="8" xfId="0" applyFont="1" applyFill="1" applyBorder="1" applyAlignment="1" applyProtection="1">
      <alignment horizontal="center" vertical="center" wrapText="1"/>
      <protection locked="0"/>
    </xf>
  </cellXfs>
  <cellStyles count="3">
    <cellStyle name="Comma" xfId="2" builtinId="3"/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315"/>
  <sheetViews>
    <sheetView tabSelected="1" zoomScale="55" zoomScaleNormal="55" zoomScalePageLayoutView="60" workbookViewId="0">
      <selection activeCell="B3" sqref="B3:M3"/>
    </sheetView>
  </sheetViews>
  <sheetFormatPr defaultColWidth="9.1796875" defaultRowHeight="14.5" x14ac:dyDescent="0.35"/>
  <cols>
    <col min="1" max="1" width="3.54296875" style="1" customWidth="1"/>
    <col min="2" max="2" width="9.26953125" style="2" customWidth="1"/>
    <col min="3" max="3" width="60.7265625" style="1" customWidth="1"/>
    <col min="4" max="4" width="10.1796875" style="1" customWidth="1"/>
    <col min="5" max="6" width="14.26953125" style="1" customWidth="1"/>
    <col min="7" max="7" width="12" style="1" customWidth="1"/>
    <col min="8" max="8" width="11.26953125" style="1" bestFit="1" customWidth="1"/>
    <col min="9" max="9" width="19" style="1" customWidth="1"/>
    <col min="10" max="10" width="15.26953125" style="1" bestFit="1" customWidth="1"/>
    <col min="11" max="11" width="11.81640625" style="1" customWidth="1"/>
    <col min="12" max="12" width="11.453125" style="1" customWidth="1"/>
    <col min="13" max="13" width="12.54296875" style="1" customWidth="1"/>
    <col min="14" max="24" width="9.1796875" style="1" customWidth="1"/>
    <col min="25" max="16384" width="9.1796875" style="1"/>
  </cols>
  <sheetData>
    <row r="1" spans="2:24" x14ac:dyDescent="0.35">
      <c r="B1" s="165" t="s">
        <v>64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5"/>
      <c r="O1" s="4"/>
      <c r="P1" s="4"/>
      <c r="Q1" s="4"/>
      <c r="R1" s="4"/>
      <c r="S1" s="4"/>
      <c r="T1" s="4"/>
      <c r="U1" s="4"/>
      <c r="V1" s="4"/>
      <c r="W1" s="2"/>
    </row>
    <row r="2" spans="2:24" x14ac:dyDescent="0.35">
      <c r="B2" s="166" t="s">
        <v>82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6"/>
    </row>
    <row r="3" spans="2:24" x14ac:dyDescent="0.35">
      <c r="B3" s="167" t="s">
        <v>86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6"/>
    </row>
    <row r="4" spans="2:24" ht="17.5" x14ac:dyDescent="0.35">
      <c r="B4" s="168" t="s">
        <v>85</v>
      </c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6"/>
      <c r="O4" s="2"/>
      <c r="P4" s="2"/>
      <c r="Q4" s="2"/>
      <c r="R4" s="2"/>
      <c r="S4" s="2"/>
    </row>
    <row r="5" spans="2:24" ht="17.5" x14ac:dyDescent="0.35">
      <c r="B5" s="169" t="s">
        <v>12</v>
      </c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7"/>
      <c r="O5" s="2"/>
      <c r="P5" s="2"/>
      <c r="Q5" s="2"/>
      <c r="R5" s="2"/>
      <c r="S5" s="2"/>
      <c r="T5" s="2"/>
      <c r="U5" s="2"/>
      <c r="V5" s="2"/>
      <c r="W5" s="2"/>
      <c r="X5" s="2"/>
    </row>
    <row r="6" spans="2:24" ht="15.5" x14ac:dyDescent="0.35">
      <c r="B6" s="170" t="s">
        <v>41</v>
      </c>
      <c r="C6" s="170"/>
      <c r="D6" s="170"/>
      <c r="E6" s="170"/>
      <c r="F6" s="170"/>
      <c r="G6" s="170"/>
      <c r="H6" s="170"/>
      <c r="I6" s="170"/>
      <c r="J6" s="170"/>
      <c r="K6" s="170"/>
      <c r="L6" s="170"/>
      <c r="M6" s="170"/>
      <c r="N6" s="6"/>
      <c r="O6" s="2"/>
      <c r="P6" s="2"/>
      <c r="Q6" s="2"/>
      <c r="R6" s="2"/>
      <c r="S6" s="2"/>
    </row>
    <row r="7" spans="2:24" ht="15.5" x14ac:dyDescent="0.35">
      <c r="B7" s="171" t="s">
        <v>42</v>
      </c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6"/>
      <c r="O7" s="2"/>
      <c r="P7" s="2"/>
      <c r="Q7" s="2"/>
      <c r="R7" s="2"/>
      <c r="S7" s="2"/>
    </row>
    <row r="8" spans="2:24" ht="15" thickBot="1" x14ac:dyDescent="0.4">
      <c r="B8" s="10"/>
      <c r="C8" s="8"/>
      <c r="D8" s="8"/>
      <c r="E8" s="9"/>
      <c r="F8" s="9"/>
      <c r="G8" s="9"/>
      <c r="H8" s="9"/>
      <c r="I8" s="9"/>
      <c r="J8" s="9"/>
      <c r="K8" s="9"/>
      <c r="L8" s="9"/>
      <c r="M8" s="9"/>
      <c r="N8" s="7"/>
      <c r="O8" s="2"/>
      <c r="P8" s="2"/>
      <c r="Q8" s="2"/>
      <c r="R8" s="2"/>
      <c r="S8" s="2"/>
      <c r="T8" s="2"/>
      <c r="U8" s="2"/>
      <c r="V8" s="3"/>
      <c r="W8" s="3"/>
    </row>
    <row r="9" spans="2:24" ht="63" thickTop="1" thickBot="1" x14ac:dyDescent="0.4">
      <c r="B9" s="127" t="s">
        <v>35</v>
      </c>
      <c r="C9" s="128" t="s">
        <v>34</v>
      </c>
      <c r="D9" s="129" t="s">
        <v>62</v>
      </c>
      <c r="E9" s="172" t="s">
        <v>37</v>
      </c>
      <c r="F9" s="173"/>
      <c r="G9" s="173"/>
      <c r="H9" s="174"/>
      <c r="I9" s="130" t="s">
        <v>61</v>
      </c>
      <c r="J9" s="130" t="s">
        <v>0</v>
      </c>
      <c r="K9" s="130" t="s">
        <v>36</v>
      </c>
      <c r="L9" s="131" t="s">
        <v>39</v>
      </c>
      <c r="M9" s="132" t="s">
        <v>40</v>
      </c>
      <c r="N9" s="7"/>
      <c r="O9" s="2"/>
      <c r="P9" s="2"/>
      <c r="Q9" s="2"/>
      <c r="R9" s="2"/>
      <c r="S9" s="2"/>
      <c r="T9" s="2"/>
      <c r="U9" s="2"/>
      <c r="V9" s="3"/>
      <c r="W9" s="2"/>
    </row>
    <row r="10" spans="2:24" ht="16" thickBot="1" x14ac:dyDescent="0.4">
      <c r="B10" s="133">
        <v>3.1</v>
      </c>
      <c r="C10" s="16" t="s">
        <v>65</v>
      </c>
      <c r="D10" s="115"/>
      <c r="E10" s="175"/>
      <c r="F10" s="176"/>
      <c r="G10" s="176"/>
      <c r="H10" s="177"/>
      <c r="I10" s="17"/>
      <c r="J10" s="17"/>
      <c r="K10" s="17"/>
      <c r="L10" s="123"/>
      <c r="M10" s="134"/>
      <c r="N10" s="7"/>
      <c r="O10" s="2"/>
      <c r="P10" s="2"/>
      <c r="Q10" s="2"/>
      <c r="R10" s="2"/>
      <c r="S10" s="2"/>
      <c r="T10" s="2"/>
      <c r="U10" s="2"/>
      <c r="V10" s="3"/>
      <c r="W10" s="2"/>
    </row>
    <row r="11" spans="2:24" ht="15.5" x14ac:dyDescent="0.35">
      <c r="B11" s="135" t="s">
        <v>1</v>
      </c>
      <c r="C11" s="49" t="s">
        <v>77</v>
      </c>
      <c r="D11" s="118">
        <v>220</v>
      </c>
      <c r="E11" s="178"/>
      <c r="F11" s="178"/>
      <c r="G11" s="178"/>
      <c r="H11" s="178"/>
      <c r="I11" s="88">
        <f t="shared" ref="I11:I16" si="0">1000/D11</f>
        <v>4.5454545454545459</v>
      </c>
      <c r="J11" s="105">
        <v>4</v>
      </c>
      <c r="K11" s="47">
        <f>J11*1000</f>
        <v>4000</v>
      </c>
      <c r="L11" s="11">
        <f>E11*I11</f>
        <v>0</v>
      </c>
      <c r="M11" s="136">
        <f>IF(E11&gt;D11,D11,E11)*I11*J11</f>
        <v>0</v>
      </c>
      <c r="N11" s="7"/>
      <c r="O11" s="2"/>
      <c r="P11" s="2"/>
      <c r="Q11" s="2"/>
      <c r="R11" s="2"/>
      <c r="S11" s="2"/>
      <c r="T11" s="2"/>
      <c r="U11" s="2"/>
      <c r="V11" s="3"/>
      <c r="W11" s="3"/>
    </row>
    <row r="12" spans="2:24" ht="15.5" x14ac:dyDescent="0.35">
      <c r="B12" s="137" t="s">
        <v>2</v>
      </c>
      <c r="C12" s="50" t="s">
        <v>78</v>
      </c>
      <c r="D12" s="118">
        <v>7</v>
      </c>
      <c r="E12" s="147"/>
      <c r="F12" s="147"/>
      <c r="G12" s="147"/>
      <c r="H12" s="147"/>
      <c r="I12" s="88">
        <f t="shared" si="0"/>
        <v>142.85714285714286</v>
      </c>
      <c r="J12" s="106">
        <v>4</v>
      </c>
      <c r="K12" s="48">
        <f>J12*1000</f>
        <v>4000</v>
      </c>
      <c r="L12" s="12">
        <f>E12*I12</f>
        <v>0</v>
      </c>
      <c r="M12" s="138">
        <f>IF(E12&gt;D12,D12,E12)*I12*J12</f>
        <v>0</v>
      </c>
      <c r="N12" s="7"/>
      <c r="O12" s="2"/>
      <c r="P12" s="2"/>
      <c r="Q12" s="2"/>
      <c r="R12" s="2"/>
      <c r="S12" s="2"/>
      <c r="T12" s="2"/>
      <c r="U12" s="2"/>
      <c r="V12" s="3"/>
      <c r="W12" s="3"/>
    </row>
    <row r="13" spans="2:24" ht="15.5" x14ac:dyDescent="0.35">
      <c r="B13" s="139" t="s">
        <v>3</v>
      </c>
      <c r="C13" s="50" t="s">
        <v>79</v>
      </c>
      <c r="D13" s="118">
        <v>220</v>
      </c>
      <c r="E13" s="147"/>
      <c r="F13" s="147"/>
      <c r="G13" s="147"/>
      <c r="H13" s="147"/>
      <c r="I13" s="88">
        <f t="shared" si="0"/>
        <v>4.5454545454545459</v>
      </c>
      <c r="J13" s="107">
        <v>6</v>
      </c>
      <c r="K13" s="48">
        <f t="shared" ref="K13:K15" si="1">J13*1000</f>
        <v>6000</v>
      </c>
      <c r="L13" s="12">
        <f t="shared" ref="L13:L19" si="2">E13*I13</f>
        <v>0</v>
      </c>
      <c r="M13" s="138">
        <f t="shared" ref="M13:M14" si="3">IF(E13&gt;D13,D13,E13)*I13*J13</f>
        <v>0</v>
      </c>
      <c r="N13" s="7"/>
      <c r="O13" s="2"/>
      <c r="P13" s="2"/>
      <c r="Q13" s="2"/>
      <c r="R13" s="2"/>
      <c r="S13" s="2"/>
      <c r="T13" s="2"/>
      <c r="U13" s="2"/>
      <c r="V13" s="3"/>
      <c r="W13" s="2"/>
    </row>
    <row r="14" spans="2:24" ht="31" x14ac:dyDescent="0.35">
      <c r="B14" s="137" t="s">
        <v>4</v>
      </c>
      <c r="C14" s="50" t="s">
        <v>83</v>
      </c>
      <c r="D14" s="118">
        <v>10</v>
      </c>
      <c r="E14" s="147"/>
      <c r="F14" s="147"/>
      <c r="G14" s="147"/>
      <c r="H14" s="147"/>
      <c r="I14" s="88">
        <f t="shared" si="0"/>
        <v>100</v>
      </c>
      <c r="J14" s="108">
        <v>2</v>
      </c>
      <c r="K14" s="48">
        <f t="shared" si="1"/>
        <v>2000</v>
      </c>
      <c r="L14" s="12">
        <f t="shared" si="2"/>
        <v>0</v>
      </c>
      <c r="M14" s="138">
        <f t="shared" si="3"/>
        <v>0</v>
      </c>
      <c r="N14" s="7"/>
      <c r="O14" s="145"/>
      <c r="P14" s="2"/>
      <c r="Q14" s="2"/>
      <c r="R14" s="2"/>
      <c r="S14" s="2"/>
      <c r="T14" s="2"/>
      <c r="U14" s="2"/>
      <c r="V14" s="3"/>
      <c r="W14" s="2"/>
    </row>
    <row r="15" spans="2:24" ht="46.5" x14ac:dyDescent="0.35">
      <c r="B15" s="139" t="s">
        <v>13</v>
      </c>
      <c r="C15" s="50" t="s">
        <v>80</v>
      </c>
      <c r="D15" s="118">
        <v>220</v>
      </c>
      <c r="E15" s="147"/>
      <c r="F15" s="147"/>
      <c r="G15" s="147"/>
      <c r="H15" s="147"/>
      <c r="I15" s="88">
        <f t="shared" si="0"/>
        <v>4.5454545454545459</v>
      </c>
      <c r="J15" s="108">
        <v>2</v>
      </c>
      <c r="K15" s="89">
        <f t="shared" si="1"/>
        <v>2000</v>
      </c>
      <c r="L15" s="95">
        <f t="shared" si="2"/>
        <v>0</v>
      </c>
      <c r="M15" s="138">
        <f t="shared" ref="M15" si="4">IF(E15&gt;D15,D15,E15)*I15*J15</f>
        <v>0</v>
      </c>
      <c r="N15" s="7"/>
      <c r="O15" s="2"/>
      <c r="P15" s="2"/>
      <c r="Q15" s="2"/>
      <c r="R15" s="2"/>
      <c r="S15" s="2"/>
      <c r="T15" s="2"/>
      <c r="U15" s="2"/>
      <c r="V15" s="3"/>
      <c r="W15" s="2"/>
    </row>
    <row r="16" spans="2:24" ht="31.5" thickBot="1" x14ac:dyDescent="0.4">
      <c r="B16" s="137" t="s">
        <v>63</v>
      </c>
      <c r="C16" s="51" t="s">
        <v>81</v>
      </c>
      <c r="D16" s="118">
        <v>25</v>
      </c>
      <c r="E16" s="147"/>
      <c r="F16" s="147"/>
      <c r="G16" s="147"/>
      <c r="H16" s="147"/>
      <c r="I16" s="88">
        <f t="shared" si="0"/>
        <v>40</v>
      </c>
      <c r="J16" s="109">
        <v>4</v>
      </c>
      <c r="K16" s="48">
        <f>J16*1000</f>
        <v>4000</v>
      </c>
      <c r="L16" s="12">
        <f>E16*I16</f>
        <v>0</v>
      </c>
      <c r="M16" s="140">
        <f>IF(E16&gt;D16,D16,E16)*I16*J16</f>
        <v>0</v>
      </c>
      <c r="N16" s="7"/>
      <c r="O16" s="2"/>
      <c r="P16" s="2"/>
      <c r="Q16" s="2"/>
      <c r="R16" s="2"/>
      <c r="S16" s="2"/>
      <c r="T16" s="2"/>
      <c r="U16" s="2"/>
      <c r="V16" s="3"/>
      <c r="W16" s="2"/>
    </row>
    <row r="17" spans="2:25" ht="16" thickBot="1" x14ac:dyDescent="0.4">
      <c r="B17" s="141">
        <v>3.2</v>
      </c>
      <c r="C17" s="18" t="s">
        <v>21</v>
      </c>
      <c r="D17" s="116"/>
      <c r="E17" s="148"/>
      <c r="F17" s="148"/>
      <c r="G17" s="148"/>
      <c r="H17" s="148"/>
      <c r="I17" s="19"/>
      <c r="J17" s="124"/>
      <c r="K17" s="124"/>
      <c r="L17" s="124"/>
      <c r="M17" s="142"/>
      <c r="N17" s="7"/>
      <c r="O17" s="2"/>
      <c r="P17" s="2"/>
      <c r="Q17" s="2"/>
      <c r="R17" s="2"/>
      <c r="S17" s="2"/>
      <c r="T17" s="2"/>
      <c r="U17" s="2"/>
      <c r="V17" s="3"/>
      <c r="W17" s="2"/>
    </row>
    <row r="18" spans="2:25" s="92" customFormat="1" ht="51.75" customHeight="1" thickBot="1" x14ac:dyDescent="0.4">
      <c r="B18" s="143" t="s">
        <v>5</v>
      </c>
      <c r="C18" s="52" t="s">
        <v>66</v>
      </c>
      <c r="D18" s="117">
        <v>5</v>
      </c>
      <c r="E18" s="147"/>
      <c r="F18" s="147"/>
      <c r="G18" s="147"/>
      <c r="H18" s="147"/>
      <c r="I18" s="88">
        <f>1000/D18</f>
        <v>200</v>
      </c>
      <c r="J18" s="110">
        <v>6</v>
      </c>
      <c r="K18" s="97">
        <f t="shared" ref="K18:K19" si="5">J18*1000</f>
        <v>6000</v>
      </c>
      <c r="L18" s="89">
        <f t="shared" si="2"/>
        <v>0</v>
      </c>
      <c r="M18" s="144">
        <f t="shared" ref="M18:M24" si="6">IF(E18&gt;D18,D18,E18)*I18*J18</f>
        <v>0</v>
      </c>
      <c r="N18" s="90"/>
      <c r="O18" s="91"/>
      <c r="P18" s="91"/>
      <c r="Q18" s="91"/>
      <c r="R18" s="91"/>
      <c r="S18" s="91"/>
      <c r="T18" s="91"/>
      <c r="U18" s="91"/>
      <c r="V18" s="96"/>
      <c r="W18" s="91"/>
    </row>
    <row r="19" spans="2:25" s="92" customFormat="1" ht="31.5" thickBot="1" x14ac:dyDescent="0.4">
      <c r="B19" s="143" t="s">
        <v>6</v>
      </c>
      <c r="C19" s="52" t="s">
        <v>67</v>
      </c>
      <c r="D19" s="117">
        <v>5</v>
      </c>
      <c r="E19" s="147"/>
      <c r="F19" s="147"/>
      <c r="G19" s="147"/>
      <c r="H19" s="147"/>
      <c r="I19" s="88">
        <f t="shared" ref="I19:I24" si="7">1000/D19</f>
        <v>200</v>
      </c>
      <c r="J19" s="111">
        <v>4</v>
      </c>
      <c r="K19" s="97">
        <f t="shared" si="5"/>
        <v>4000</v>
      </c>
      <c r="L19" s="89">
        <f t="shared" si="2"/>
        <v>0</v>
      </c>
      <c r="M19" s="144">
        <f t="shared" si="6"/>
        <v>0</v>
      </c>
      <c r="N19" s="90"/>
      <c r="O19" s="91"/>
      <c r="P19" s="91"/>
      <c r="Q19" s="91"/>
      <c r="R19" s="91"/>
      <c r="S19" s="91"/>
      <c r="T19" s="91"/>
      <c r="U19" s="96"/>
      <c r="V19" s="91"/>
    </row>
    <row r="20" spans="2:25" s="92" customFormat="1" ht="62.5" thickBot="1" x14ac:dyDescent="0.4">
      <c r="B20" s="143" t="s">
        <v>7</v>
      </c>
      <c r="C20" s="52" t="s">
        <v>71</v>
      </c>
      <c r="D20" s="117">
        <v>5</v>
      </c>
      <c r="E20" s="147"/>
      <c r="F20" s="147"/>
      <c r="G20" s="147"/>
      <c r="H20" s="147"/>
      <c r="I20" s="88">
        <f t="shared" si="7"/>
        <v>200</v>
      </c>
      <c r="J20" s="111">
        <v>6</v>
      </c>
      <c r="K20" s="89">
        <f>J20*1000</f>
        <v>6000</v>
      </c>
      <c r="L20" s="89">
        <f>E20*I20</f>
        <v>0</v>
      </c>
      <c r="M20" s="144">
        <f t="shared" si="6"/>
        <v>0</v>
      </c>
      <c r="N20" s="90"/>
      <c r="O20" s="91"/>
      <c r="P20" s="91"/>
      <c r="Q20" s="91"/>
      <c r="R20" s="91"/>
      <c r="S20" s="91"/>
      <c r="T20" s="91"/>
      <c r="U20" s="91"/>
      <c r="V20" s="96"/>
      <c r="W20" s="91"/>
    </row>
    <row r="21" spans="2:25" s="92" customFormat="1" ht="47" thickBot="1" x14ac:dyDescent="0.4">
      <c r="B21" s="143" t="s">
        <v>8</v>
      </c>
      <c r="C21" s="52" t="s">
        <v>68</v>
      </c>
      <c r="D21" s="117">
        <v>5</v>
      </c>
      <c r="E21" s="147"/>
      <c r="F21" s="147"/>
      <c r="G21" s="147"/>
      <c r="H21" s="147"/>
      <c r="I21" s="88">
        <f t="shared" si="7"/>
        <v>200</v>
      </c>
      <c r="J21" s="111">
        <v>6</v>
      </c>
      <c r="K21" s="89">
        <f t="shared" ref="K21" si="8">J21*1000</f>
        <v>6000</v>
      </c>
      <c r="L21" s="89">
        <f t="shared" ref="L21" si="9">E21*I21</f>
        <v>0</v>
      </c>
      <c r="M21" s="144">
        <f t="shared" si="6"/>
        <v>0</v>
      </c>
      <c r="N21" s="90"/>
      <c r="O21" s="91"/>
      <c r="P21" s="91"/>
      <c r="Q21" s="91"/>
      <c r="R21" s="91"/>
      <c r="S21" s="91"/>
      <c r="T21" s="91"/>
      <c r="U21" s="91"/>
      <c r="V21" s="96"/>
      <c r="W21" s="91"/>
    </row>
    <row r="22" spans="2:25" s="101" customFormat="1" ht="47" thickBot="1" x14ac:dyDescent="0.4">
      <c r="B22" s="143" t="s">
        <v>9</v>
      </c>
      <c r="C22" s="52" t="s">
        <v>84</v>
      </c>
      <c r="D22" s="118">
        <v>5</v>
      </c>
      <c r="E22" s="147"/>
      <c r="F22" s="147"/>
      <c r="G22" s="147"/>
      <c r="H22" s="147"/>
      <c r="I22" s="88">
        <f t="shared" si="7"/>
        <v>200</v>
      </c>
      <c r="J22" s="111">
        <v>2</v>
      </c>
      <c r="K22" s="89">
        <f>J22*1000</f>
        <v>2000</v>
      </c>
      <c r="L22" s="89">
        <f>E22*I22</f>
        <v>0</v>
      </c>
      <c r="M22" s="144">
        <f t="shared" si="6"/>
        <v>0</v>
      </c>
      <c r="N22" s="99"/>
      <c r="O22" s="146"/>
      <c r="P22" s="100"/>
      <c r="Q22" s="100"/>
      <c r="R22" s="100"/>
      <c r="S22" s="100"/>
      <c r="T22" s="100"/>
      <c r="U22" s="100"/>
      <c r="V22" s="100"/>
      <c r="W22" s="100"/>
    </row>
    <row r="23" spans="2:25" s="101" customFormat="1" ht="47" thickBot="1" x14ac:dyDescent="0.4">
      <c r="B23" s="143" t="s">
        <v>22</v>
      </c>
      <c r="C23" s="52" t="s">
        <v>69</v>
      </c>
      <c r="D23" s="118">
        <v>5</v>
      </c>
      <c r="E23" s="147"/>
      <c r="F23" s="147"/>
      <c r="G23" s="147"/>
      <c r="H23" s="147"/>
      <c r="I23" s="88">
        <f t="shared" si="7"/>
        <v>200</v>
      </c>
      <c r="J23" s="112">
        <v>4</v>
      </c>
      <c r="K23" s="89">
        <f t="shared" ref="K23" si="10">J23*1000</f>
        <v>4000</v>
      </c>
      <c r="L23" s="98">
        <f t="shared" ref="L23" si="11">E23*I23</f>
        <v>0</v>
      </c>
      <c r="M23" s="144">
        <f t="shared" si="6"/>
        <v>0</v>
      </c>
      <c r="N23" s="99"/>
      <c r="O23" s="100"/>
      <c r="P23" s="100"/>
      <c r="Q23" s="100"/>
      <c r="R23" s="100"/>
      <c r="S23" s="100"/>
      <c r="T23" s="100"/>
      <c r="U23" s="100"/>
      <c r="V23" s="100"/>
      <c r="W23" s="100"/>
    </row>
    <row r="24" spans="2:25" s="92" customFormat="1" ht="31.5" thickBot="1" x14ac:dyDescent="0.4">
      <c r="B24" s="143" t="s">
        <v>23</v>
      </c>
      <c r="C24" s="52" t="s">
        <v>70</v>
      </c>
      <c r="D24" s="117">
        <v>5</v>
      </c>
      <c r="E24" s="147"/>
      <c r="F24" s="147"/>
      <c r="G24" s="147"/>
      <c r="H24" s="147"/>
      <c r="I24" s="88">
        <f t="shared" si="7"/>
        <v>200</v>
      </c>
      <c r="J24" s="111">
        <v>4</v>
      </c>
      <c r="K24" s="89">
        <f t="shared" ref="K24:K29" si="12">J24*1000</f>
        <v>4000</v>
      </c>
      <c r="L24" s="89">
        <f t="shared" ref="L24:L29" si="13">E24*I24</f>
        <v>0</v>
      </c>
      <c r="M24" s="144">
        <f t="shared" si="6"/>
        <v>0</v>
      </c>
      <c r="N24" s="90"/>
      <c r="O24" s="91"/>
      <c r="P24" s="91"/>
      <c r="Q24" s="91"/>
      <c r="R24" s="91"/>
      <c r="S24" s="91"/>
      <c r="T24" s="91"/>
      <c r="U24" s="91"/>
      <c r="V24" s="91"/>
      <c r="W24" s="91"/>
    </row>
    <row r="25" spans="2:25" s="92" customFormat="1" ht="31.5" thickBot="1" x14ac:dyDescent="0.4">
      <c r="B25" s="143" t="s">
        <v>24</v>
      </c>
      <c r="C25" s="125" t="s">
        <v>72</v>
      </c>
      <c r="D25" s="118">
        <v>5</v>
      </c>
      <c r="E25" s="147"/>
      <c r="F25" s="147"/>
      <c r="G25" s="147"/>
      <c r="H25" s="147"/>
      <c r="I25" s="88">
        <f t="shared" ref="I25" si="14">1000/D25</f>
        <v>200</v>
      </c>
      <c r="J25" s="111">
        <v>4</v>
      </c>
      <c r="K25" s="89">
        <f t="shared" si="12"/>
        <v>4000</v>
      </c>
      <c r="L25" s="89">
        <f t="shared" si="13"/>
        <v>0</v>
      </c>
      <c r="M25" s="126">
        <f t="shared" ref="M25" si="15">IF(E25&gt;D25,D25,E25)*I25*J25</f>
        <v>0</v>
      </c>
      <c r="N25" s="90"/>
      <c r="O25" s="91"/>
      <c r="P25" s="91"/>
      <c r="Q25" s="91"/>
      <c r="R25" s="91"/>
      <c r="S25" s="91"/>
      <c r="T25" s="91"/>
      <c r="U25" s="91"/>
      <c r="V25" s="91"/>
      <c r="W25" s="91"/>
    </row>
    <row r="26" spans="2:25" s="92" customFormat="1" ht="47" thickBot="1" x14ac:dyDescent="0.4">
      <c r="B26" s="143" t="s">
        <v>25</v>
      </c>
      <c r="C26" s="125" t="s">
        <v>75</v>
      </c>
      <c r="D26" s="118">
        <v>5</v>
      </c>
      <c r="E26" s="147"/>
      <c r="F26" s="147"/>
      <c r="G26" s="147"/>
      <c r="H26" s="147"/>
      <c r="I26" s="88">
        <f t="shared" ref="I26:I29" si="16">1000/D26</f>
        <v>200</v>
      </c>
      <c r="J26" s="111">
        <v>4</v>
      </c>
      <c r="K26" s="89">
        <f t="shared" si="12"/>
        <v>4000</v>
      </c>
      <c r="L26" s="89">
        <f t="shared" si="13"/>
        <v>0</v>
      </c>
      <c r="M26" s="126">
        <f t="shared" ref="M26" si="17">IF(E26&gt;D26,D26,E26)*I26*J26</f>
        <v>0</v>
      </c>
      <c r="N26" s="90"/>
      <c r="O26" s="91"/>
      <c r="P26" s="91"/>
      <c r="Q26" s="91"/>
      <c r="R26" s="91"/>
      <c r="S26" s="91"/>
      <c r="T26" s="91"/>
      <c r="U26" s="91"/>
      <c r="V26" s="91"/>
      <c r="W26" s="91"/>
    </row>
    <row r="27" spans="2:25" s="92" customFormat="1" ht="31.5" thickBot="1" x14ac:dyDescent="0.4">
      <c r="B27" s="143" t="s">
        <v>26</v>
      </c>
      <c r="C27" s="125" t="s">
        <v>74</v>
      </c>
      <c r="D27" s="118">
        <v>5</v>
      </c>
      <c r="E27" s="147"/>
      <c r="F27" s="147"/>
      <c r="G27" s="147"/>
      <c r="H27" s="147"/>
      <c r="I27" s="88">
        <f t="shared" si="16"/>
        <v>200</v>
      </c>
      <c r="J27" s="111">
        <v>2</v>
      </c>
      <c r="K27" s="89">
        <f t="shared" si="12"/>
        <v>2000</v>
      </c>
      <c r="L27" s="89">
        <f t="shared" si="13"/>
        <v>0</v>
      </c>
      <c r="M27" s="126">
        <f t="shared" ref="M27" si="18">IF(E27&gt;D27,D27,E27)*I27*J27</f>
        <v>0</v>
      </c>
      <c r="N27" s="90"/>
      <c r="O27" s="91"/>
      <c r="P27" s="91"/>
      <c r="Q27" s="91"/>
      <c r="R27" s="91"/>
      <c r="S27" s="91"/>
      <c r="T27" s="91"/>
      <c r="U27" s="91"/>
      <c r="V27" s="91"/>
      <c r="W27" s="91"/>
    </row>
    <row r="28" spans="2:25" s="92" customFormat="1" ht="31.5" thickBot="1" x14ac:dyDescent="0.4">
      <c r="B28" s="143" t="s">
        <v>27</v>
      </c>
      <c r="C28" s="125" t="s">
        <v>76</v>
      </c>
      <c r="D28" s="118">
        <v>5</v>
      </c>
      <c r="E28" s="147"/>
      <c r="F28" s="147"/>
      <c r="G28" s="147"/>
      <c r="H28" s="147"/>
      <c r="I28" s="88">
        <f t="shared" ref="I28" si="19">1000/D28</f>
        <v>200</v>
      </c>
      <c r="J28" s="111">
        <v>4</v>
      </c>
      <c r="K28" s="89">
        <f t="shared" si="12"/>
        <v>4000</v>
      </c>
      <c r="L28" s="89">
        <f t="shared" si="13"/>
        <v>0</v>
      </c>
      <c r="M28" s="126">
        <f t="shared" ref="M28" si="20">IF(E28&gt;D28,D28,E28)*I28*J28</f>
        <v>0</v>
      </c>
      <c r="N28" s="90"/>
      <c r="O28" s="91"/>
      <c r="P28" s="91"/>
      <c r="Q28" s="91"/>
      <c r="R28" s="91"/>
      <c r="S28" s="91"/>
      <c r="T28" s="91"/>
      <c r="U28" s="91"/>
      <c r="V28" s="91"/>
      <c r="W28" s="91"/>
    </row>
    <row r="29" spans="2:25" s="92" customFormat="1" ht="31" x14ac:dyDescent="0.35">
      <c r="B29" s="143" t="s">
        <v>28</v>
      </c>
      <c r="C29" s="125" t="s">
        <v>73</v>
      </c>
      <c r="D29" s="118">
        <v>5</v>
      </c>
      <c r="E29" s="147"/>
      <c r="F29" s="147"/>
      <c r="G29" s="147"/>
      <c r="H29" s="147"/>
      <c r="I29" s="88">
        <f t="shared" si="16"/>
        <v>200</v>
      </c>
      <c r="J29" s="111">
        <v>2</v>
      </c>
      <c r="K29" s="89">
        <f t="shared" si="12"/>
        <v>2000</v>
      </c>
      <c r="L29" s="89">
        <f t="shared" si="13"/>
        <v>0</v>
      </c>
      <c r="M29" s="126">
        <f t="shared" ref="M29" si="21">IF(E29&gt;D29,D29,E29)*I29*J29</f>
        <v>0</v>
      </c>
      <c r="N29" s="90"/>
      <c r="O29" s="91"/>
      <c r="P29" s="91"/>
      <c r="Q29" s="91"/>
      <c r="R29" s="91"/>
      <c r="S29" s="91"/>
      <c r="T29" s="91"/>
      <c r="U29" s="91"/>
      <c r="V29" s="91"/>
      <c r="W29" s="91"/>
    </row>
    <row r="30" spans="2:25" ht="15" thickBot="1" x14ac:dyDescent="0.4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7"/>
      <c r="O30" s="2"/>
      <c r="P30" s="2"/>
      <c r="Q30" s="2"/>
      <c r="R30" s="2"/>
      <c r="S30" s="2"/>
      <c r="T30" s="2"/>
      <c r="U30" s="2"/>
      <c r="V30" s="2"/>
      <c r="W30" s="2"/>
    </row>
    <row r="31" spans="2:25" ht="47" thickBot="1" x14ac:dyDescent="0.4">
      <c r="B31" s="46" t="s">
        <v>35</v>
      </c>
      <c r="C31" s="45" t="s">
        <v>34</v>
      </c>
      <c r="D31" s="159" t="s">
        <v>38</v>
      </c>
      <c r="E31" s="160"/>
      <c r="F31" s="104" t="s">
        <v>45</v>
      </c>
      <c r="G31" s="104" t="s">
        <v>46</v>
      </c>
      <c r="H31" s="13" t="s">
        <v>47</v>
      </c>
      <c r="I31" s="53" t="s">
        <v>51</v>
      </c>
      <c r="J31" s="53" t="s">
        <v>48</v>
      </c>
      <c r="K31" s="53" t="s">
        <v>0</v>
      </c>
      <c r="L31" s="13" t="s">
        <v>36</v>
      </c>
      <c r="M31" s="60" t="s">
        <v>39</v>
      </c>
      <c r="N31" s="102"/>
      <c r="O31" s="103"/>
      <c r="P31" s="2"/>
      <c r="Q31" s="2"/>
      <c r="R31" s="2"/>
      <c r="S31" s="2"/>
      <c r="T31" s="2"/>
      <c r="U31" s="2"/>
      <c r="V31" s="2"/>
      <c r="W31" s="2"/>
    </row>
    <row r="32" spans="2:25" ht="48" customHeight="1" thickBot="1" x14ac:dyDescent="0.4">
      <c r="B32" s="15">
        <v>3.3</v>
      </c>
      <c r="C32" s="25" t="s">
        <v>29</v>
      </c>
      <c r="D32" s="163"/>
      <c r="E32" s="164"/>
      <c r="F32" s="44"/>
      <c r="G32" s="26"/>
      <c r="H32" s="26"/>
      <c r="I32" s="26"/>
      <c r="J32" s="26"/>
      <c r="K32" s="26"/>
      <c r="L32" s="44"/>
      <c r="M32" s="69"/>
      <c r="N32" s="33"/>
      <c r="O32" s="32"/>
      <c r="P32" s="7"/>
      <c r="Q32" s="2"/>
      <c r="R32" s="2"/>
      <c r="S32" s="2"/>
      <c r="T32" s="2"/>
      <c r="U32" s="2"/>
      <c r="V32" s="2"/>
      <c r="W32" s="2"/>
      <c r="X32" s="2"/>
      <c r="Y32" s="2"/>
    </row>
    <row r="33" spans="2:25" ht="47" thickBot="1" x14ac:dyDescent="0.4">
      <c r="B33" s="27" t="s">
        <v>10</v>
      </c>
      <c r="C33" s="28" t="s">
        <v>43</v>
      </c>
      <c r="D33" s="161" t="s">
        <v>30</v>
      </c>
      <c r="E33" s="162"/>
      <c r="F33" s="29" t="s">
        <v>31</v>
      </c>
      <c r="G33" s="30" t="s">
        <v>32</v>
      </c>
      <c r="H33" s="43" t="s">
        <v>52</v>
      </c>
      <c r="I33" s="43" t="s">
        <v>33</v>
      </c>
      <c r="J33" s="43" t="s">
        <v>44</v>
      </c>
      <c r="K33" s="113" t="s">
        <v>58</v>
      </c>
      <c r="L33" s="68">
        <v>1000</v>
      </c>
      <c r="M33" s="70"/>
      <c r="N33" s="33"/>
      <c r="O33" s="32"/>
      <c r="P33" s="7"/>
      <c r="Q33" s="2"/>
      <c r="R33" s="2"/>
      <c r="S33" s="2"/>
      <c r="T33" s="2"/>
      <c r="U33" s="2"/>
      <c r="V33" s="2"/>
      <c r="W33" s="2"/>
      <c r="X33" s="2"/>
      <c r="Y33" s="2"/>
    </row>
    <row r="34" spans="2:25" ht="16" thickBot="1" x14ac:dyDescent="0.4">
      <c r="B34" s="20"/>
      <c r="C34" s="21"/>
      <c r="D34" s="21"/>
      <c r="E34" s="22"/>
      <c r="F34" s="20"/>
      <c r="G34" s="23"/>
      <c r="H34" s="23"/>
      <c r="I34" s="23"/>
      <c r="J34" s="24"/>
      <c r="K34" s="20"/>
      <c r="L34" s="20"/>
      <c r="M34" s="20"/>
      <c r="N34" s="33"/>
      <c r="O34" s="32"/>
      <c r="P34" s="7"/>
      <c r="Q34" s="2"/>
      <c r="R34" s="2"/>
      <c r="S34" s="2"/>
      <c r="T34" s="2"/>
      <c r="U34" s="2"/>
      <c r="V34" s="2"/>
      <c r="W34" s="2"/>
      <c r="X34" s="2"/>
      <c r="Y34" s="2"/>
    </row>
    <row r="35" spans="2:25" ht="47" thickBot="1" x14ac:dyDescent="0.4">
      <c r="B35" s="46" t="s">
        <v>35</v>
      </c>
      <c r="C35" s="45" t="s">
        <v>34</v>
      </c>
      <c r="D35" s="155" t="s">
        <v>59</v>
      </c>
      <c r="E35" s="156"/>
      <c r="F35" s="59" t="s">
        <v>49</v>
      </c>
      <c r="G35" s="59" t="s">
        <v>0</v>
      </c>
      <c r="H35" s="13" t="s">
        <v>14</v>
      </c>
      <c r="I35" s="14" t="s">
        <v>39</v>
      </c>
      <c r="J35" s="60" t="s">
        <v>40</v>
      </c>
      <c r="K35" s="31"/>
      <c r="L35" s="31"/>
      <c r="M35" s="32"/>
      <c r="N35" s="33"/>
      <c r="O35" s="32"/>
      <c r="P35" s="7"/>
      <c r="Q35" s="2"/>
      <c r="R35" s="2"/>
      <c r="S35" s="2"/>
      <c r="T35" s="2"/>
      <c r="U35" s="2"/>
      <c r="V35" s="2"/>
      <c r="W35" s="2"/>
      <c r="X35" s="2"/>
      <c r="Y35" s="2"/>
    </row>
    <row r="36" spans="2:25" ht="16" thickBot="1" x14ac:dyDescent="0.4">
      <c r="B36" s="55">
        <v>3.4</v>
      </c>
      <c r="C36" s="56" t="s">
        <v>50</v>
      </c>
      <c r="D36" s="119"/>
      <c r="E36" s="120"/>
      <c r="F36" s="57"/>
      <c r="G36" s="57"/>
      <c r="H36" s="57"/>
      <c r="I36" s="57"/>
      <c r="J36" s="58"/>
      <c r="K36" s="31"/>
      <c r="L36" s="31"/>
      <c r="M36" s="32"/>
      <c r="N36" s="33"/>
      <c r="O36" s="32"/>
      <c r="P36" s="7"/>
      <c r="Q36" s="2"/>
      <c r="R36" s="2"/>
      <c r="S36" s="2"/>
      <c r="T36" s="2"/>
      <c r="U36" s="2"/>
      <c r="V36" s="2"/>
      <c r="W36" s="2"/>
      <c r="X36" s="2"/>
      <c r="Y36" s="2"/>
    </row>
    <row r="37" spans="2:25" s="94" customFormat="1" ht="15.5" x14ac:dyDescent="0.35">
      <c r="B37" s="54" t="s">
        <v>15</v>
      </c>
      <c r="C37" s="35" t="s">
        <v>53</v>
      </c>
      <c r="D37" s="157"/>
      <c r="E37" s="158"/>
      <c r="F37" s="61">
        <v>1000</v>
      </c>
      <c r="G37" s="62">
        <v>30</v>
      </c>
      <c r="H37" s="63">
        <f>F37*G37</f>
        <v>30000</v>
      </c>
      <c r="I37" s="63">
        <f>D37*F37</f>
        <v>0</v>
      </c>
      <c r="J37" s="67">
        <f>IF(D37&gt;1,1,D37)*F37*G37</f>
        <v>0</v>
      </c>
      <c r="K37" s="31"/>
      <c r="L37" s="31"/>
      <c r="M37" s="32"/>
      <c r="N37" s="33"/>
      <c r="O37" s="32"/>
      <c r="P37" s="7"/>
      <c r="Q37" s="93"/>
      <c r="R37" s="93"/>
      <c r="S37" s="93"/>
      <c r="T37" s="93"/>
      <c r="U37" s="93"/>
      <c r="V37" s="93"/>
      <c r="W37" s="93"/>
      <c r="X37" s="93"/>
      <c r="Y37" s="93"/>
    </row>
    <row r="38" spans="2:25" s="94" customFormat="1" ht="15.5" x14ac:dyDescent="0.35">
      <c r="B38" s="34" t="s">
        <v>16</v>
      </c>
      <c r="C38" s="35" t="s">
        <v>54</v>
      </c>
      <c r="D38" s="153"/>
      <c r="E38" s="154"/>
      <c r="F38" s="64">
        <v>900</v>
      </c>
      <c r="G38" s="62">
        <v>10</v>
      </c>
      <c r="H38" s="63">
        <f t="shared" ref="H38:H41" si="22">F38*G38</f>
        <v>9000</v>
      </c>
      <c r="I38" s="65">
        <f t="shared" ref="I38:I41" si="23">D38*F38</f>
        <v>0</v>
      </c>
      <c r="J38" s="66">
        <f t="shared" ref="J38:J41" si="24">IF(D38&gt;1,1,D38)*F38*G38</f>
        <v>0</v>
      </c>
      <c r="K38" s="31"/>
      <c r="L38" s="31"/>
      <c r="M38" s="32"/>
      <c r="N38" s="33"/>
      <c r="O38" s="32"/>
      <c r="P38" s="7"/>
      <c r="Q38" s="93"/>
      <c r="R38" s="93"/>
      <c r="S38" s="93"/>
      <c r="T38" s="93"/>
      <c r="U38" s="93"/>
      <c r="V38" s="93"/>
      <c r="W38" s="93"/>
      <c r="X38" s="93"/>
      <c r="Y38" s="93"/>
    </row>
    <row r="39" spans="2:25" ht="15.5" x14ac:dyDescent="0.35">
      <c r="B39" s="36" t="s">
        <v>17</v>
      </c>
      <c r="C39" s="35" t="s">
        <v>55</v>
      </c>
      <c r="D39" s="153"/>
      <c r="E39" s="154"/>
      <c r="F39" s="64">
        <v>800</v>
      </c>
      <c r="G39" s="62">
        <v>10</v>
      </c>
      <c r="H39" s="63">
        <f t="shared" si="22"/>
        <v>8000</v>
      </c>
      <c r="I39" s="65">
        <f t="shared" si="23"/>
        <v>0</v>
      </c>
      <c r="J39" s="66">
        <f t="shared" si="24"/>
        <v>0</v>
      </c>
      <c r="K39" s="31"/>
      <c r="L39" s="37"/>
      <c r="M39" s="32"/>
      <c r="N39" s="33"/>
      <c r="O39" s="32"/>
      <c r="P39" s="7"/>
      <c r="Q39" s="2"/>
      <c r="R39" s="2"/>
      <c r="S39" s="2"/>
      <c r="T39" s="2"/>
      <c r="U39" s="2"/>
      <c r="V39" s="2"/>
      <c r="W39" s="2"/>
      <c r="X39" s="2"/>
      <c r="Y39" s="2"/>
    </row>
    <row r="40" spans="2:25" ht="15.5" x14ac:dyDescent="0.35">
      <c r="B40" s="36" t="s">
        <v>18</v>
      </c>
      <c r="C40" s="35" t="s">
        <v>56</v>
      </c>
      <c r="D40" s="153"/>
      <c r="E40" s="154"/>
      <c r="F40" s="64">
        <v>-250</v>
      </c>
      <c r="G40" s="62">
        <v>10</v>
      </c>
      <c r="H40" s="63">
        <f t="shared" si="22"/>
        <v>-2500</v>
      </c>
      <c r="I40" s="65">
        <f t="shared" si="23"/>
        <v>0</v>
      </c>
      <c r="J40" s="66">
        <f t="shared" si="24"/>
        <v>0</v>
      </c>
      <c r="K40" s="31"/>
      <c r="L40" s="37"/>
      <c r="M40" s="32"/>
      <c r="N40" s="33"/>
      <c r="O40" s="32"/>
      <c r="P40" s="7"/>
      <c r="Q40" s="2"/>
      <c r="R40" s="2"/>
      <c r="S40" s="2"/>
      <c r="T40" s="2"/>
      <c r="U40" s="2"/>
      <c r="V40" s="2"/>
      <c r="W40" s="2"/>
      <c r="X40" s="2"/>
      <c r="Y40" s="2"/>
    </row>
    <row r="41" spans="2:25" ht="16" thickBot="1" x14ac:dyDescent="0.4">
      <c r="B41" s="71" t="s">
        <v>19</v>
      </c>
      <c r="C41" s="72" t="s">
        <v>57</v>
      </c>
      <c r="D41" s="151"/>
      <c r="E41" s="152"/>
      <c r="F41" s="114">
        <v>-1000</v>
      </c>
      <c r="G41" s="62">
        <v>40</v>
      </c>
      <c r="H41" s="73">
        <f t="shared" si="22"/>
        <v>-40000</v>
      </c>
      <c r="I41" s="74">
        <f t="shared" si="23"/>
        <v>0</v>
      </c>
      <c r="J41" s="66">
        <f t="shared" si="24"/>
        <v>0</v>
      </c>
      <c r="K41" s="31"/>
      <c r="L41" s="37"/>
      <c r="M41" s="32"/>
      <c r="N41" s="33"/>
      <c r="O41" s="2"/>
      <c r="P41" s="2"/>
      <c r="Q41" s="2"/>
      <c r="R41" s="2"/>
      <c r="S41" s="2"/>
      <c r="T41" s="2"/>
      <c r="U41" s="2"/>
      <c r="V41" s="2"/>
      <c r="W41" s="2"/>
    </row>
    <row r="42" spans="2:25" ht="16" thickBot="1" x14ac:dyDescent="0.4">
      <c r="B42" s="75"/>
      <c r="C42" s="76"/>
      <c r="D42" s="77"/>
      <c r="E42" s="77"/>
      <c r="F42" s="78"/>
      <c r="G42" s="78"/>
      <c r="H42" s="78"/>
      <c r="I42" s="78"/>
      <c r="J42" s="82"/>
      <c r="K42" s="31"/>
      <c r="L42" s="37"/>
      <c r="M42" s="32"/>
      <c r="N42" s="33"/>
      <c r="O42" s="2"/>
      <c r="P42" s="2"/>
      <c r="Q42" s="2"/>
      <c r="R42" s="2"/>
      <c r="S42" s="2"/>
      <c r="T42" s="2"/>
      <c r="U42" s="2"/>
      <c r="V42" s="2"/>
    </row>
    <row r="43" spans="2:25" ht="16" thickBot="1" x14ac:dyDescent="0.4">
      <c r="B43" s="83" t="s">
        <v>20</v>
      </c>
      <c r="C43" s="121"/>
      <c r="D43" s="149">
        <f>IF(SUM(D37:E41)&gt;100,Error.Type,SUM(D37:E41))</f>
        <v>0</v>
      </c>
      <c r="E43" s="150"/>
      <c r="F43" s="122"/>
      <c r="G43" s="79"/>
      <c r="H43" s="80">
        <f>H37</f>
        <v>30000</v>
      </c>
      <c r="I43" s="80">
        <f>SUM(I37:I41)</f>
        <v>0</v>
      </c>
      <c r="J43" s="81">
        <f>IF(SUM(J37:J41)&gt;H43,H43,SUM(J37:J41))</f>
        <v>0</v>
      </c>
      <c r="K43" s="31"/>
      <c r="L43" s="37"/>
      <c r="M43" s="32"/>
      <c r="N43" s="33"/>
      <c r="O43" s="2"/>
      <c r="P43" s="2"/>
      <c r="Q43" s="2"/>
      <c r="R43" s="2"/>
      <c r="S43" s="2"/>
      <c r="T43" s="2"/>
      <c r="U43" s="2"/>
      <c r="V43" s="2"/>
    </row>
    <row r="44" spans="2:25" ht="16" thickBot="1" x14ac:dyDescent="0.4">
      <c r="B44" s="38"/>
      <c r="C44" s="39"/>
      <c r="D44" s="39"/>
      <c r="E44" s="40"/>
      <c r="F44" s="40"/>
      <c r="G44" s="31"/>
      <c r="H44" s="31"/>
      <c r="I44" s="31"/>
      <c r="J44" s="37"/>
      <c r="K44" s="32"/>
      <c r="L44" s="32"/>
      <c r="M44" s="32"/>
      <c r="N44" s="33"/>
      <c r="O44" s="2"/>
      <c r="P44" s="2"/>
      <c r="Q44" s="2"/>
      <c r="R44" s="2"/>
      <c r="S44" s="2"/>
      <c r="T44" s="2"/>
      <c r="U44" s="2"/>
      <c r="V44" s="2"/>
      <c r="W44" s="2"/>
    </row>
    <row r="45" spans="2:25" ht="15.5" x14ac:dyDescent="0.35">
      <c r="B45" s="41"/>
      <c r="C45" s="84" t="s">
        <v>11</v>
      </c>
      <c r="D45" s="85">
        <f>SUM(K11:K16,K18:K29,L33,H43)</f>
        <v>101000</v>
      </c>
      <c r="E45" s="42"/>
      <c r="F45" s="42"/>
      <c r="G45" s="42"/>
      <c r="H45" s="42"/>
      <c r="I45" s="42"/>
      <c r="J45" s="42"/>
      <c r="K45" s="42"/>
      <c r="L45" s="42"/>
      <c r="M45" s="7"/>
      <c r="N45" s="33"/>
      <c r="O45" s="2"/>
      <c r="P45" s="2"/>
      <c r="Q45" s="2"/>
      <c r="R45" s="2"/>
      <c r="S45" s="2"/>
      <c r="T45" s="2"/>
      <c r="U45" s="2"/>
      <c r="V45" s="2"/>
      <c r="W45" s="2"/>
    </row>
    <row r="46" spans="2:25" ht="16" thickBot="1" x14ac:dyDescent="0.4">
      <c r="B46" s="41"/>
      <c r="C46" s="86" t="s">
        <v>60</v>
      </c>
      <c r="D46" s="87">
        <f>SUM(M11:M16,M18:M29,M33,J43)</f>
        <v>0</v>
      </c>
      <c r="E46" s="42"/>
      <c r="F46" s="42"/>
      <c r="G46" s="42"/>
      <c r="H46" s="42"/>
      <c r="I46" s="42"/>
      <c r="J46" s="42"/>
      <c r="K46" s="42"/>
      <c r="L46" s="42"/>
      <c r="M46" s="7"/>
      <c r="N46" s="33"/>
      <c r="O46" s="2"/>
      <c r="P46" s="2"/>
      <c r="Q46" s="2"/>
      <c r="R46" s="2"/>
      <c r="S46" s="2"/>
      <c r="T46" s="2"/>
      <c r="U46" s="2"/>
      <c r="V46" s="2"/>
      <c r="W46" s="2"/>
    </row>
    <row r="47" spans="2:25" ht="15.5" x14ac:dyDescent="0.35">
      <c r="B47" s="7"/>
      <c r="C47" s="6"/>
      <c r="D47" s="6"/>
      <c r="E47" s="6"/>
      <c r="F47" s="7"/>
      <c r="G47" s="7"/>
      <c r="H47" s="7"/>
      <c r="I47" s="7"/>
      <c r="J47" s="7"/>
      <c r="K47" s="7"/>
      <c r="L47" s="7"/>
      <c r="M47" s="7"/>
      <c r="N47" s="33"/>
      <c r="O47" s="2"/>
      <c r="P47" s="2"/>
      <c r="Q47" s="2"/>
      <c r="R47" s="2"/>
      <c r="S47" s="2"/>
      <c r="T47" s="2"/>
      <c r="U47" s="2"/>
      <c r="V47" s="2"/>
      <c r="W47" s="2"/>
    </row>
    <row r="48" spans="2:25" ht="15.5" x14ac:dyDescent="0.35">
      <c r="B48" s="7"/>
      <c r="C48" s="6"/>
      <c r="D48" s="6"/>
      <c r="E48" s="6"/>
      <c r="F48" s="7"/>
      <c r="G48" s="7"/>
      <c r="H48" s="7"/>
      <c r="I48" s="7"/>
      <c r="J48" s="7"/>
      <c r="K48" s="7"/>
      <c r="L48" s="7"/>
      <c r="M48" s="7"/>
      <c r="N48" s="33"/>
      <c r="O48" s="2"/>
      <c r="P48" s="2"/>
      <c r="Q48" s="2"/>
      <c r="R48" s="2"/>
      <c r="S48" s="2"/>
      <c r="T48" s="2"/>
      <c r="U48" s="2"/>
      <c r="V48" s="2"/>
      <c r="W48" s="2"/>
    </row>
    <row r="49" spans="2:23" ht="15.5" x14ac:dyDescent="0.35">
      <c r="B49" s="7"/>
      <c r="C49" s="6"/>
      <c r="D49" s="6"/>
      <c r="E49" s="6"/>
      <c r="F49" s="7"/>
      <c r="G49" s="7"/>
      <c r="H49" s="7"/>
      <c r="I49" s="7"/>
      <c r="J49" s="7"/>
      <c r="K49" s="7"/>
      <c r="L49" s="7"/>
      <c r="M49" s="7"/>
      <c r="N49" s="33"/>
      <c r="O49" s="2"/>
      <c r="P49" s="2"/>
      <c r="Q49" s="2"/>
      <c r="R49" s="2"/>
      <c r="S49" s="2"/>
      <c r="T49" s="2"/>
      <c r="U49" s="2"/>
      <c r="V49" s="2"/>
      <c r="W49" s="2"/>
    </row>
    <row r="50" spans="2:23" ht="15.5" x14ac:dyDescent="0.35">
      <c r="B50" s="7"/>
      <c r="C50" s="6"/>
      <c r="D50" s="6"/>
      <c r="E50" s="6"/>
      <c r="F50" s="7"/>
      <c r="G50" s="7"/>
      <c r="H50" s="7"/>
      <c r="I50" s="7"/>
      <c r="J50" s="7"/>
      <c r="K50" s="7"/>
      <c r="L50" s="7"/>
      <c r="M50" s="7"/>
      <c r="N50" s="33"/>
      <c r="O50" s="2"/>
      <c r="P50" s="2"/>
      <c r="Q50" s="2"/>
      <c r="R50" s="2"/>
      <c r="S50" s="2"/>
      <c r="T50" s="2"/>
      <c r="U50" s="2"/>
      <c r="V50" s="2"/>
      <c r="W50" s="2"/>
    </row>
    <row r="51" spans="2:23" ht="15.5" x14ac:dyDescent="0.35">
      <c r="B51" s="7"/>
      <c r="C51" s="6"/>
      <c r="D51" s="6"/>
      <c r="E51" s="6"/>
      <c r="F51" s="7"/>
      <c r="G51" s="7"/>
      <c r="H51" s="7"/>
      <c r="I51" s="7"/>
      <c r="J51" s="7"/>
      <c r="K51" s="7"/>
      <c r="L51" s="7"/>
      <c r="M51" s="7"/>
      <c r="N51" s="33"/>
      <c r="O51" s="2"/>
      <c r="P51" s="2"/>
      <c r="Q51" s="2"/>
      <c r="R51" s="2"/>
      <c r="S51" s="2"/>
      <c r="T51" s="2"/>
      <c r="U51" s="2"/>
      <c r="V51" s="2"/>
      <c r="W51" s="2"/>
    </row>
    <row r="52" spans="2:23" ht="15.5" x14ac:dyDescent="0.35">
      <c r="B52" s="7"/>
      <c r="C52" s="6"/>
      <c r="D52" s="6"/>
      <c r="E52" s="6"/>
      <c r="F52" s="7"/>
      <c r="G52" s="7"/>
      <c r="H52" s="7"/>
      <c r="I52" s="7"/>
      <c r="J52" s="7"/>
      <c r="K52" s="7"/>
      <c r="L52" s="7"/>
      <c r="M52" s="7"/>
      <c r="N52" s="33"/>
      <c r="O52" s="2"/>
      <c r="P52" s="2"/>
      <c r="Q52" s="2"/>
      <c r="R52" s="2"/>
      <c r="S52" s="2"/>
      <c r="T52" s="2"/>
      <c r="U52" s="2"/>
      <c r="V52" s="2"/>
      <c r="W52" s="2"/>
    </row>
    <row r="53" spans="2:23" ht="15.5" x14ac:dyDescent="0.35">
      <c r="B53" s="7"/>
      <c r="C53" s="6"/>
      <c r="D53" s="6"/>
      <c r="E53" s="6"/>
      <c r="F53" s="7"/>
      <c r="G53" s="7"/>
      <c r="H53" s="7"/>
      <c r="I53" s="7"/>
      <c r="J53" s="7"/>
      <c r="K53" s="7"/>
      <c r="L53" s="7"/>
      <c r="M53" s="7"/>
      <c r="N53" s="33"/>
      <c r="O53" s="2"/>
      <c r="P53" s="2"/>
      <c r="Q53" s="2"/>
      <c r="R53" s="2"/>
      <c r="S53" s="2"/>
      <c r="T53" s="2"/>
      <c r="U53" s="2"/>
      <c r="V53" s="2"/>
      <c r="W53" s="2"/>
    </row>
    <row r="54" spans="2:23" ht="15.5" x14ac:dyDescent="0.35">
      <c r="B54" s="7"/>
      <c r="C54" s="6"/>
      <c r="D54" s="6"/>
      <c r="E54" s="6"/>
      <c r="F54" s="7"/>
      <c r="G54" s="7"/>
      <c r="H54" s="7"/>
      <c r="I54" s="7"/>
      <c r="J54" s="7"/>
      <c r="K54" s="7"/>
      <c r="L54" s="7"/>
      <c r="M54" s="7"/>
      <c r="N54" s="33"/>
      <c r="O54" s="2"/>
      <c r="P54" s="2"/>
      <c r="Q54" s="2"/>
      <c r="R54" s="2"/>
      <c r="S54" s="2"/>
      <c r="T54" s="2"/>
      <c r="U54" s="2"/>
      <c r="V54" s="2"/>
      <c r="W54" s="2"/>
    </row>
    <row r="55" spans="2:23" ht="15.5" x14ac:dyDescent="0.35">
      <c r="B55" s="7"/>
      <c r="C55" s="6"/>
      <c r="D55" s="6"/>
      <c r="E55" s="6"/>
      <c r="F55" s="7"/>
      <c r="G55" s="7"/>
      <c r="H55" s="7"/>
      <c r="I55" s="7"/>
      <c r="J55" s="7"/>
      <c r="K55" s="7"/>
      <c r="L55" s="7"/>
      <c r="M55" s="7"/>
      <c r="N55" s="33"/>
      <c r="O55" s="2"/>
      <c r="P55" s="2"/>
      <c r="Q55" s="2"/>
      <c r="R55" s="2"/>
      <c r="S55" s="2"/>
      <c r="T55" s="2"/>
      <c r="U55" s="2"/>
      <c r="V55" s="2"/>
      <c r="W55" s="2"/>
    </row>
    <row r="56" spans="2:23" ht="15.5" x14ac:dyDescent="0.35">
      <c r="B56" s="7"/>
      <c r="C56" s="6"/>
      <c r="D56" s="6"/>
      <c r="E56" s="6"/>
      <c r="F56" s="7"/>
      <c r="G56" s="7"/>
      <c r="H56" s="7"/>
      <c r="I56" s="7"/>
      <c r="J56" s="7"/>
      <c r="K56" s="7"/>
      <c r="L56" s="7"/>
      <c r="M56" s="7"/>
      <c r="N56" s="33"/>
      <c r="O56" s="2"/>
      <c r="P56" s="2"/>
      <c r="Q56" s="2"/>
      <c r="R56" s="2"/>
      <c r="S56" s="2"/>
      <c r="T56" s="2"/>
      <c r="U56" s="2"/>
      <c r="V56" s="2"/>
      <c r="W56" s="2"/>
    </row>
    <row r="57" spans="2:23" ht="15.5" x14ac:dyDescent="0.35">
      <c r="B57" s="7"/>
      <c r="C57" s="6"/>
      <c r="D57" s="6"/>
      <c r="E57" s="6"/>
      <c r="F57" s="7"/>
      <c r="G57" s="7"/>
      <c r="H57" s="7"/>
      <c r="I57" s="7"/>
      <c r="J57" s="7"/>
      <c r="K57" s="7"/>
      <c r="L57" s="7"/>
      <c r="M57" s="7"/>
      <c r="N57" s="33"/>
      <c r="O57" s="2"/>
      <c r="P57" s="2"/>
      <c r="Q57" s="2"/>
      <c r="R57" s="2"/>
      <c r="S57" s="2"/>
      <c r="T57" s="2"/>
      <c r="U57" s="2"/>
      <c r="V57" s="2"/>
      <c r="W57" s="2"/>
    </row>
    <row r="58" spans="2:23" ht="15.5" x14ac:dyDescent="0.35">
      <c r="B58" s="7"/>
      <c r="C58" s="6"/>
      <c r="D58" s="6"/>
      <c r="E58" s="6"/>
      <c r="F58" s="7"/>
      <c r="G58" s="7"/>
      <c r="H58" s="7"/>
      <c r="I58" s="7"/>
      <c r="J58" s="7"/>
      <c r="K58" s="7"/>
      <c r="L58" s="7"/>
      <c r="M58" s="7"/>
      <c r="N58" s="33"/>
      <c r="O58" s="2"/>
      <c r="P58" s="2"/>
      <c r="Q58" s="2"/>
      <c r="R58" s="2"/>
      <c r="S58" s="2"/>
      <c r="T58" s="2"/>
      <c r="U58" s="2"/>
      <c r="V58" s="2"/>
      <c r="W58" s="2"/>
    </row>
    <row r="59" spans="2:23" ht="15.5" x14ac:dyDescent="0.35">
      <c r="B59" s="7"/>
      <c r="C59" s="6"/>
      <c r="D59" s="6"/>
      <c r="E59" s="6"/>
      <c r="F59" s="7"/>
      <c r="G59" s="7"/>
      <c r="H59" s="7"/>
      <c r="I59" s="7"/>
      <c r="J59" s="7"/>
      <c r="K59" s="7"/>
      <c r="L59" s="7"/>
      <c r="M59" s="7"/>
      <c r="N59" s="33"/>
      <c r="O59" s="2"/>
      <c r="P59" s="2"/>
      <c r="Q59" s="2"/>
      <c r="R59" s="2"/>
      <c r="S59" s="2"/>
      <c r="T59" s="2"/>
      <c r="U59" s="2"/>
      <c r="V59" s="2"/>
      <c r="W59" s="2"/>
    </row>
    <row r="60" spans="2:23" ht="15.5" x14ac:dyDescent="0.35">
      <c r="B60" s="7"/>
      <c r="C60" s="6"/>
      <c r="D60" s="6"/>
      <c r="E60" s="6"/>
      <c r="F60" s="7"/>
      <c r="G60" s="7"/>
      <c r="H60" s="7"/>
      <c r="I60" s="7"/>
      <c r="J60" s="7"/>
      <c r="K60" s="7"/>
      <c r="L60" s="7"/>
      <c r="M60" s="7"/>
      <c r="N60" s="33"/>
      <c r="O60" s="2"/>
      <c r="P60" s="2"/>
      <c r="Q60" s="2"/>
      <c r="R60" s="2"/>
      <c r="S60" s="2"/>
      <c r="T60" s="2"/>
      <c r="U60" s="2"/>
      <c r="V60" s="2"/>
      <c r="W60" s="2"/>
    </row>
    <row r="61" spans="2:23" ht="15.5" x14ac:dyDescent="0.35">
      <c r="B61" s="7"/>
      <c r="C61" s="6"/>
      <c r="D61" s="6"/>
      <c r="E61" s="6"/>
      <c r="F61" s="7"/>
      <c r="G61" s="7"/>
      <c r="H61" s="7"/>
      <c r="I61" s="7"/>
      <c r="J61" s="7"/>
      <c r="K61" s="7"/>
      <c r="L61" s="7"/>
      <c r="M61" s="7"/>
      <c r="N61" s="33"/>
      <c r="O61" s="2"/>
      <c r="P61" s="2"/>
      <c r="Q61" s="2"/>
      <c r="R61" s="2"/>
      <c r="S61" s="2"/>
      <c r="T61" s="2"/>
      <c r="U61" s="2"/>
      <c r="V61" s="2"/>
      <c r="W61" s="2"/>
    </row>
    <row r="62" spans="2:23" ht="15.5" x14ac:dyDescent="0.35">
      <c r="B62" s="7"/>
      <c r="C62" s="6"/>
      <c r="D62" s="6"/>
      <c r="E62" s="6"/>
      <c r="F62" s="7"/>
      <c r="G62" s="7"/>
      <c r="H62" s="7"/>
      <c r="I62" s="7"/>
      <c r="J62" s="7"/>
      <c r="K62" s="7"/>
      <c r="L62" s="7"/>
      <c r="M62" s="7"/>
      <c r="N62" s="33"/>
      <c r="O62" s="2"/>
      <c r="P62" s="2"/>
      <c r="Q62" s="2"/>
      <c r="R62" s="2"/>
      <c r="S62" s="2"/>
      <c r="T62" s="2"/>
      <c r="U62" s="2"/>
      <c r="V62" s="2"/>
      <c r="W62" s="2"/>
    </row>
    <row r="63" spans="2:23" ht="15.5" x14ac:dyDescent="0.35">
      <c r="B63" s="7"/>
      <c r="C63" s="6"/>
      <c r="D63" s="6"/>
      <c r="E63" s="6"/>
      <c r="F63" s="7"/>
      <c r="G63" s="7"/>
      <c r="H63" s="7"/>
      <c r="I63" s="7"/>
      <c r="J63" s="7"/>
      <c r="K63" s="7"/>
      <c r="L63" s="7"/>
      <c r="M63" s="7"/>
      <c r="N63" s="33"/>
      <c r="O63" s="2"/>
      <c r="P63" s="2"/>
      <c r="Q63" s="2"/>
      <c r="R63" s="2"/>
      <c r="S63" s="2"/>
      <c r="T63" s="2"/>
      <c r="U63" s="2"/>
      <c r="V63" s="2"/>
      <c r="W63" s="2"/>
    </row>
    <row r="64" spans="2:23" ht="15.5" x14ac:dyDescent="0.35">
      <c r="B64" s="7"/>
      <c r="C64" s="6"/>
      <c r="D64" s="6"/>
      <c r="E64" s="6"/>
      <c r="F64" s="7"/>
      <c r="G64" s="7"/>
      <c r="H64" s="7"/>
      <c r="I64" s="7"/>
      <c r="J64" s="7"/>
      <c r="K64" s="7"/>
      <c r="L64" s="7"/>
      <c r="M64" s="7"/>
      <c r="N64" s="33"/>
      <c r="O64" s="2"/>
      <c r="P64" s="2"/>
      <c r="Q64" s="2"/>
      <c r="R64" s="2"/>
      <c r="S64" s="2"/>
      <c r="T64" s="2"/>
      <c r="U64" s="2"/>
      <c r="V64" s="2"/>
      <c r="W64" s="2"/>
    </row>
    <row r="65" spans="2:23" ht="15.5" x14ac:dyDescent="0.35">
      <c r="B65" s="7"/>
      <c r="C65" s="6"/>
      <c r="D65" s="6"/>
      <c r="E65" s="6"/>
      <c r="F65" s="7"/>
      <c r="G65" s="7"/>
      <c r="H65" s="7"/>
      <c r="I65" s="7"/>
      <c r="J65" s="7"/>
      <c r="K65" s="7"/>
      <c r="L65" s="7"/>
      <c r="M65" s="7"/>
      <c r="N65" s="33"/>
      <c r="O65" s="2"/>
      <c r="P65" s="2"/>
      <c r="Q65" s="2"/>
      <c r="R65" s="2"/>
      <c r="S65" s="2"/>
      <c r="T65" s="2"/>
      <c r="U65" s="2"/>
      <c r="V65" s="2"/>
      <c r="W65" s="2"/>
    </row>
    <row r="66" spans="2:23" ht="15.5" x14ac:dyDescent="0.35">
      <c r="B66" s="7"/>
      <c r="C66" s="6"/>
      <c r="D66" s="6"/>
      <c r="E66" s="6"/>
      <c r="F66" s="7"/>
      <c r="G66" s="7"/>
      <c r="H66" s="7"/>
      <c r="I66" s="7"/>
      <c r="J66" s="7"/>
      <c r="K66" s="7"/>
      <c r="L66" s="7"/>
      <c r="M66" s="7"/>
      <c r="N66" s="33"/>
      <c r="O66" s="2"/>
      <c r="P66" s="2"/>
      <c r="Q66" s="2"/>
      <c r="R66" s="2"/>
      <c r="S66" s="2"/>
      <c r="T66" s="2"/>
      <c r="U66" s="2"/>
      <c r="V66" s="2"/>
      <c r="W66" s="2"/>
    </row>
    <row r="67" spans="2:23" ht="15.5" x14ac:dyDescent="0.35">
      <c r="B67" s="7"/>
      <c r="C67" s="6"/>
      <c r="D67" s="6"/>
      <c r="E67" s="6"/>
      <c r="F67" s="7"/>
      <c r="G67" s="7"/>
      <c r="H67" s="7"/>
      <c r="I67" s="7"/>
      <c r="J67" s="7"/>
      <c r="K67" s="7"/>
      <c r="L67" s="7"/>
      <c r="M67" s="7"/>
      <c r="N67" s="33"/>
      <c r="O67" s="2"/>
      <c r="P67" s="2"/>
      <c r="Q67" s="2"/>
      <c r="R67" s="2"/>
      <c r="S67" s="2"/>
      <c r="T67" s="2"/>
      <c r="U67" s="2"/>
      <c r="V67" s="2"/>
      <c r="W67" s="2"/>
    </row>
    <row r="68" spans="2:23" ht="15.5" x14ac:dyDescent="0.35">
      <c r="B68" s="7"/>
      <c r="C68" s="6"/>
      <c r="D68" s="6"/>
      <c r="E68" s="6"/>
      <c r="F68" s="7"/>
      <c r="G68" s="7"/>
      <c r="H68" s="7"/>
      <c r="I68" s="7"/>
      <c r="J68" s="7"/>
      <c r="K68" s="7"/>
      <c r="L68" s="7"/>
      <c r="M68" s="7"/>
      <c r="N68" s="33"/>
      <c r="O68" s="2"/>
      <c r="P68" s="2"/>
      <c r="Q68" s="2"/>
      <c r="R68" s="2"/>
      <c r="S68" s="2"/>
      <c r="T68" s="2"/>
      <c r="U68" s="2"/>
      <c r="V68" s="2"/>
      <c r="W68" s="2"/>
    </row>
    <row r="69" spans="2:23" ht="15.5" x14ac:dyDescent="0.35">
      <c r="B69" s="7"/>
      <c r="C69" s="6"/>
      <c r="D69" s="6"/>
      <c r="E69" s="6"/>
      <c r="F69" s="7"/>
      <c r="G69" s="7"/>
      <c r="H69" s="7"/>
      <c r="I69" s="7"/>
      <c r="J69" s="7"/>
      <c r="K69" s="7"/>
      <c r="L69" s="7"/>
      <c r="M69" s="7"/>
      <c r="N69" s="33"/>
      <c r="O69" s="2"/>
      <c r="P69" s="2"/>
      <c r="Q69" s="2"/>
      <c r="R69" s="2"/>
      <c r="S69" s="2"/>
      <c r="T69" s="2"/>
      <c r="U69" s="2"/>
      <c r="V69" s="2"/>
      <c r="W69" s="2"/>
    </row>
    <row r="70" spans="2:23" ht="15.5" x14ac:dyDescent="0.35">
      <c r="B70" s="7"/>
      <c r="C70" s="6"/>
      <c r="D70" s="6"/>
      <c r="E70" s="6"/>
      <c r="F70" s="7"/>
      <c r="G70" s="7"/>
      <c r="H70" s="7"/>
      <c r="I70" s="7"/>
      <c r="J70" s="7"/>
      <c r="K70" s="7"/>
      <c r="L70" s="7"/>
      <c r="M70" s="7"/>
      <c r="N70" s="33"/>
      <c r="O70" s="2"/>
      <c r="P70" s="2"/>
      <c r="Q70" s="2"/>
      <c r="R70" s="2"/>
      <c r="S70" s="2"/>
      <c r="T70" s="2"/>
      <c r="U70" s="2"/>
      <c r="V70" s="2"/>
      <c r="W70" s="2"/>
    </row>
    <row r="71" spans="2:23" ht="15.5" x14ac:dyDescent="0.35">
      <c r="B71" s="7"/>
      <c r="C71" s="6"/>
      <c r="D71" s="6"/>
      <c r="E71" s="6"/>
      <c r="F71" s="7"/>
      <c r="G71" s="7"/>
      <c r="H71" s="7"/>
      <c r="I71" s="7"/>
      <c r="J71" s="7"/>
      <c r="K71" s="7"/>
      <c r="L71" s="7"/>
      <c r="M71" s="7"/>
      <c r="N71" s="33"/>
      <c r="O71" s="2"/>
      <c r="P71" s="2"/>
      <c r="Q71" s="2"/>
      <c r="R71" s="2"/>
      <c r="S71" s="2"/>
      <c r="T71" s="2"/>
      <c r="U71" s="2"/>
      <c r="V71" s="2"/>
      <c r="W71" s="2"/>
    </row>
    <row r="72" spans="2:23" ht="15.5" x14ac:dyDescent="0.35">
      <c r="B72" s="7"/>
      <c r="C72" s="6"/>
      <c r="D72" s="6"/>
      <c r="E72" s="6"/>
      <c r="F72" s="7"/>
      <c r="G72" s="7"/>
      <c r="H72" s="7"/>
      <c r="I72" s="7"/>
      <c r="J72" s="7"/>
      <c r="K72" s="7"/>
      <c r="L72" s="7"/>
      <c r="M72" s="7"/>
      <c r="N72" s="33"/>
      <c r="O72" s="2"/>
      <c r="P72" s="2"/>
      <c r="Q72" s="2"/>
      <c r="R72" s="2"/>
      <c r="S72" s="2"/>
      <c r="T72" s="2"/>
      <c r="U72" s="2"/>
      <c r="V72" s="2"/>
      <c r="W72" s="2"/>
    </row>
    <row r="73" spans="2:23" ht="15.5" x14ac:dyDescent="0.35">
      <c r="B73" s="7"/>
      <c r="C73" s="6"/>
      <c r="D73" s="6"/>
      <c r="E73" s="6"/>
      <c r="F73" s="7"/>
      <c r="G73" s="7"/>
      <c r="H73" s="7"/>
      <c r="I73" s="7"/>
      <c r="J73" s="7"/>
      <c r="K73" s="7"/>
      <c r="L73" s="7"/>
      <c r="M73" s="7"/>
      <c r="N73" s="33"/>
      <c r="O73" s="2"/>
      <c r="P73" s="2"/>
      <c r="Q73" s="2"/>
      <c r="R73" s="2"/>
      <c r="S73" s="2"/>
      <c r="T73" s="2"/>
      <c r="U73" s="2"/>
      <c r="V73" s="2"/>
      <c r="W73" s="2"/>
    </row>
    <row r="74" spans="2:23" ht="15.5" x14ac:dyDescent="0.35">
      <c r="F74" s="2"/>
      <c r="G74" s="2"/>
      <c r="H74" s="2"/>
      <c r="I74" s="2"/>
      <c r="J74" s="2"/>
      <c r="K74" s="2"/>
      <c r="L74" s="2"/>
      <c r="M74" s="2"/>
      <c r="N74" s="33"/>
      <c r="O74" s="2"/>
      <c r="P74" s="2"/>
      <c r="Q74" s="2"/>
      <c r="R74" s="2"/>
      <c r="S74" s="2"/>
      <c r="T74" s="2"/>
      <c r="U74" s="2"/>
      <c r="V74" s="2"/>
      <c r="W74" s="2"/>
    </row>
    <row r="75" spans="2:23" ht="15.5" x14ac:dyDescent="0.35">
      <c r="F75" s="2"/>
      <c r="G75" s="2"/>
      <c r="H75" s="2"/>
      <c r="I75" s="2"/>
      <c r="J75" s="2"/>
      <c r="K75" s="2"/>
      <c r="L75" s="2"/>
      <c r="M75" s="2"/>
      <c r="N75" s="33"/>
      <c r="O75" s="2"/>
      <c r="P75" s="2"/>
      <c r="Q75" s="2"/>
      <c r="R75" s="2"/>
      <c r="S75" s="2"/>
      <c r="T75" s="2"/>
      <c r="U75" s="2"/>
      <c r="V75" s="2"/>
      <c r="W75" s="2"/>
    </row>
    <row r="76" spans="2:23" ht="15.5" x14ac:dyDescent="0.35">
      <c r="F76" s="2"/>
      <c r="G76" s="2"/>
      <c r="H76" s="2"/>
      <c r="I76" s="2"/>
      <c r="J76" s="2"/>
      <c r="K76" s="2"/>
      <c r="L76" s="2"/>
      <c r="M76" s="2"/>
      <c r="N76" s="33"/>
      <c r="O76" s="2"/>
      <c r="P76" s="2"/>
      <c r="Q76" s="2"/>
      <c r="R76" s="2"/>
      <c r="S76" s="2"/>
      <c r="T76" s="2"/>
      <c r="U76" s="2"/>
      <c r="V76" s="2"/>
      <c r="W76" s="2"/>
    </row>
    <row r="77" spans="2:23" ht="15.5" x14ac:dyDescent="0.35">
      <c r="F77" s="2"/>
      <c r="G77" s="2"/>
      <c r="H77" s="2"/>
      <c r="I77" s="2"/>
      <c r="J77" s="2"/>
      <c r="K77" s="2"/>
      <c r="L77" s="2"/>
      <c r="M77" s="2"/>
      <c r="N77" s="33"/>
      <c r="O77" s="2"/>
      <c r="P77" s="2"/>
      <c r="Q77" s="2"/>
      <c r="R77" s="2"/>
      <c r="S77" s="2"/>
      <c r="T77" s="2"/>
      <c r="U77" s="2"/>
      <c r="V77" s="2"/>
      <c r="W77" s="2"/>
    </row>
    <row r="78" spans="2:23" ht="15.5" x14ac:dyDescent="0.35">
      <c r="F78" s="2"/>
      <c r="G78" s="2"/>
      <c r="H78" s="2"/>
      <c r="I78" s="2"/>
      <c r="J78" s="2"/>
      <c r="K78" s="2"/>
      <c r="L78" s="2"/>
      <c r="M78" s="2"/>
      <c r="N78" s="33"/>
      <c r="O78" s="2"/>
      <c r="P78" s="2"/>
      <c r="Q78" s="2"/>
      <c r="R78" s="2"/>
      <c r="S78" s="2"/>
      <c r="T78" s="2"/>
      <c r="U78" s="2"/>
      <c r="V78" s="2"/>
      <c r="W78" s="2"/>
    </row>
    <row r="79" spans="2:23" ht="15.5" x14ac:dyDescent="0.35">
      <c r="F79" s="2"/>
      <c r="G79" s="2"/>
      <c r="H79" s="2"/>
      <c r="I79" s="2"/>
      <c r="J79" s="2"/>
      <c r="K79" s="2"/>
      <c r="L79" s="2"/>
      <c r="M79" s="2"/>
      <c r="N79" s="33"/>
      <c r="O79" s="2"/>
      <c r="P79" s="2"/>
      <c r="Q79" s="2"/>
      <c r="R79" s="2"/>
      <c r="S79" s="2"/>
      <c r="T79" s="2"/>
      <c r="U79" s="2"/>
      <c r="V79" s="2"/>
      <c r="W79" s="2"/>
    </row>
    <row r="80" spans="2:23" ht="15.5" x14ac:dyDescent="0.35">
      <c r="F80" s="2"/>
      <c r="G80" s="2"/>
      <c r="H80" s="2"/>
      <c r="I80" s="2"/>
      <c r="J80" s="2"/>
      <c r="K80" s="2"/>
      <c r="L80" s="2"/>
      <c r="M80" s="2"/>
      <c r="N80" s="33"/>
      <c r="O80" s="2"/>
      <c r="P80" s="2"/>
      <c r="Q80" s="2"/>
      <c r="R80" s="2"/>
      <c r="S80" s="2"/>
      <c r="T80" s="2"/>
      <c r="U80" s="2"/>
      <c r="V80" s="2"/>
      <c r="W80" s="2"/>
    </row>
    <row r="81" spans="6:23" ht="15.5" x14ac:dyDescent="0.35">
      <c r="F81" s="2"/>
      <c r="G81" s="2"/>
      <c r="H81" s="2"/>
      <c r="I81" s="2"/>
      <c r="J81" s="2"/>
      <c r="K81" s="2"/>
      <c r="L81" s="2"/>
      <c r="M81" s="2"/>
      <c r="N81" s="33"/>
      <c r="O81" s="2"/>
      <c r="P81" s="2"/>
      <c r="Q81" s="2"/>
      <c r="R81" s="2"/>
      <c r="S81" s="2"/>
      <c r="T81" s="2"/>
      <c r="U81" s="2"/>
      <c r="V81" s="2"/>
      <c r="W81" s="2"/>
    </row>
    <row r="82" spans="6:23" ht="15.5" x14ac:dyDescent="0.35">
      <c r="F82" s="2"/>
      <c r="G82" s="2"/>
      <c r="H82" s="2"/>
      <c r="I82" s="2"/>
      <c r="J82" s="2"/>
      <c r="K82" s="2"/>
      <c r="L82" s="2"/>
      <c r="M82" s="2"/>
      <c r="N82" s="33"/>
      <c r="O82" s="2"/>
      <c r="P82" s="2"/>
      <c r="Q82" s="2"/>
      <c r="R82" s="2"/>
      <c r="S82" s="2"/>
      <c r="T82" s="2"/>
      <c r="U82" s="2"/>
      <c r="V82" s="2"/>
      <c r="W82" s="2"/>
    </row>
    <row r="83" spans="6:23" ht="15.5" x14ac:dyDescent="0.35">
      <c r="F83" s="2"/>
      <c r="G83" s="2"/>
      <c r="H83" s="2"/>
      <c r="I83" s="2"/>
      <c r="J83" s="2"/>
      <c r="K83" s="2"/>
      <c r="L83" s="2"/>
      <c r="M83" s="2"/>
      <c r="N83" s="33"/>
      <c r="O83" s="2"/>
      <c r="P83" s="2"/>
      <c r="Q83" s="2"/>
      <c r="R83" s="2"/>
      <c r="S83" s="2"/>
      <c r="T83" s="2"/>
      <c r="U83" s="2"/>
      <c r="V83" s="2"/>
      <c r="W83" s="2"/>
    </row>
    <row r="84" spans="6:23" ht="15.5" x14ac:dyDescent="0.35">
      <c r="F84" s="2"/>
      <c r="G84" s="2"/>
      <c r="H84" s="2"/>
      <c r="I84" s="2"/>
      <c r="J84" s="2"/>
      <c r="K84" s="2"/>
      <c r="L84" s="2"/>
      <c r="M84" s="2"/>
      <c r="N84" s="33"/>
      <c r="O84" s="2"/>
      <c r="P84" s="2"/>
      <c r="Q84" s="2"/>
      <c r="R84" s="2"/>
      <c r="S84" s="2"/>
      <c r="T84" s="2"/>
      <c r="U84" s="2"/>
      <c r="V84" s="2"/>
      <c r="W84" s="2"/>
    </row>
    <row r="85" spans="6:23" ht="15.5" x14ac:dyDescent="0.35">
      <c r="F85" s="2"/>
      <c r="G85" s="2"/>
      <c r="H85" s="2"/>
      <c r="I85" s="2"/>
      <c r="J85" s="2"/>
      <c r="K85" s="2"/>
      <c r="L85" s="2"/>
      <c r="M85" s="2"/>
      <c r="N85" s="33"/>
      <c r="O85" s="2"/>
      <c r="P85" s="2"/>
      <c r="Q85" s="2"/>
      <c r="R85" s="2"/>
      <c r="S85" s="2"/>
      <c r="T85" s="2"/>
      <c r="U85" s="2"/>
      <c r="V85" s="2"/>
      <c r="W85" s="2"/>
    </row>
    <row r="86" spans="6:23" ht="15.5" x14ac:dyDescent="0.35">
      <c r="F86" s="2"/>
      <c r="G86" s="2"/>
      <c r="H86" s="2"/>
      <c r="I86" s="2"/>
      <c r="J86" s="2"/>
      <c r="K86" s="2"/>
      <c r="L86" s="2"/>
      <c r="M86" s="2"/>
      <c r="N86" s="33"/>
      <c r="O86" s="2"/>
      <c r="P86" s="2"/>
      <c r="Q86" s="2"/>
      <c r="R86" s="2"/>
      <c r="S86" s="2"/>
      <c r="T86" s="2"/>
      <c r="U86" s="2"/>
      <c r="V86" s="2"/>
      <c r="W86" s="2"/>
    </row>
    <row r="87" spans="6:23" ht="15.5" x14ac:dyDescent="0.35">
      <c r="F87" s="2"/>
      <c r="G87" s="2"/>
      <c r="H87" s="2"/>
      <c r="I87" s="2"/>
      <c r="J87" s="2"/>
      <c r="K87" s="2"/>
      <c r="L87" s="2"/>
      <c r="M87" s="2"/>
      <c r="N87" s="33"/>
      <c r="O87" s="2"/>
      <c r="P87" s="2"/>
      <c r="Q87" s="2"/>
      <c r="R87" s="2"/>
      <c r="S87" s="2"/>
      <c r="T87" s="2"/>
      <c r="U87" s="2"/>
      <c r="V87" s="2"/>
      <c r="W87" s="2"/>
    </row>
    <row r="88" spans="6:23" ht="15.5" x14ac:dyDescent="0.35">
      <c r="F88" s="2"/>
      <c r="G88" s="2"/>
      <c r="H88" s="2"/>
      <c r="I88" s="2"/>
      <c r="J88" s="2"/>
      <c r="K88" s="2"/>
      <c r="L88" s="2"/>
      <c r="M88" s="2"/>
      <c r="N88" s="33"/>
      <c r="O88" s="2"/>
      <c r="P88" s="2"/>
      <c r="Q88" s="2"/>
      <c r="R88" s="2"/>
      <c r="S88" s="2"/>
      <c r="T88" s="2"/>
      <c r="U88" s="2"/>
      <c r="V88" s="2"/>
      <c r="W88" s="2"/>
    </row>
    <row r="89" spans="6:23" ht="15.5" x14ac:dyDescent="0.35">
      <c r="F89" s="2"/>
      <c r="G89" s="2"/>
      <c r="H89" s="2"/>
      <c r="I89" s="2"/>
      <c r="J89" s="2"/>
      <c r="K89" s="2"/>
      <c r="L89" s="2"/>
      <c r="M89" s="2"/>
      <c r="N89" s="33"/>
      <c r="O89" s="2"/>
      <c r="P89" s="2"/>
      <c r="Q89" s="2"/>
      <c r="R89" s="2"/>
      <c r="S89" s="2"/>
      <c r="T89" s="2"/>
      <c r="U89" s="2"/>
      <c r="V89" s="2"/>
      <c r="W89" s="2"/>
    </row>
    <row r="90" spans="6:23" ht="15.5" x14ac:dyDescent="0.35">
      <c r="F90" s="2"/>
      <c r="G90" s="2"/>
      <c r="H90" s="2"/>
      <c r="I90" s="2"/>
      <c r="J90" s="2"/>
      <c r="K90" s="2"/>
      <c r="L90" s="2"/>
      <c r="M90" s="2"/>
      <c r="N90" s="33"/>
      <c r="O90" s="2"/>
      <c r="P90" s="2"/>
      <c r="Q90" s="2"/>
      <c r="R90" s="2"/>
      <c r="S90" s="2"/>
      <c r="T90" s="2"/>
      <c r="U90" s="2"/>
      <c r="V90" s="2"/>
      <c r="W90" s="2"/>
    </row>
    <row r="91" spans="6:23" ht="15.5" x14ac:dyDescent="0.35">
      <c r="F91" s="2"/>
      <c r="G91" s="2"/>
      <c r="H91" s="2"/>
      <c r="I91" s="2"/>
      <c r="J91" s="2"/>
      <c r="K91" s="2"/>
      <c r="L91" s="2"/>
      <c r="M91" s="2"/>
      <c r="N91" s="33"/>
      <c r="O91" s="2"/>
      <c r="P91" s="2"/>
      <c r="Q91" s="2"/>
      <c r="R91" s="2"/>
      <c r="S91" s="2"/>
      <c r="T91" s="2"/>
      <c r="U91" s="2"/>
      <c r="V91" s="2"/>
      <c r="W91" s="2"/>
    </row>
    <row r="92" spans="6:23" ht="15.5" x14ac:dyDescent="0.35">
      <c r="F92" s="2"/>
      <c r="G92" s="2"/>
      <c r="H92" s="2"/>
      <c r="I92" s="2"/>
      <c r="J92" s="2"/>
      <c r="K92" s="2"/>
      <c r="L92" s="2"/>
      <c r="M92" s="2"/>
      <c r="N92" s="33"/>
      <c r="O92" s="2"/>
      <c r="P92" s="2"/>
      <c r="Q92" s="2"/>
      <c r="R92" s="2"/>
      <c r="S92" s="2"/>
      <c r="T92" s="2"/>
      <c r="U92" s="2"/>
      <c r="V92" s="2"/>
      <c r="W92" s="2"/>
    </row>
    <row r="93" spans="6:23" ht="15.5" x14ac:dyDescent="0.35">
      <c r="F93" s="2"/>
      <c r="G93" s="2"/>
      <c r="H93" s="2"/>
      <c r="I93" s="2"/>
      <c r="J93" s="2"/>
      <c r="K93" s="2"/>
      <c r="L93" s="2"/>
      <c r="M93" s="2"/>
      <c r="N93" s="33"/>
      <c r="O93" s="2"/>
      <c r="P93" s="2"/>
      <c r="Q93" s="2"/>
      <c r="R93" s="2"/>
      <c r="S93" s="2"/>
      <c r="T93" s="2"/>
      <c r="U93" s="2"/>
      <c r="V93" s="2"/>
      <c r="W93" s="2"/>
    </row>
    <row r="94" spans="6:23" ht="15.5" x14ac:dyDescent="0.35">
      <c r="F94" s="2"/>
      <c r="G94" s="2"/>
      <c r="H94" s="2"/>
      <c r="I94" s="2"/>
      <c r="J94" s="2"/>
      <c r="K94" s="2"/>
      <c r="L94" s="2"/>
      <c r="M94" s="2"/>
      <c r="N94" s="33"/>
      <c r="O94" s="2"/>
      <c r="P94" s="2"/>
      <c r="Q94" s="2"/>
      <c r="R94" s="2"/>
      <c r="S94" s="2"/>
      <c r="T94" s="2"/>
      <c r="U94" s="2"/>
      <c r="V94" s="2"/>
      <c r="W94" s="2"/>
    </row>
    <row r="95" spans="6:23" ht="15.5" x14ac:dyDescent="0.35">
      <c r="F95" s="2"/>
      <c r="G95" s="2"/>
      <c r="H95" s="2"/>
      <c r="I95" s="2"/>
      <c r="J95" s="2"/>
      <c r="K95" s="2"/>
      <c r="L95" s="2"/>
      <c r="M95" s="2"/>
      <c r="N95" s="33"/>
      <c r="O95" s="2"/>
      <c r="P95" s="2"/>
      <c r="Q95" s="2"/>
      <c r="R95" s="2"/>
      <c r="S95" s="2"/>
      <c r="T95" s="2"/>
      <c r="U95" s="2"/>
      <c r="V95" s="2"/>
      <c r="W95" s="2"/>
    </row>
    <row r="96" spans="6:23" ht="15.5" x14ac:dyDescent="0.35">
      <c r="F96" s="2"/>
      <c r="G96" s="2"/>
      <c r="H96" s="2"/>
      <c r="I96" s="2"/>
      <c r="J96" s="2"/>
      <c r="K96" s="2"/>
      <c r="L96" s="2"/>
      <c r="M96" s="2"/>
      <c r="N96" s="33"/>
      <c r="O96" s="2"/>
      <c r="P96" s="2"/>
      <c r="Q96" s="2"/>
      <c r="R96" s="2"/>
      <c r="S96" s="2"/>
      <c r="T96" s="2"/>
      <c r="U96" s="2"/>
      <c r="V96" s="2"/>
      <c r="W96" s="2"/>
    </row>
    <row r="97" spans="6:23" ht="15.5" x14ac:dyDescent="0.35">
      <c r="F97" s="2"/>
      <c r="G97" s="2"/>
      <c r="H97" s="2"/>
      <c r="I97" s="2"/>
      <c r="J97" s="2"/>
      <c r="K97" s="2"/>
      <c r="L97" s="2"/>
      <c r="M97" s="2"/>
      <c r="N97" s="33"/>
      <c r="O97" s="2"/>
      <c r="P97" s="2"/>
      <c r="Q97" s="2"/>
      <c r="R97" s="2"/>
      <c r="S97" s="2"/>
      <c r="T97" s="2"/>
      <c r="U97" s="2"/>
      <c r="V97" s="2"/>
      <c r="W97" s="2"/>
    </row>
    <row r="98" spans="6:23" ht="15.5" x14ac:dyDescent="0.35">
      <c r="F98" s="2"/>
      <c r="G98" s="2"/>
      <c r="H98" s="2"/>
      <c r="I98" s="2"/>
      <c r="J98" s="2"/>
      <c r="K98" s="2"/>
      <c r="L98" s="2"/>
      <c r="M98" s="2"/>
      <c r="N98" s="33"/>
      <c r="O98" s="2"/>
      <c r="P98" s="2"/>
      <c r="Q98" s="2"/>
      <c r="R98" s="2"/>
      <c r="S98" s="2"/>
      <c r="T98" s="2"/>
      <c r="U98" s="2"/>
      <c r="V98" s="2"/>
      <c r="W98" s="2"/>
    </row>
    <row r="99" spans="6:23" ht="15.5" x14ac:dyDescent="0.35">
      <c r="F99" s="2"/>
      <c r="G99" s="2"/>
      <c r="H99" s="2"/>
      <c r="I99" s="2"/>
      <c r="J99" s="2"/>
      <c r="K99" s="2"/>
      <c r="L99" s="2"/>
      <c r="M99" s="2"/>
      <c r="N99" s="33"/>
      <c r="O99" s="2"/>
      <c r="P99" s="2"/>
      <c r="Q99" s="2"/>
      <c r="R99" s="2"/>
      <c r="S99" s="2"/>
      <c r="T99" s="2"/>
      <c r="U99" s="2"/>
      <c r="V99" s="2"/>
      <c r="W99" s="2"/>
    </row>
    <row r="100" spans="6:23" ht="15.5" x14ac:dyDescent="0.35">
      <c r="F100" s="2"/>
      <c r="G100" s="2"/>
      <c r="H100" s="2"/>
      <c r="I100" s="2"/>
      <c r="J100" s="2"/>
      <c r="K100" s="2"/>
      <c r="L100" s="2"/>
      <c r="M100" s="2"/>
      <c r="N100" s="33"/>
      <c r="O100" s="2"/>
      <c r="P100" s="2"/>
      <c r="Q100" s="2"/>
      <c r="R100" s="2"/>
      <c r="S100" s="2"/>
      <c r="T100" s="2"/>
      <c r="U100" s="2"/>
      <c r="V100" s="2"/>
      <c r="W100" s="2"/>
    </row>
    <row r="101" spans="6:23" ht="15.5" x14ac:dyDescent="0.35">
      <c r="F101" s="2"/>
      <c r="G101" s="2"/>
      <c r="H101" s="2"/>
      <c r="I101" s="2"/>
      <c r="J101" s="2"/>
      <c r="K101" s="2"/>
      <c r="L101" s="2"/>
      <c r="M101" s="2"/>
      <c r="N101" s="33"/>
      <c r="O101" s="2"/>
      <c r="P101" s="2"/>
      <c r="Q101" s="2"/>
      <c r="R101" s="2"/>
      <c r="S101" s="2"/>
      <c r="T101" s="2"/>
      <c r="U101" s="2"/>
      <c r="V101" s="2"/>
      <c r="W101" s="2"/>
    </row>
    <row r="102" spans="6:23" ht="15.5" x14ac:dyDescent="0.35">
      <c r="F102" s="2"/>
      <c r="G102" s="2"/>
      <c r="H102" s="2"/>
      <c r="I102" s="2"/>
      <c r="J102" s="2"/>
      <c r="K102" s="2"/>
      <c r="L102" s="2"/>
      <c r="M102" s="2"/>
      <c r="N102" s="33"/>
      <c r="O102" s="2"/>
      <c r="P102" s="2"/>
      <c r="Q102" s="2"/>
      <c r="R102" s="2"/>
      <c r="S102" s="2"/>
      <c r="T102" s="2"/>
      <c r="U102" s="2"/>
      <c r="V102" s="2"/>
      <c r="W102" s="2"/>
    </row>
    <row r="103" spans="6:23" ht="15.5" x14ac:dyDescent="0.35">
      <c r="F103" s="2"/>
      <c r="G103" s="2"/>
      <c r="H103" s="2"/>
      <c r="I103" s="2"/>
      <c r="J103" s="2"/>
      <c r="K103" s="2"/>
      <c r="L103" s="2"/>
      <c r="M103" s="2"/>
      <c r="N103" s="33"/>
      <c r="O103" s="2"/>
      <c r="P103" s="2"/>
      <c r="Q103" s="2"/>
      <c r="R103" s="2"/>
      <c r="S103" s="2"/>
      <c r="T103" s="2"/>
      <c r="U103" s="2"/>
      <c r="V103" s="2"/>
      <c r="W103" s="2"/>
    </row>
    <row r="104" spans="6:23" ht="15.5" x14ac:dyDescent="0.35">
      <c r="F104" s="2"/>
      <c r="G104" s="2"/>
      <c r="H104" s="2"/>
      <c r="I104" s="2"/>
      <c r="J104" s="2"/>
      <c r="K104" s="2"/>
      <c r="L104" s="2"/>
      <c r="M104" s="2"/>
      <c r="N104" s="33"/>
      <c r="O104" s="2"/>
      <c r="P104" s="2"/>
      <c r="Q104" s="2"/>
      <c r="R104" s="2"/>
      <c r="S104" s="2"/>
      <c r="T104" s="2"/>
      <c r="U104" s="2"/>
      <c r="V104" s="2"/>
      <c r="W104" s="2"/>
    </row>
    <row r="105" spans="6:23" ht="15.5" x14ac:dyDescent="0.35">
      <c r="F105" s="2"/>
      <c r="G105" s="2"/>
      <c r="H105" s="2"/>
      <c r="I105" s="2"/>
      <c r="J105" s="2"/>
      <c r="K105" s="2"/>
      <c r="L105" s="2"/>
      <c r="M105" s="2"/>
      <c r="N105" s="33"/>
      <c r="O105" s="2"/>
      <c r="P105" s="2"/>
      <c r="Q105" s="2"/>
      <c r="R105" s="2"/>
      <c r="S105" s="2"/>
      <c r="T105" s="2"/>
      <c r="U105" s="2"/>
      <c r="V105" s="2"/>
      <c r="W105" s="2"/>
    </row>
    <row r="106" spans="6:23" ht="15.5" x14ac:dyDescent="0.35">
      <c r="F106" s="2"/>
      <c r="G106" s="2"/>
      <c r="H106" s="2"/>
      <c r="I106" s="2"/>
      <c r="J106" s="2"/>
      <c r="K106" s="2"/>
      <c r="L106" s="2"/>
      <c r="M106" s="2"/>
      <c r="N106" s="33"/>
      <c r="O106" s="2"/>
      <c r="P106" s="2"/>
      <c r="Q106" s="2"/>
      <c r="R106" s="2"/>
      <c r="S106" s="2"/>
      <c r="T106" s="2"/>
      <c r="U106" s="2"/>
      <c r="V106" s="2"/>
      <c r="W106" s="2"/>
    </row>
    <row r="107" spans="6:23" ht="15.5" x14ac:dyDescent="0.35">
      <c r="F107" s="2"/>
      <c r="G107" s="2"/>
      <c r="H107" s="2"/>
      <c r="I107" s="2"/>
      <c r="J107" s="2"/>
      <c r="K107" s="2"/>
      <c r="L107" s="2"/>
      <c r="M107" s="2"/>
      <c r="N107" s="33"/>
      <c r="O107" s="2"/>
      <c r="P107" s="2"/>
      <c r="Q107" s="2"/>
      <c r="R107" s="2"/>
      <c r="S107" s="2"/>
      <c r="T107" s="2"/>
      <c r="U107" s="2"/>
      <c r="V107" s="2"/>
      <c r="W107" s="2"/>
    </row>
    <row r="108" spans="6:23" ht="15.5" x14ac:dyDescent="0.35">
      <c r="F108" s="2"/>
      <c r="G108" s="2"/>
      <c r="H108" s="2"/>
      <c r="I108" s="2"/>
      <c r="J108" s="2"/>
      <c r="K108" s="2"/>
      <c r="L108" s="2"/>
      <c r="M108" s="2"/>
      <c r="N108" s="33"/>
      <c r="O108" s="2"/>
      <c r="P108" s="2"/>
      <c r="Q108" s="2"/>
      <c r="R108" s="2"/>
      <c r="S108" s="2"/>
      <c r="T108" s="2"/>
      <c r="U108" s="2"/>
      <c r="V108" s="2"/>
      <c r="W108" s="2"/>
    </row>
    <row r="109" spans="6:23" ht="15.5" x14ac:dyDescent="0.35">
      <c r="F109" s="2"/>
      <c r="G109" s="2"/>
      <c r="H109" s="2"/>
      <c r="I109" s="2"/>
      <c r="J109" s="2"/>
      <c r="K109" s="2"/>
      <c r="L109" s="2"/>
      <c r="M109" s="2"/>
      <c r="N109" s="33"/>
      <c r="O109" s="2"/>
      <c r="P109" s="2"/>
      <c r="Q109" s="2"/>
      <c r="R109" s="2"/>
      <c r="S109" s="2"/>
      <c r="T109" s="2"/>
      <c r="U109" s="2"/>
      <c r="V109" s="2"/>
      <c r="W109" s="2"/>
    </row>
    <row r="110" spans="6:23" ht="15.5" x14ac:dyDescent="0.35">
      <c r="F110" s="2"/>
      <c r="G110" s="2"/>
      <c r="H110" s="2"/>
      <c r="I110" s="2"/>
      <c r="J110" s="2"/>
      <c r="K110" s="2"/>
      <c r="L110" s="2"/>
      <c r="M110" s="2"/>
      <c r="N110" s="33"/>
      <c r="O110" s="2"/>
      <c r="P110" s="2"/>
      <c r="Q110" s="2"/>
      <c r="R110" s="2"/>
      <c r="S110" s="2"/>
      <c r="T110" s="2"/>
      <c r="U110" s="2"/>
      <c r="V110" s="2"/>
      <c r="W110" s="2"/>
    </row>
    <row r="111" spans="6:23" ht="15.5" x14ac:dyDescent="0.35">
      <c r="F111" s="2"/>
      <c r="G111" s="2"/>
      <c r="H111" s="2"/>
      <c r="I111" s="2"/>
      <c r="J111" s="2"/>
      <c r="K111" s="2"/>
      <c r="L111" s="2"/>
      <c r="M111" s="2"/>
      <c r="N111" s="33"/>
      <c r="O111" s="2"/>
      <c r="P111" s="2"/>
      <c r="Q111" s="2"/>
      <c r="R111" s="2"/>
      <c r="S111" s="2"/>
      <c r="T111" s="2"/>
      <c r="U111" s="2"/>
      <c r="V111" s="2"/>
      <c r="W111" s="2"/>
    </row>
    <row r="112" spans="6:23" ht="15.5" x14ac:dyDescent="0.35">
      <c r="F112" s="2"/>
      <c r="G112" s="2"/>
      <c r="H112" s="2"/>
      <c r="I112" s="2"/>
      <c r="J112" s="2"/>
      <c r="K112" s="2"/>
      <c r="L112" s="2"/>
      <c r="M112" s="2"/>
      <c r="N112" s="33"/>
      <c r="O112" s="2"/>
      <c r="P112" s="2"/>
      <c r="Q112" s="2"/>
      <c r="R112" s="2"/>
      <c r="S112" s="2"/>
      <c r="T112" s="2"/>
      <c r="U112" s="2"/>
      <c r="V112" s="2"/>
      <c r="W112" s="2"/>
    </row>
    <row r="113" spans="6:23" ht="15.5" x14ac:dyDescent="0.35">
      <c r="F113" s="2"/>
      <c r="G113" s="2"/>
      <c r="H113" s="2"/>
      <c r="I113" s="2"/>
      <c r="J113" s="2"/>
      <c r="K113" s="2"/>
      <c r="L113" s="2"/>
      <c r="M113" s="2"/>
      <c r="N113" s="33"/>
      <c r="O113" s="2"/>
      <c r="P113" s="2"/>
      <c r="Q113" s="2"/>
      <c r="R113" s="2"/>
      <c r="S113" s="2"/>
      <c r="T113" s="2"/>
      <c r="U113" s="2"/>
      <c r="V113" s="2"/>
      <c r="W113" s="2"/>
    </row>
    <row r="114" spans="6:23" ht="15.5" x14ac:dyDescent="0.35">
      <c r="F114" s="2"/>
      <c r="G114" s="2"/>
      <c r="H114" s="2"/>
      <c r="I114" s="2"/>
      <c r="J114" s="2"/>
      <c r="K114" s="2"/>
      <c r="L114" s="2"/>
      <c r="M114" s="2"/>
      <c r="N114" s="33"/>
      <c r="O114" s="2"/>
      <c r="P114" s="2"/>
      <c r="Q114" s="2"/>
      <c r="R114" s="2"/>
      <c r="S114" s="2"/>
      <c r="T114" s="2"/>
      <c r="U114" s="2"/>
      <c r="V114" s="2"/>
      <c r="W114" s="2"/>
    </row>
    <row r="115" spans="6:23" ht="15.5" x14ac:dyDescent="0.35">
      <c r="F115" s="2"/>
      <c r="G115" s="2"/>
      <c r="H115" s="2"/>
      <c r="I115" s="2"/>
      <c r="J115" s="2"/>
      <c r="K115" s="2"/>
      <c r="L115" s="2"/>
      <c r="M115" s="2"/>
      <c r="N115" s="33"/>
      <c r="O115" s="2"/>
      <c r="P115" s="2"/>
      <c r="Q115" s="2"/>
      <c r="R115" s="2"/>
      <c r="S115" s="2"/>
      <c r="T115" s="2"/>
      <c r="U115" s="2"/>
      <c r="V115" s="2"/>
      <c r="W115" s="2"/>
    </row>
    <row r="116" spans="6:23" ht="15.5" x14ac:dyDescent="0.35">
      <c r="F116" s="2"/>
      <c r="G116" s="2"/>
      <c r="H116" s="2"/>
      <c r="I116" s="2"/>
      <c r="J116" s="2"/>
      <c r="K116" s="2"/>
      <c r="L116" s="2"/>
      <c r="M116" s="2"/>
      <c r="N116" s="33"/>
      <c r="O116" s="2"/>
      <c r="P116" s="2"/>
      <c r="Q116" s="2"/>
      <c r="R116" s="2"/>
      <c r="S116" s="2"/>
      <c r="T116" s="2"/>
      <c r="U116" s="2"/>
      <c r="V116" s="2"/>
      <c r="W116" s="2"/>
    </row>
    <row r="117" spans="6:23" ht="15.5" x14ac:dyDescent="0.35">
      <c r="F117" s="2"/>
      <c r="G117" s="2"/>
      <c r="H117" s="2"/>
      <c r="I117" s="2"/>
      <c r="J117" s="2"/>
      <c r="K117" s="2"/>
      <c r="L117" s="2"/>
      <c r="M117" s="2"/>
      <c r="N117" s="33"/>
      <c r="O117" s="2"/>
      <c r="P117" s="2"/>
      <c r="Q117" s="2"/>
      <c r="R117" s="2"/>
      <c r="S117" s="2"/>
      <c r="T117" s="2"/>
      <c r="U117" s="2"/>
      <c r="V117" s="2"/>
      <c r="W117" s="2"/>
    </row>
    <row r="118" spans="6:23" ht="15.5" x14ac:dyDescent="0.35">
      <c r="F118" s="2"/>
      <c r="G118" s="2"/>
      <c r="H118" s="2"/>
      <c r="I118" s="2"/>
      <c r="J118" s="2"/>
      <c r="K118" s="2"/>
      <c r="L118" s="2"/>
      <c r="M118" s="2"/>
      <c r="N118" s="33"/>
      <c r="O118" s="2"/>
      <c r="P118" s="2"/>
      <c r="Q118" s="2"/>
      <c r="R118" s="2"/>
      <c r="S118" s="2"/>
      <c r="T118" s="2"/>
      <c r="U118" s="2"/>
      <c r="V118" s="2"/>
      <c r="W118" s="2"/>
    </row>
    <row r="119" spans="6:23" ht="15.5" x14ac:dyDescent="0.35">
      <c r="F119" s="2"/>
      <c r="G119" s="2"/>
      <c r="H119" s="2"/>
      <c r="I119" s="2"/>
      <c r="J119" s="2"/>
      <c r="K119" s="2"/>
      <c r="L119" s="2"/>
      <c r="M119" s="2"/>
      <c r="N119" s="33"/>
      <c r="O119" s="2"/>
      <c r="P119" s="2"/>
      <c r="Q119" s="2"/>
      <c r="R119" s="2"/>
      <c r="S119" s="2"/>
      <c r="T119" s="2"/>
      <c r="U119" s="2"/>
      <c r="V119" s="2"/>
      <c r="W119" s="2"/>
    </row>
    <row r="120" spans="6:23" ht="15.5" x14ac:dyDescent="0.35">
      <c r="F120" s="2"/>
      <c r="G120" s="2"/>
      <c r="H120" s="2"/>
      <c r="I120" s="2"/>
      <c r="J120" s="2"/>
      <c r="K120" s="2"/>
      <c r="L120" s="2"/>
      <c r="M120" s="2"/>
      <c r="N120" s="33"/>
      <c r="O120" s="2"/>
      <c r="P120" s="2"/>
      <c r="Q120" s="2"/>
      <c r="R120" s="2"/>
      <c r="S120" s="2"/>
      <c r="T120" s="2"/>
      <c r="U120" s="2"/>
      <c r="V120" s="2"/>
      <c r="W120" s="2"/>
    </row>
    <row r="121" spans="6:23" ht="15.5" x14ac:dyDescent="0.35">
      <c r="F121" s="2"/>
      <c r="G121" s="2"/>
      <c r="H121" s="2"/>
      <c r="I121" s="2"/>
      <c r="J121" s="2"/>
      <c r="K121" s="2"/>
      <c r="L121" s="2"/>
      <c r="M121" s="2"/>
      <c r="N121" s="33"/>
      <c r="O121" s="2"/>
      <c r="P121" s="2"/>
      <c r="Q121" s="2"/>
      <c r="R121" s="2"/>
      <c r="S121" s="2"/>
      <c r="T121" s="2"/>
      <c r="U121" s="2"/>
      <c r="V121" s="2"/>
      <c r="W121" s="2"/>
    </row>
    <row r="122" spans="6:23" ht="15.5" x14ac:dyDescent="0.35">
      <c r="F122" s="2"/>
      <c r="G122" s="2"/>
      <c r="H122" s="2"/>
      <c r="I122" s="2"/>
      <c r="J122" s="2"/>
      <c r="K122" s="2"/>
      <c r="L122" s="2"/>
      <c r="M122" s="2"/>
      <c r="N122" s="33"/>
      <c r="O122" s="2"/>
      <c r="P122" s="2"/>
      <c r="Q122" s="2"/>
      <c r="R122" s="2"/>
      <c r="S122" s="2"/>
      <c r="T122" s="2"/>
      <c r="U122" s="2"/>
      <c r="V122" s="2"/>
      <c r="W122" s="2"/>
    </row>
    <row r="123" spans="6:23" ht="15.5" x14ac:dyDescent="0.35">
      <c r="F123" s="2"/>
      <c r="G123" s="2"/>
      <c r="H123" s="2"/>
      <c r="I123" s="2"/>
      <c r="J123" s="2"/>
      <c r="K123" s="2"/>
      <c r="L123" s="2"/>
      <c r="M123" s="2"/>
      <c r="N123" s="33"/>
      <c r="O123" s="2"/>
      <c r="P123" s="2"/>
      <c r="Q123" s="2"/>
      <c r="R123" s="2"/>
      <c r="S123" s="2"/>
      <c r="T123" s="2"/>
      <c r="U123" s="2"/>
      <c r="V123" s="2"/>
      <c r="W123" s="2"/>
    </row>
    <row r="124" spans="6:23" ht="15.5" x14ac:dyDescent="0.35">
      <c r="F124" s="2"/>
      <c r="G124" s="2"/>
      <c r="H124" s="2"/>
      <c r="I124" s="2"/>
      <c r="J124" s="2"/>
      <c r="K124" s="2"/>
      <c r="L124" s="2"/>
      <c r="M124" s="2"/>
      <c r="N124" s="33"/>
      <c r="O124" s="2"/>
      <c r="P124" s="2"/>
      <c r="Q124" s="2"/>
      <c r="R124" s="2"/>
      <c r="S124" s="2"/>
      <c r="T124" s="2"/>
      <c r="U124" s="2"/>
      <c r="V124" s="2"/>
      <c r="W124" s="2"/>
    </row>
    <row r="125" spans="6:23" ht="15.5" x14ac:dyDescent="0.35">
      <c r="F125" s="2"/>
      <c r="G125" s="2"/>
      <c r="H125" s="2"/>
      <c r="I125" s="2"/>
      <c r="J125" s="2"/>
      <c r="K125" s="2"/>
      <c r="L125" s="2"/>
      <c r="M125" s="2"/>
      <c r="N125" s="33"/>
      <c r="O125" s="2"/>
      <c r="P125" s="2"/>
      <c r="Q125" s="2"/>
      <c r="R125" s="2"/>
      <c r="S125" s="2"/>
      <c r="T125" s="2"/>
      <c r="U125" s="2"/>
      <c r="V125" s="2"/>
      <c r="W125" s="2"/>
    </row>
    <row r="126" spans="6:23" ht="15.5" x14ac:dyDescent="0.35">
      <c r="F126" s="2"/>
      <c r="G126" s="2"/>
      <c r="H126" s="2"/>
      <c r="I126" s="2"/>
      <c r="J126" s="2"/>
      <c r="K126" s="2"/>
      <c r="L126" s="2"/>
      <c r="M126" s="2"/>
      <c r="N126" s="33"/>
      <c r="O126" s="2"/>
      <c r="P126" s="2"/>
      <c r="Q126" s="2"/>
      <c r="R126" s="2"/>
      <c r="S126" s="2"/>
      <c r="T126" s="2"/>
      <c r="U126" s="2"/>
      <c r="V126" s="2"/>
      <c r="W126" s="2"/>
    </row>
    <row r="127" spans="6:23" ht="15.5" x14ac:dyDescent="0.35">
      <c r="F127" s="2"/>
      <c r="G127" s="2"/>
      <c r="H127" s="2"/>
      <c r="I127" s="2"/>
      <c r="J127" s="2"/>
      <c r="K127" s="2"/>
      <c r="L127" s="2"/>
      <c r="M127" s="2"/>
      <c r="N127" s="33"/>
      <c r="O127" s="2"/>
      <c r="P127" s="2"/>
      <c r="Q127" s="2"/>
      <c r="R127" s="2"/>
      <c r="S127" s="2"/>
      <c r="T127" s="2"/>
      <c r="U127" s="2"/>
      <c r="V127" s="2"/>
      <c r="W127" s="2"/>
    </row>
    <row r="128" spans="6:23" ht="15.5" x14ac:dyDescent="0.35">
      <c r="F128" s="2"/>
      <c r="G128" s="2"/>
      <c r="H128" s="2"/>
      <c r="I128" s="2"/>
      <c r="J128" s="2"/>
      <c r="K128" s="2"/>
      <c r="L128" s="2"/>
      <c r="M128" s="2"/>
      <c r="N128" s="33"/>
      <c r="O128" s="2"/>
      <c r="P128" s="2"/>
      <c r="Q128" s="2"/>
      <c r="R128" s="2"/>
      <c r="S128" s="2"/>
      <c r="T128" s="2"/>
      <c r="U128" s="2"/>
      <c r="V128" s="2"/>
      <c r="W128" s="2"/>
    </row>
    <row r="129" spans="6:23" ht="15.5" x14ac:dyDescent="0.35">
      <c r="F129" s="2"/>
      <c r="G129" s="2"/>
      <c r="H129" s="2"/>
      <c r="I129" s="2"/>
      <c r="J129" s="2"/>
      <c r="K129" s="2"/>
      <c r="L129" s="2"/>
      <c r="M129" s="2"/>
      <c r="N129" s="33"/>
      <c r="O129" s="2"/>
      <c r="P129" s="2"/>
      <c r="Q129" s="2"/>
      <c r="R129" s="2"/>
      <c r="S129" s="2"/>
      <c r="T129" s="2"/>
      <c r="U129" s="2"/>
      <c r="V129" s="2"/>
      <c r="W129" s="2"/>
    </row>
    <row r="130" spans="6:23" ht="15.5" x14ac:dyDescent="0.35">
      <c r="F130" s="2"/>
      <c r="G130" s="2"/>
      <c r="H130" s="2"/>
      <c r="I130" s="2"/>
      <c r="J130" s="2"/>
      <c r="K130" s="2"/>
      <c r="L130" s="2"/>
      <c r="M130" s="2"/>
      <c r="N130" s="33"/>
      <c r="O130" s="2"/>
      <c r="P130" s="2"/>
      <c r="Q130" s="2"/>
      <c r="R130" s="2"/>
      <c r="S130" s="2"/>
      <c r="T130" s="2"/>
      <c r="U130" s="2"/>
      <c r="V130" s="2"/>
      <c r="W130" s="2"/>
    </row>
    <row r="131" spans="6:23" ht="15.5" x14ac:dyDescent="0.35">
      <c r="F131" s="2"/>
      <c r="G131" s="2"/>
      <c r="H131" s="2"/>
      <c r="I131" s="2"/>
      <c r="J131" s="2"/>
      <c r="K131" s="2"/>
      <c r="L131" s="2"/>
      <c r="M131" s="2"/>
      <c r="N131" s="33"/>
      <c r="O131" s="2"/>
      <c r="P131" s="2"/>
      <c r="Q131" s="2"/>
      <c r="R131" s="2"/>
      <c r="S131" s="2"/>
      <c r="T131" s="2"/>
      <c r="U131" s="2"/>
      <c r="V131" s="2"/>
      <c r="W131" s="2"/>
    </row>
    <row r="132" spans="6:23" ht="15.5" x14ac:dyDescent="0.35">
      <c r="F132" s="2"/>
      <c r="G132" s="2"/>
      <c r="H132" s="2"/>
      <c r="I132" s="2"/>
      <c r="J132" s="2"/>
      <c r="K132" s="2"/>
      <c r="L132" s="2"/>
      <c r="M132" s="2"/>
      <c r="N132" s="33"/>
      <c r="O132" s="2"/>
      <c r="P132" s="2"/>
      <c r="Q132" s="2"/>
      <c r="R132" s="2"/>
      <c r="S132" s="2"/>
      <c r="T132" s="2"/>
      <c r="U132" s="2"/>
      <c r="V132" s="2"/>
      <c r="W132" s="2"/>
    </row>
    <row r="133" spans="6:23" ht="15.5" x14ac:dyDescent="0.35">
      <c r="F133" s="2"/>
      <c r="G133" s="2"/>
      <c r="H133" s="2"/>
      <c r="I133" s="2"/>
      <c r="J133" s="2"/>
      <c r="K133" s="2"/>
      <c r="L133" s="2"/>
      <c r="M133" s="2"/>
      <c r="N133" s="33"/>
      <c r="O133" s="2"/>
      <c r="P133" s="2"/>
      <c r="Q133" s="2"/>
      <c r="R133" s="2"/>
      <c r="S133" s="2"/>
      <c r="T133" s="2"/>
      <c r="U133" s="2"/>
      <c r="V133" s="2"/>
      <c r="W133" s="2"/>
    </row>
    <row r="134" spans="6:23" ht="15.5" x14ac:dyDescent="0.35">
      <c r="F134" s="2"/>
      <c r="G134" s="2"/>
      <c r="H134" s="2"/>
      <c r="I134" s="2"/>
      <c r="J134" s="2"/>
      <c r="K134" s="2"/>
      <c r="L134" s="2"/>
      <c r="M134" s="2"/>
      <c r="N134" s="33"/>
      <c r="O134" s="2"/>
      <c r="P134" s="2"/>
      <c r="Q134" s="2"/>
      <c r="R134" s="2"/>
      <c r="S134" s="2"/>
      <c r="T134" s="2"/>
      <c r="U134" s="2"/>
      <c r="V134" s="2"/>
      <c r="W134" s="2"/>
    </row>
    <row r="135" spans="6:23" ht="15.5" x14ac:dyDescent="0.35">
      <c r="F135" s="2"/>
      <c r="G135" s="2"/>
      <c r="H135" s="2"/>
      <c r="I135" s="2"/>
      <c r="J135" s="2"/>
      <c r="K135" s="2"/>
      <c r="L135" s="2"/>
      <c r="M135" s="2"/>
      <c r="N135" s="33"/>
      <c r="O135" s="2"/>
      <c r="P135" s="2"/>
      <c r="Q135" s="2"/>
      <c r="R135" s="2"/>
      <c r="S135" s="2"/>
      <c r="T135" s="2"/>
      <c r="U135" s="2"/>
      <c r="V135" s="2"/>
      <c r="W135" s="2"/>
    </row>
    <row r="136" spans="6:23" ht="15.5" x14ac:dyDescent="0.35">
      <c r="F136" s="2"/>
      <c r="G136" s="2"/>
      <c r="H136" s="2"/>
      <c r="I136" s="2"/>
      <c r="J136" s="2"/>
      <c r="K136" s="2"/>
      <c r="L136" s="2"/>
      <c r="M136" s="2"/>
      <c r="N136" s="33"/>
      <c r="O136" s="2"/>
      <c r="P136" s="2"/>
      <c r="Q136" s="2"/>
      <c r="R136" s="2"/>
      <c r="S136" s="2"/>
      <c r="T136" s="2"/>
      <c r="U136" s="2"/>
      <c r="V136" s="2"/>
      <c r="W136" s="2"/>
    </row>
    <row r="137" spans="6:23" ht="15.5" x14ac:dyDescent="0.35">
      <c r="F137" s="2"/>
      <c r="G137" s="2"/>
      <c r="H137" s="2"/>
      <c r="I137" s="2"/>
      <c r="J137" s="2"/>
      <c r="K137" s="2"/>
      <c r="L137" s="2"/>
      <c r="M137" s="2"/>
      <c r="N137" s="33"/>
      <c r="O137" s="2"/>
      <c r="P137" s="2"/>
      <c r="Q137" s="2"/>
      <c r="R137" s="2"/>
      <c r="S137" s="2"/>
      <c r="T137" s="2"/>
      <c r="U137" s="2"/>
      <c r="V137" s="2"/>
      <c r="W137" s="2"/>
    </row>
    <row r="138" spans="6:23" ht="15.5" x14ac:dyDescent="0.35">
      <c r="F138" s="2"/>
      <c r="G138" s="2"/>
      <c r="H138" s="2"/>
      <c r="I138" s="2"/>
      <c r="J138" s="2"/>
      <c r="K138" s="2"/>
      <c r="L138" s="2"/>
      <c r="M138" s="2"/>
      <c r="N138" s="33"/>
      <c r="O138" s="2"/>
      <c r="P138" s="2"/>
      <c r="Q138" s="2"/>
      <c r="R138" s="2"/>
      <c r="S138" s="2"/>
      <c r="T138" s="2"/>
      <c r="U138" s="2"/>
      <c r="V138" s="2"/>
      <c r="W138" s="2"/>
    </row>
    <row r="139" spans="6:23" ht="15.5" x14ac:dyDescent="0.35">
      <c r="F139" s="2"/>
      <c r="G139" s="2"/>
      <c r="H139" s="2"/>
      <c r="I139" s="2"/>
      <c r="J139" s="2"/>
      <c r="K139" s="2"/>
      <c r="L139" s="2"/>
      <c r="M139" s="2"/>
      <c r="N139" s="33"/>
      <c r="O139" s="2"/>
      <c r="P139" s="2"/>
      <c r="Q139" s="2"/>
      <c r="R139" s="2"/>
      <c r="S139" s="2"/>
      <c r="T139" s="2"/>
      <c r="U139" s="2"/>
      <c r="V139" s="2"/>
      <c r="W139" s="2"/>
    </row>
    <row r="140" spans="6:23" ht="15.5" x14ac:dyDescent="0.35">
      <c r="F140" s="2"/>
      <c r="G140" s="2"/>
      <c r="H140" s="2"/>
      <c r="I140" s="2"/>
      <c r="J140" s="2"/>
      <c r="K140" s="2"/>
      <c r="L140" s="2"/>
      <c r="M140" s="2"/>
      <c r="N140" s="33"/>
      <c r="O140" s="2"/>
      <c r="P140" s="2"/>
      <c r="Q140" s="2"/>
      <c r="R140" s="2"/>
      <c r="S140" s="2"/>
      <c r="T140" s="2"/>
      <c r="U140" s="2"/>
      <c r="V140" s="2"/>
      <c r="W140" s="2"/>
    </row>
    <row r="141" spans="6:23" ht="15.5" x14ac:dyDescent="0.35">
      <c r="F141" s="2"/>
      <c r="G141" s="2"/>
      <c r="H141" s="2"/>
      <c r="I141" s="2"/>
      <c r="J141" s="2"/>
      <c r="K141" s="2"/>
      <c r="L141" s="2"/>
      <c r="M141" s="2"/>
      <c r="N141" s="33"/>
      <c r="O141" s="2"/>
      <c r="P141" s="2"/>
      <c r="Q141" s="2"/>
      <c r="R141" s="2"/>
      <c r="S141" s="2"/>
      <c r="T141" s="2"/>
      <c r="U141" s="2"/>
      <c r="V141" s="2"/>
      <c r="W141" s="2"/>
    </row>
    <row r="142" spans="6:23" ht="15.5" x14ac:dyDescent="0.35">
      <c r="F142" s="2"/>
      <c r="G142" s="2"/>
      <c r="H142" s="2"/>
      <c r="I142" s="2"/>
      <c r="J142" s="2"/>
      <c r="K142" s="2"/>
      <c r="L142" s="2"/>
      <c r="M142" s="2"/>
      <c r="N142" s="33"/>
      <c r="O142" s="2"/>
      <c r="P142" s="2"/>
      <c r="Q142" s="2"/>
      <c r="R142" s="2"/>
      <c r="S142" s="2"/>
      <c r="T142" s="2"/>
      <c r="U142" s="2"/>
      <c r="V142" s="2"/>
      <c r="W142" s="2"/>
    </row>
    <row r="143" spans="6:23" ht="15.5" x14ac:dyDescent="0.35">
      <c r="F143" s="2"/>
      <c r="G143" s="2"/>
      <c r="H143" s="2"/>
      <c r="I143" s="2"/>
      <c r="J143" s="2"/>
      <c r="K143" s="2"/>
      <c r="L143" s="2"/>
      <c r="M143" s="2"/>
      <c r="N143" s="33"/>
      <c r="O143" s="2"/>
      <c r="P143" s="2"/>
      <c r="Q143" s="2"/>
      <c r="R143" s="2"/>
      <c r="S143" s="2"/>
      <c r="T143" s="2"/>
      <c r="U143" s="2"/>
      <c r="V143" s="2"/>
      <c r="W143" s="2"/>
    </row>
    <row r="144" spans="6:23" ht="15.5" x14ac:dyDescent="0.35">
      <c r="F144" s="2"/>
      <c r="G144" s="2"/>
      <c r="H144" s="2"/>
      <c r="I144" s="2"/>
      <c r="J144" s="2"/>
      <c r="K144" s="2"/>
      <c r="L144" s="2"/>
      <c r="M144" s="2"/>
      <c r="N144" s="33"/>
      <c r="O144" s="2"/>
      <c r="P144" s="2"/>
      <c r="Q144" s="2"/>
      <c r="R144" s="2"/>
      <c r="S144" s="2"/>
      <c r="T144" s="2"/>
      <c r="U144" s="2"/>
      <c r="V144" s="2"/>
      <c r="W144" s="2"/>
    </row>
    <row r="145" spans="6:23" ht="15.5" x14ac:dyDescent="0.35">
      <c r="F145" s="2"/>
      <c r="G145" s="2"/>
      <c r="H145" s="2"/>
      <c r="I145" s="2"/>
      <c r="J145" s="2"/>
      <c r="K145" s="2"/>
      <c r="L145" s="2"/>
      <c r="M145" s="2"/>
      <c r="N145" s="33"/>
      <c r="O145" s="2"/>
      <c r="P145" s="2"/>
      <c r="Q145" s="2"/>
      <c r="R145" s="2"/>
      <c r="S145" s="2"/>
      <c r="T145" s="2"/>
      <c r="U145" s="2"/>
      <c r="V145" s="2"/>
      <c r="W145" s="2"/>
    </row>
    <row r="146" spans="6:23" ht="15.5" x14ac:dyDescent="0.35">
      <c r="F146" s="2"/>
      <c r="G146" s="2"/>
      <c r="H146" s="2"/>
      <c r="I146" s="2"/>
      <c r="J146" s="2"/>
      <c r="K146" s="2"/>
      <c r="L146" s="2"/>
      <c r="M146" s="2"/>
      <c r="N146" s="33"/>
      <c r="O146" s="2"/>
      <c r="P146" s="2"/>
      <c r="Q146" s="2"/>
      <c r="R146" s="2"/>
      <c r="S146" s="2"/>
      <c r="T146" s="2"/>
      <c r="U146" s="2"/>
      <c r="V146" s="2"/>
      <c r="W146" s="2"/>
    </row>
    <row r="147" spans="6:23" ht="15.5" x14ac:dyDescent="0.35">
      <c r="F147" s="2"/>
      <c r="G147" s="2"/>
      <c r="H147" s="2"/>
      <c r="I147" s="2"/>
      <c r="J147" s="2"/>
      <c r="K147" s="2"/>
      <c r="L147" s="2"/>
      <c r="M147" s="2"/>
      <c r="N147" s="33"/>
      <c r="O147" s="2"/>
      <c r="P147" s="2"/>
      <c r="Q147" s="2"/>
      <c r="R147" s="2"/>
      <c r="S147" s="2"/>
      <c r="T147" s="2"/>
      <c r="U147" s="2"/>
      <c r="V147" s="2"/>
      <c r="W147" s="2"/>
    </row>
    <row r="148" spans="6:23" ht="15.5" x14ac:dyDescent="0.35">
      <c r="F148" s="2"/>
      <c r="G148" s="2"/>
      <c r="H148" s="2"/>
      <c r="I148" s="2"/>
      <c r="J148" s="2"/>
      <c r="K148" s="2"/>
      <c r="L148" s="2"/>
      <c r="M148" s="2"/>
      <c r="N148" s="33"/>
      <c r="O148" s="2"/>
      <c r="P148" s="2"/>
      <c r="Q148" s="2"/>
      <c r="R148" s="2"/>
      <c r="S148" s="2"/>
      <c r="T148" s="2"/>
      <c r="U148" s="2"/>
      <c r="V148" s="2"/>
      <c r="W148" s="2"/>
    </row>
    <row r="149" spans="6:23" ht="15.5" x14ac:dyDescent="0.35">
      <c r="F149" s="2"/>
      <c r="G149" s="2"/>
      <c r="H149" s="2"/>
      <c r="I149" s="2"/>
      <c r="J149" s="2"/>
      <c r="K149" s="2"/>
      <c r="L149" s="2"/>
      <c r="M149" s="2"/>
      <c r="N149" s="33"/>
      <c r="O149" s="2"/>
      <c r="P149" s="2"/>
      <c r="Q149" s="2"/>
      <c r="R149" s="2"/>
      <c r="S149" s="2"/>
      <c r="T149" s="2"/>
      <c r="U149" s="2"/>
      <c r="V149" s="2"/>
      <c r="W149" s="2"/>
    </row>
    <row r="150" spans="6:23" ht="15.5" x14ac:dyDescent="0.35">
      <c r="F150" s="2"/>
      <c r="G150" s="2"/>
      <c r="H150" s="2"/>
      <c r="I150" s="2"/>
      <c r="J150" s="2"/>
      <c r="K150" s="2"/>
      <c r="L150" s="2"/>
      <c r="M150" s="2"/>
      <c r="N150" s="33"/>
      <c r="O150" s="2"/>
      <c r="P150" s="2"/>
      <c r="Q150" s="2"/>
      <c r="R150" s="2"/>
      <c r="S150" s="2"/>
      <c r="T150" s="2"/>
      <c r="U150" s="2"/>
      <c r="V150" s="2"/>
      <c r="W150" s="2"/>
    </row>
    <row r="151" spans="6:23" ht="15.5" x14ac:dyDescent="0.35">
      <c r="F151" s="2"/>
      <c r="G151" s="2"/>
      <c r="H151" s="2"/>
      <c r="I151" s="2"/>
      <c r="J151" s="2"/>
      <c r="K151" s="2"/>
      <c r="L151" s="2"/>
      <c r="M151" s="2"/>
      <c r="N151" s="33"/>
      <c r="O151" s="2"/>
      <c r="P151" s="2"/>
      <c r="Q151" s="2"/>
      <c r="R151" s="2"/>
      <c r="S151" s="2"/>
      <c r="T151" s="2"/>
      <c r="U151" s="2"/>
      <c r="V151" s="2"/>
      <c r="W151" s="2"/>
    </row>
    <row r="152" spans="6:23" ht="15.5" x14ac:dyDescent="0.35">
      <c r="F152" s="2"/>
      <c r="G152" s="2"/>
      <c r="H152" s="2"/>
      <c r="I152" s="2"/>
      <c r="J152" s="2"/>
      <c r="K152" s="2"/>
      <c r="L152" s="2"/>
      <c r="M152" s="2"/>
      <c r="N152" s="33"/>
      <c r="O152" s="2"/>
      <c r="P152" s="2"/>
      <c r="Q152" s="2"/>
      <c r="R152" s="2"/>
      <c r="S152" s="2"/>
      <c r="T152" s="2"/>
      <c r="U152" s="2"/>
      <c r="V152" s="2"/>
      <c r="W152" s="2"/>
    </row>
    <row r="153" spans="6:23" ht="15.5" x14ac:dyDescent="0.35">
      <c r="F153" s="2"/>
      <c r="G153" s="2"/>
      <c r="H153" s="2"/>
      <c r="I153" s="2"/>
      <c r="J153" s="2"/>
      <c r="K153" s="2"/>
      <c r="L153" s="2"/>
      <c r="M153" s="2"/>
      <c r="N153" s="33"/>
      <c r="O153" s="2"/>
      <c r="P153" s="2"/>
      <c r="Q153" s="2"/>
      <c r="R153" s="2"/>
      <c r="S153" s="2"/>
      <c r="T153" s="2"/>
      <c r="U153" s="2"/>
      <c r="V153" s="2"/>
      <c r="W153" s="2"/>
    </row>
    <row r="154" spans="6:23" ht="15.5" x14ac:dyDescent="0.35">
      <c r="F154" s="2"/>
      <c r="G154" s="2"/>
      <c r="H154" s="2"/>
      <c r="I154" s="2"/>
      <c r="J154" s="2"/>
      <c r="K154" s="2"/>
      <c r="L154" s="2"/>
      <c r="M154" s="2"/>
      <c r="N154" s="33"/>
      <c r="O154" s="2"/>
      <c r="P154" s="2"/>
      <c r="Q154" s="2"/>
      <c r="R154" s="2"/>
      <c r="S154" s="2"/>
      <c r="T154" s="2"/>
      <c r="U154" s="2"/>
      <c r="V154" s="2"/>
      <c r="W154" s="2"/>
    </row>
    <row r="155" spans="6:23" ht="15.5" x14ac:dyDescent="0.35">
      <c r="F155" s="2"/>
      <c r="G155" s="2"/>
      <c r="H155" s="2"/>
      <c r="I155" s="2"/>
      <c r="J155" s="2"/>
      <c r="K155" s="2"/>
      <c r="L155" s="2"/>
      <c r="M155" s="2"/>
      <c r="N155" s="33"/>
      <c r="O155" s="2"/>
      <c r="P155" s="2"/>
      <c r="Q155" s="2"/>
      <c r="R155" s="2"/>
      <c r="S155" s="2"/>
      <c r="T155" s="2"/>
      <c r="U155" s="2"/>
      <c r="V155" s="2"/>
      <c r="W155" s="2"/>
    </row>
    <row r="156" spans="6:23" ht="15.5" x14ac:dyDescent="0.35">
      <c r="F156" s="2"/>
      <c r="G156" s="2"/>
      <c r="H156" s="2"/>
      <c r="I156" s="2"/>
      <c r="J156" s="2"/>
      <c r="K156" s="2"/>
      <c r="L156" s="2"/>
      <c r="M156" s="2"/>
      <c r="N156" s="33"/>
      <c r="O156" s="2"/>
      <c r="P156" s="2"/>
      <c r="Q156" s="2"/>
      <c r="R156" s="2"/>
      <c r="S156" s="2"/>
      <c r="T156" s="2"/>
      <c r="U156" s="2"/>
      <c r="V156" s="2"/>
      <c r="W156" s="2"/>
    </row>
    <row r="157" spans="6:23" ht="15.5" x14ac:dyDescent="0.35">
      <c r="F157" s="2"/>
      <c r="G157" s="2"/>
      <c r="H157" s="2"/>
      <c r="I157" s="2"/>
      <c r="J157" s="2"/>
      <c r="K157" s="2"/>
      <c r="L157" s="2"/>
      <c r="M157" s="2"/>
      <c r="N157" s="33"/>
      <c r="O157" s="2"/>
      <c r="P157" s="2"/>
      <c r="Q157" s="2"/>
      <c r="R157" s="2"/>
      <c r="S157" s="2"/>
      <c r="T157" s="2"/>
      <c r="U157" s="2"/>
      <c r="V157" s="2"/>
      <c r="W157" s="2"/>
    </row>
    <row r="158" spans="6:23" ht="15.5" x14ac:dyDescent="0.35">
      <c r="F158" s="2"/>
      <c r="G158" s="2"/>
      <c r="H158" s="2"/>
      <c r="I158" s="2"/>
      <c r="J158" s="2"/>
      <c r="K158" s="2"/>
      <c r="L158" s="2"/>
      <c r="M158" s="2"/>
      <c r="N158" s="33"/>
      <c r="O158" s="2"/>
      <c r="P158" s="2"/>
      <c r="Q158" s="2"/>
      <c r="R158" s="2"/>
      <c r="S158" s="2"/>
      <c r="T158" s="2"/>
      <c r="U158" s="2"/>
      <c r="V158" s="2"/>
      <c r="W158" s="2"/>
    </row>
    <row r="159" spans="6:23" ht="15.5" x14ac:dyDescent="0.35">
      <c r="F159" s="2"/>
      <c r="G159" s="2"/>
      <c r="H159" s="2"/>
      <c r="I159" s="2"/>
      <c r="J159" s="2"/>
      <c r="K159" s="2"/>
      <c r="L159" s="2"/>
      <c r="M159" s="2"/>
      <c r="N159" s="33"/>
      <c r="O159" s="2"/>
      <c r="P159" s="2"/>
      <c r="Q159" s="2"/>
      <c r="R159" s="2"/>
      <c r="S159" s="2"/>
      <c r="T159" s="2"/>
      <c r="U159" s="2"/>
      <c r="V159" s="2"/>
      <c r="W159" s="2"/>
    </row>
    <row r="160" spans="6:23" ht="15.5" x14ac:dyDescent="0.35">
      <c r="F160" s="2"/>
      <c r="G160" s="2"/>
      <c r="H160" s="2"/>
      <c r="I160" s="2"/>
      <c r="J160" s="2"/>
      <c r="K160" s="2"/>
      <c r="L160" s="2"/>
      <c r="M160" s="2"/>
      <c r="N160" s="33"/>
      <c r="O160" s="2"/>
      <c r="P160" s="2"/>
      <c r="Q160" s="2"/>
      <c r="R160" s="2"/>
      <c r="S160" s="2"/>
      <c r="T160" s="2"/>
      <c r="U160" s="2"/>
      <c r="V160" s="2"/>
      <c r="W160" s="2"/>
    </row>
    <row r="161" spans="6:23" ht="15.5" x14ac:dyDescent="0.35">
      <c r="F161" s="2"/>
      <c r="G161" s="2"/>
      <c r="H161" s="2"/>
      <c r="I161" s="2"/>
      <c r="J161" s="2"/>
      <c r="K161" s="2"/>
      <c r="L161" s="2"/>
      <c r="M161" s="2"/>
      <c r="N161" s="33"/>
      <c r="O161" s="2"/>
      <c r="P161" s="2"/>
      <c r="Q161" s="2"/>
      <c r="R161" s="2"/>
      <c r="S161" s="2"/>
      <c r="T161" s="2"/>
      <c r="U161" s="2"/>
      <c r="V161" s="2"/>
      <c r="W161" s="2"/>
    </row>
    <row r="162" spans="6:23" ht="15.5" x14ac:dyDescent="0.35">
      <c r="F162" s="2"/>
      <c r="G162" s="2"/>
      <c r="H162" s="2"/>
      <c r="I162" s="2"/>
      <c r="J162" s="2"/>
      <c r="K162" s="2"/>
      <c r="L162" s="2"/>
      <c r="M162" s="2"/>
      <c r="N162" s="33"/>
      <c r="O162" s="2"/>
      <c r="P162" s="2"/>
      <c r="Q162" s="2"/>
      <c r="R162" s="2"/>
      <c r="S162" s="2"/>
      <c r="T162" s="2"/>
      <c r="U162" s="2"/>
      <c r="V162" s="2"/>
      <c r="W162" s="2"/>
    </row>
    <row r="163" spans="6:23" ht="15.5" x14ac:dyDescent="0.35">
      <c r="F163" s="2"/>
      <c r="G163" s="2"/>
      <c r="H163" s="2"/>
      <c r="I163" s="2"/>
      <c r="J163" s="2"/>
      <c r="K163" s="2"/>
      <c r="L163" s="2"/>
      <c r="M163" s="2"/>
      <c r="N163" s="33"/>
      <c r="O163" s="2"/>
      <c r="P163" s="2"/>
      <c r="Q163" s="2"/>
      <c r="R163" s="2"/>
      <c r="S163" s="2"/>
      <c r="T163" s="2"/>
      <c r="U163" s="2"/>
      <c r="V163" s="2"/>
      <c r="W163" s="2"/>
    </row>
    <row r="164" spans="6:23" ht="15.5" x14ac:dyDescent="0.35">
      <c r="F164" s="2"/>
      <c r="G164" s="2"/>
      <c r="H164" s="2"/>
      <c r="I164" s="2"/>
      <c r="J164" s="2"/>
      <c r="K164" s="2"/>
      <c r="L164" s="2"/>
      <c r="M164" s="2"/>
      <c r="N164" s="33"/>
      <c r="O164" s="2"/>
      <c r="P164" s="2"/>
      <c r="Q164" s="2"/>
      <c r="R164" s="2"/>
      <c r="S164" s="2"/>
      <c r="T164" s="2"/>
      <c r="U164" s="2"/>
      <c r="V164" s="2"/>
      <c r="W164" s="2"/>
    </row>
    <row r="165" spans="6:23" ht="15.5" x14ac:dyDescent="0.35">
      <c r="F165" s="2"/>
      <c r="G165" s="2"/>
      <c r="H165" s="2"/>
      <c r="I165" s="2"/>
      <c r="J165" s="2"/>
      <c r="K165" s="2"/>
      <c r="L165" s="2"/>
      <c r="M165" s="2"/>
      <c r="N165" s="33"/>
      <c r="O165" s="2"/>
      <c r="P165" s="2"/>
      <c r="Q165" s="2"/>
      <c r="R165" s="2"/>
      <c r="S165" s="2"/>
      <c r="T165" s="2"/>
      <c r="U165" s="2"/>
      <c r="V165" s="2"/>
      <c r="W165" s="2"/>
    </row>
    <row r="166" spans="6:23" ht="15.5" x14ac:dyDescent="0.35">
      <c r="F166" s="2"/>
      <c r="G166" s="2"/>
      <c r="H166" s="2"/>
      <c r="I166" s="2"/>
      <c r="J166" s="2"/>
      <c r="K166" s="2"/>
      <c r="L166" s="2"/>
      <c r="M166" s="2"/>
      <c r="N166" s="33"/>
      <c r="O166" s="2"/>
      <c r="P166" s="2"/>
      <c r="Q166" s="2"/>
      <c r="R166" s="2"/>
      <c r="S166" s="2"/>
      <c r="T166" s="2"/>
      <c r="U166" s="2"/>
      <c r="V166" s="2"/>
      <c r="W166" s="2"/>
    </row>
    <row r="167" spans="6:23" ht="15.5" x14ac:dyDescent="0.35">
      <c r="F167" s="2"/>
      <c r="G167" s="2"/>
      <c r="H167" s="2"/>
      <c r="I167" s="2"/>
      <c r="J167" s="2"/>
      <c r="K167" s="2"/>
      <c r="L167" s="2"/>
      <c r="M167" s="2"/>
      <c r="N167" s="33"/>
      <c r="O167" s="2"/>
      <c r="P167" s="2"/>
      <c r="Q167" s="2"/>
      <c r="R167" s="2"/>
      <c r="S167" s="2"/>
      <c r="T167" s="2"/>
      <c r="U167" s="2"/>
      <c r="V167" s="2"/>
      <c r="W167" s="2"/>
    </row>
    <row r="168" spans="6:23" ht="15.5" x14ac:dyDescent="0.35">
      <c r="F168" s="2"/>
      <c r="G168" s="2"/>
      <c r="H168" s="2"/>
      <c r="I168" s="2"/>
      <c r="J168" s="2"/>
      <c r="K168" s="2"/>
      <c r="L168" s="2"/>
      <c r="M168" s="2"/>
      <c r="N168" s="33"/>
      <c r="O168" s="2"/>
      <c r="P168" s="2"/>
      <c r="Q168" s="2"/>
      <c r="R168" s="2"/>
      <c r="S168" s="2"/>
      <c r="T168" s="2"/>
      <c r="U168" s="2"/>
      <c r="V168" s="2"/>
      <c r="W168" s="2"/>
    </row>
    <row r="169" spans="6:23" ht="15.5" x14ac:dyDescent="0.35">
      <c r="F169" s="2"/>
      <c r="G169" s="2"/>
      <c r="H169" s="2"/>
      <c r="I169" s="2"/>
      <c r="J169" s="2"/>
      <c r="K169" s="2"/>
      <c r="L169" s="2"/>
      <c r="M169" s="2"/>
      <c r="N169" s="33"/>
      <c r="O169" s="2"/>
      <c r="P169" s="2"/>
      <c r="Q169" s="2"/>
      <c r="R169" s="2"/>
      <c r="S169" s="2"/>
      <c r="T169" s="2"/>
      <c r="U169" s="2"/>
      <c r="V169" s="2"/>
      <c r="W169" s="2"/>
    </row>
    <row r="170" spans="6:23" ht="15.5" x14ac:dyDescent="0.35">
      <c r="F170" s="2"/>
      <c r="G170" s="2"/>
      <c r="H170" s="2"/>
      <c r="I170" s="2"/>
      <c r="J170" s="2"/>
      <c r="K170" s="2"/>
      <c r="L170" s="2"/>
      <c r="M170" s="2"/>
      <c r="N170" s="33"/>
      <c r="O170" s="2"/>
      <c r="P170" s="2"/>
      <c r="Q170" s="2"/>
      <c r="R170" s="2"/>
      <c r="S170" s="2"/>
      <c r="T170" s="2"/>
      <c r="U170" s="2"/>
      <c r="V170" s="2"/>
      <c r="W170" s="2"/>
    </row>
    <row r="171" spans="6:23" ht="15.5" x14ac:dyDescent="0.35">
      <c r="F171" s="2"/>
      <c r="G171" s="2"/>
      <c r="H171" s="2"/>
      <c r="I171" s="2"/>
      <c r="J171" s="2"/>
      <c r="K171" s="2"/>
      <c r="L171" s="2"/>
      <c r="M171" s="2"/>
      <c r="N171" s="33"/>
      <c r="O171" s="2"/>
      <c r="P171" s="2"/>
      <c r="Q171" s="2"/>
      <c r="R171" s="2"/>
      <c r="S171" s="2"/>
      <c r="T171" s="2"/>
      <c r="U171" s="2"/>
      <c r="V171" s="2"/>
      <c r="W171" s="2"/>
    </row>
    <row r="172" spans="6:23" ht="15.5" x14ac:dyDescent="0.35">
      <c r="F172" s="2"/>
      <c r="G172" s="2"/>
      <c r="H172" s="2"/>
      <c r="I172" s="2"/>
      <c r="J172" s="2"/>
      <c r="K172" s="2"/>
      <c r="L172" s="2"/>
      <c r="M172" s="2"/>
      <c r="N172" s="33"/>
      <c r="O172" s="2"/>
      <c r="P172" s="2"/>
      <c r="Q172" s="2"/>
      <c r="R172" s="2"/>
      <c r="S172" s="2"/>
      <c r="T172" s="2"/>
      <c r="U172" s="2"/>
      <c r="V172" s="2"/>
      <c r="W172" s="2"/>
    </row>
    <row r="173" spans="6:23" ht="15.5" x14ac:dyDescent="0.35">
      <c r="F173" s="2"/>
      <c r="G173" s="2"/>
      <c r="H173" s="2"/>
      <c r="I173" s="2"/>
      <c r="J173" s="2"/>
      <c r="K173" s="2"/>
      <c r="L173" s="2"/>
      <c r="M173" s="2"/>
      <c r="N173" s="33"/>
      <c r="O173" s="2"/>
      <c r="P173" s="2"/>
      <c r="Q173" s="2"/>
      <c r="R173" s="2"/>
      <c r="S173" s="2"/>
      <c r="T173" s="2"/>
      <c r="U173" s="2"/>
      <c r="V173" s="2"/>
      <c r="W173" s="2"/>
    </row>
    <row r="174" spans="6:23" ht="15.5" x14ac:dyDescent="0.35">
      <c r="F174" s="2"/>
      <c r="G174" s="2"/>
      <c r="H174" s="2"/>
      <c r="I174" s="2"/>
      <c r="J174" s="2"/>
      <c r="K174" s="2"/>
      <c r="L174" s="2"/>
      <c r="M174" s="2"/>
      <c r="N174" s="33"/>
      <c r="O174" s="2"/>
      <c r="P174" s="2"/>
      <c r="Q174" s="2"/>
      <c r="R174" s="2"/>
      <c r="S174" s="2"/>
      <c r="T174" s="2"/>
      <c r="U174" s="2"/>
      <c r="V174" s="2"/>
      <c r="W174" s="2"/>
    </row>
    <row r="175" spans="6:23" ht="15.5" x14ac:dyDescent="0.35">
      <c r="F175" s="2"/>
      <c r="G175" s="2"/>
      <c r="H175" s="2"/>
      <c r="I175" s="2"/>
      <c r="J175" s="2"/>
      <c r="K175" s="2"/>
      <c r="L175" s="2"/>
      <c r="M175" s="2"/>
      <c r="N175" s="33"/>
      <c r="O175" s="2"/>
      <c r="P175" s="2"/>
      <c r="Q175" s="2"/>
      <c r="R175" s="2"/>
      <c r="S175" s="2"/>
      <c r="T175" s="2"/>
      <c r="U175" s="2"/>
      <c r="V175" s="2"/>
      <c r="W175" s="2"/>
    </row>
    <row r="176" spans="6:23" ht="15.5" x14ac:dyDescent="0.35">
      <c r="F176" s="2"/>
      <c r="G176" s="2"/>
      <c r="H176" s="2"/>
      <c r="I176" s="2"/>
      <c r="J176" s="2"/>
      <c r="K176" s="2"/>
      <c r="L176" s="2"/>
      <c r="M176" s="2"/>
      <c r="N176" s="33"/>
      <c r="O176" s="2"/>
      <c r="P176" s="2"/>
      <c r="Q176" s="2"/>
      <c r="R176" s="2"/>
      <c r="S176" s="2"/>
      <c r="T176" s="2"/>
      <c r="U176" s="2"/>
      <c r="V176" s="2"/>
      <c r="W176" s="2"/>
    </row>
    <row r="177" spans="6:23" ht="15.5" x14ac:dyDescent="0.35">
      <c r="F177" s="2"/>
      <c r="G177" s="2"/>
      <c r="H177" s="2"/>
      <c r="I177" s="2"/>
      <c r="J177" s="2"/>
      <c r="K177" s="2"/>
      <c r="L177" s="2"/>
      <c r="M177" s="2"/>
      <c r="N177" s="33"/>
      <c r="O177" s="2"/>
      <c r="P177" s="2"/>
      <c r="Q177" s="2"/>
      <c r="R177" s="2"/>
      <c r="S177" s="2"/>
      <c r="T177" s="2"/>
      <c r="U177" s="2"/>
      <c r="V177" s="2"/>
      <c r="W177" s="2"/>
    </row>
    <row r="178" spans="6:23" ht="15.5" x14ac:dyDescent="0.35">
      <c r="F178" s="2"/>
      <c r="G178" s="2"/>
      <c r="H178" s="2"/>
      <c r="I178" s="2"/>
      <c r="J178" s="2"/>
      <c r="K178" s="2"/>
      <c r="L178" s="2"/>
      <c r="M178" s="2"/>
      <c r="N178" s="33"/>
      <c r="O178" s="2"/>
      <c r="P178" s="2"/>
      <c r="Q178" s="2"/>
      <c r="R178" s="2"/>
      <c r="S178" s="2"/>
      <c r="T178" s="2"/>
      <c r="U178" s="2"/>
      <c r="V178" s="2"/>
      <c r="W178" s="2"/>
    </row>
    <row r="179" spans="6:23" ht="15.5" x14ac:dyDescent="0.35">
      <c r="F179" s="2"/>
      <c r="G179" s="2"/>
      <c r="H179" s="2"/>
      <c r="I179" s="2"/>
      <c r="J179" s="2"/>
      <c r="K179" s="2"/>
      <c r="L179" s="2"/>
      <c r="M179" s="2"/>
      <c r="N179" s="33"/>
      <c r="O179" s="2"/>
      <c r="P179" s="2"/>
      <c r="Q179" s="2"/>
      <c r="R179" s="2"/>
      <c r="S179" s="2"/>
      <c r="T179" s="2"/>
      <c r="U179" s="2"/>
      <c r="V179" s="2"/>
      <c r="W179" s="2"/>
    </row>
    <row r="180" spans="6:23" ht="15.5" x14ac:dyDescent="0.35">
      <c r="F180" s="2"/>
      <c r="G180" s="2"/>
      <c r="H180" s="2"/>
      <c r="I180" s="2"/>
      <c r="J180" s="2"/>
      <c r="K180" s="2"/>
      <c r="L180" s="2"/>
      <c r="M180" s="2"/>
      <c r="N180" s="33"/>
      <c r="O180" s="2"/>
      <c r="P180" s="2"/>
      <c r="Q180" s="2"/>
      <c r="R180" s="2"/>
      <c r="S180" s="2"/>
      <c r="T180" s="2"/>
      <c r="U180" s="2"/>
      <c r="V180" s="2"/>
      <c r="W180" s="2"/>
    </row>
    <row r="181" spans="6:23" ht="15.5" x14ac:dyDescent="0.35">
      <c r="F181" s="2"/>
      <c r="G181" s="2"/>
      <c r="H181" s="2"/>
      <c r="I181" s="2"/>
      <c r="J181" s="2"/>
      <c r="K181" s="2"/>
      <c r="L181" s="2"/>
      <c r="M181" s="2"/>
      <c r="N181" s="33"/>
      <c r="O181" s="2"/>
      <c r="P181" s="2"/>
      <c r="Q181" s="2"/>
      <c r="R181" s="2"/>
      <c r="S181" s="2"/>
      <c r="T181" s="2"/>
      <c r="U181" s="2"/>
      <c r="V181" s="2"/>
      <c r="W181" s="2"/>
    </row>
    <row r="182" spans="6:23" ht="15.5" x14ac:dyDescent="0.35">
      <c r="F182" s="2"/>
      <c r="G182" s="2"/>
      <c r="H182" s="2"/>
      <c r="I182" s="2"/>
      <c r="J182" s="2"/>
      <c r="K182" s="2"/>
      <c r="L182" s="2"/>
      <c r="M182" s="2"/>
      <c r="N182" s="33"/>
      <c r="O182" s="2"/>
      <c r="P182" s="2"/>
      <c r="Q182" s="2"/>
      <c r="R182" s="2"/>
      <c r="S182" s="2"/>
      <c r="T182" s="2"/>
      <c r="U182" s="2"/>
      <c r="V182" s="2"/>
      <c r="W182" s="2"/>
    </row>
    <row r="183" spans="6:23" ht="15.5" x14ac:dyDescent="0.35">
      <c r="F183" s="2"/>
      <c r="G183" s="2"/>
      <c r="H183" s="2"/>
      <c r="I183" s="2"/>
      <c r="J183" s="2"/>
      <c r="K183" s="2"/>
      <c r="L183" s="2"/>
      <c r="M183" s="2"/>
      <c r="N183" s="33"/>
      <c r="O183" s="2"/>
      <c r="P183" s="2"/>
      <c r="Q183" s="2"/>
      <c r="R183" s="2"/>
      <c r="S183" s="2"/>
      <c r="T183" s="2"/>
      <c r="U183" s="2"/>
      <c r="V183" s="2"/>
      <c r="W183" s="2"/>
    </row>
    <row r="184" spans="6:23" ht="15.5" x14ac:dyDescent="0.35">
      <c r="F184" s="2"/>
      <c r="G184" s="2"/>
      <c r="H184" s="2"/>
      <c r="I184" s="2"/>
      <c r="J184" s="2"/>
      <c r="K184" s="2"/>
      <c r="L184" s="2"/>
      <c r="M184" s="2"/>
      <c r="N184" s="33"/>
      <c r="O184" s="2"/>
      <c r="P184" s="2"/>
      <c r="Q184" s="2"/>
      <c r="R184" s="2"/>
      <c r="S184" s="2"/>
      <c r="T184" s="2"/>
      <c r="U184" s="2"/>
      <c r="V184" s="2"/>
      <c r="W184" s="2"/>
    </row>
    <row r="185" spans="6:23" ht="15.5" x14ac:dyDescent="0.35">
      <c r="F185" s="2"/>
      <c r="G185" s="2"/>
      <c r="H185" s="2"/>
      <c r="I185" s="2"/>
      <c r="J185" s="2"/>
      <c r="K185" s="2"/>
      <c r="L185" s="2"/>
      <c r="M185" s="2"/>
      <c r="N185" s="33"/>
      <c r="O185" s="2"/>
      <c r="P185" s="2"/>
      <c r="Q185" s="2"/>
      <c r="R185" s="2"/>
      <c r="S185" s="2"/>
      <c r="T185" s="2"/>
      <c r="U185" s="2"/>
      <c r="V185" s="2"/>
      <c r="W185" s="2"/>
    </row>
    <row r="186" spans="6:23" ht="15.5" x14ac:dyDescent="0.35">
      <c r="F186" s="2"/>
      <c r="G186" s="2"/>
      <c r="H186" s="2"/>
      <c r="I186" s="2"/>
      <c r="J186" s="2"/>
      <c r="K186" s="2"/>
      <c r="L186" s="2"/>
      <c r="M186" s="2"/>
      <c r="N186" s="33"/>
      <c r="O186" s="2"/>
      <c r="P186" s="2"/>
      <c r="Q186" s="2"/>
      <c r="R186" s="2"/>
      <c r="S186" s="2"/>
      <c r="T186" s="2"/>
      <c r="U186" s="2"/>
      <c r="V186" s="2"/>
      <c r="W186" s="2"/>
    </row>
    <row r="187" spans="6:23" ht="15.5" x14ac:dyDescent="0.35">
      <c r="F187" s="2"/>
      <c r="G187" s="2"/>
      <c r="H187" s="2"/>
      <c r="I187" s="2"/>
      <c r="J187" s="2"/>
      <c r="K187" s="2"/>
      <c r="L187" s="2"/>
      <c r="M187" s="2"/>
      <c r="N187" s="33"/>
      <c r="O187" s="2"/>
      <c r="P187" s="2"/>
      <c r="Q187" s="2"/>
      <c r="R187" s="2"/>
      <c r="S187" s="2"/>
      <c r="T187" s="2"/>
      <c r="U187" s="2"/>
      <c r="V187" s="2"/>
      <c r="W187" s="2"/>
    </row>
    <row r="188" spans="6:23" ht="15.5" x14ac:dyDescent="0.35">
      <c r="F188" s="2"/>
      <c r="G188" s="2"/>
      <c r="H188" s="2"/>
      <c r="I188" s="2"/>
      <c r="J188" s="2"/>
      <c r="K188" s="2"/>
      <c r="L188" s="2"/>
      <c r="M188" s="2"/>
      <c r="N188" s="33"/>
      <c r="O188" s="2"/>
      <c r="P188" s="2"/>
      <c r="Q188" s="2"/>
      <c r="R188" s="2"/>
      <c r="S188" s="2"/>
      <c r="T188" s="2"/>
      <c r="U188" s="2"/>
      <c r="V188" s="2"/>
      <c r="W188" s="2"/>
    </row>
    <row r="189" spans="6:23" ht="15.5" x14ac:dyDescent="0.35">
      <c r="F189" s="2"/>
      <c r="G189" s="2"/>
      <c r="H189" s="2"/>
      <c r="I189" s="2"/>
      <c r="J189" s="2"/>
      <c r="K189" s="2"/>
      <c r="L189" s="2"/>
      <c r="M189" s="2"/>
      <c r="N189" s="33"/>
      <c r="O189" s="2"/>
      <c r="P189" s="2"/>
      <c r="Q189" s="2"/>
      <c r="R189" s="2"/>
      <c r="S189" s="2"/>
      <c r="T189" s="2"/>
      <c r="U189" s="2"/>
      <c r="V189" s="2"/>
      <c r="W189" s="2"/>
    </row>
    <row r="190" spans="6:23" ht="15.5" x14ac:dyDescent="0.35">
      <c r="F190" s="2"/>
      <c r="G190" s="2"/>
      <c r="H190" s="2"/>
      <c r="I190" s="2"/>
      <c r="J190" s="2"/>
      <c r="K190" s="2"/>
      <c r="L190" s="2"/>
      <c r="M190" s="2"/>
      <c r="N190" s="33"/>
      <c r="O190" s="2"/>
      <c r="P190" s="2"/>
      <c r="Q190" s="2"/>
      <c r="R190" s="2"/>
      <c r="S190" s="2"/>
      <c r="T190" s="2"/>
      <c r="U190" s="2"/>
      <c r="V190" s="2"/>
      <c r="W190" s="2"/>
    </row>
    <row r="191" spans="6:23" ht="15.5" x14ac:dyDescent="0.35">
      <c r="F191" s="2"/>
      <c r="G191" s="2"/>
      <c r="H191" s="2"/>
      <c r="I191" s="2"/>
      <c r="J191" s="2"/>
      <c r="K191" s="2"/>
      <c r="L191" s="2"/>
      <c r="M191" s="2"/>
      <c r="N191" s="33"/>
      <c r="O191" s="2"/>
      <c r="P191" s="2"/>
      <c r="Q191" s="2"/>
      <c r="R191" s="2"/>
      <c r="S191" s="2"/>
      <c r="T191" s="2"/>
      <c r="U191" s="2"/>
      <c r="V191" s="2"/>
      <c r="W191" s="2"/>
    </row>
    <row r="192" spans="6:23" ht="15.5" x14ac:dyDescent="0.35">
      <c r="F192" s="2"/>
      <c r="G192" s="2"/>
      <c r="H192" s="2"/>
      <c r="I192" s="2"/>
      <c r="J192" s="2"/>
      <c r="K192" s="2"/>
      <c r="L192" s="2"/>
      <c r="M192" s="2"/>
      <c r="N192" s="33"/>
      <c r="O192" s="2"/>
      <c r="P192" s="2"/>
      <c r="Q192" s="2"/>
      <c r="R192" s="2"/>
      <c r="S192" s="2"/>
      <c r="T192" s="2"/>
      <c r="U192" s="2"/>
      <c r="V192" s="2"/>
      <c r="W192" s="2"/>
    </row>
    <row r="193" spans="6:23" ht="15.5" x14ac:dyDescent="0.35">
      <c r="F193" s="2"/>
      <c r="G193" s="2"/>
      <c r="H193" s="2"/>
      <c r="I193" s="2"/>
      <c r="J193" s="2"/>
      <c r="K193" s="2"/>
      <c r="L193" s="2"/>
      <c r="M193" s="2"/>
      <c r="N193" s="33"/>
      <c r="O193" s="2"/>
      <c r="P193" s="2"/>
      <c r="Q193" s="2"/>
      <c r="R193" s="2"/>
      <c r="S193" s="2"/>
      <c r="T193" s="2"/>
      <c r="U193" s="2"/>
      <c r="V193" s="2"/>
      <c r="W193" s="2"/>
    </row>
    <row r="194" spans="6:23" ht="15.5" x14ac:dyDescent="0.35">
      <c r="F194" s="2"/>
      <c r="G194" s="2"/>
      <c r="H194" s="2"/>
      <c r="I194" s="2"/>
      <c r="J194" s="2"/>
      <c r="K194" s="2"/>
      <c r="L194" s="2"/>
      <c r="M194" s="2"/>
      <c r="N194" s="33"/>
      <c r="O194" s="2"/>
      <c r="P194" s="2"/>
      <c r="Q194" s="2"/>
      <c r="R194" s="2"/>
      <c r="S194" s="2"/>
      <c r="T194" s="2"/>
      <c r="U194" s="2"/>
      <c r="V194" s="2"/>
      <c r="W194" s="2"/>
    </row>
    <row r="195" spans="6:23" ht="15.5" x14ac:dyDescent="0.35">
      <c r="F195" s="2"/>
      <c r="G195" s="2"/>
      <c r="H195" s="2"/>
      <c r="I195" s="2"/>
      <c r="J195" s="2"/>
      <c r="K195" s="2"/>
      <c r="L195" s="2"/>
      <c r="M195" s="2"/>
      <c r="N195" s="33"/>
      <c r="O195" s="2"/>
      <c r="P195" s="2"/>
      <c r="Q195" s="2"/>
      <c r="R195" s="2"/>
      <c r="S195" s="2"/>
      <c r="T195" s="2"/>
      <c r="U195" s="2"/>
      <c r="V195" s="2"/>
      <c r="W195" s="2"/>
    </row>
    <row r="196" spans="6:23" ht="15.5" x14ac:dyDescent="0.35">
      <c r="F196" s="2"/>
      <c r="G196" s="2"/>
      <c r="H196" s="2"/>
      <c r="I196" s="2"/>
      <c r="J196" s="2"/>
      <c r="K196" s="2"/>
      <c r="L196" s="2"/>
      <c r="M196" s="2"/>
      <c r="N196" s="33"/>
      <c r="O196" s="2"/>
      <c r="P196" s="2"/>
      <c r="Q196" s="2"/>
      <c r="R196" s="2"/>
      <c r="S196" s="2"/>
      <c r="T196" s="2"/>
      <c r="U196" s="2"/>
      <c r="V196" s="2"/>
      <c r="W196" s="2"/>
    </row>
    <row r="197" spans="6:23" ht="15.5" x14ac:dyDescent="0.35">
      <c r="F197" s="2"/>
      <c r="G197" s="2"/>
      <c r="H197" s="2"/>
      <c r="I197" s="2"/>
      <c r="J197" s="2"/>
      <c r="K197" s="2"/>
      <c r="L197" s="2"/>
      <c r="M197" s="2"/>
      <c r="N197" s="33"/>
      <c r="O197" s="2"/>
      <c r="P197" s="2"/>
      <c r="Q197" s="2"/>
      <c r="R197" s="2"/>
      <c r="S197" s="2"/>
      <c r="T197" s="2"/>
      <c r="U197" s="2"/>
      <c r="V197" s="2"/>
      <c r="W197" s="2"/>
    </row>
    <row r="198" spans="6:23" ht="15.5" x14ac:dyDescent="0.35">
      <c r="F198" s="2"/>
      <c r="G198" s="2"/>
      <c r="H198" s="2"/>
      <c r="I198" s="2"/>
      <c r="J198" s="2"/>
      <c r="K198" s="2"/>
      <c r="L198" s="2"/>
      <c r="M198" s="2"/>
      <c r="N198" s="33"/>
      <c r="O198" s="2"/>
      <c r="P198" s="2"/>
      <c r="Q198" s="2"/>
      <c r="R198" s="2"/>
      <c r="S198" s="2"/>
      <c r="T198" s="2"/>
      <c r="U198" s="2"/>
      <c r="V198" s="2"/>
      <c r="W198" s="2"/>
    </row>
    <row r="199" spans="6:23" ht="15.5" x14ac:dyDescent="0.35">
      <c r="F199" s="2"/>
      <c r="G199" s="2"/>
      <c r="H199" s="2"/>
      <c r="I199" s="2"/>
      <c r="J199" s="2"/>
      <c r="K199" s="2"/>
      <c r="L199" s="2"/>
      <c r="M199" s="2"/>
      <c r="N199" s="33"/>
      <c r="O199" s="2"/>
      <c r="P199" s="2"/>
      <c r="Q199" s="2"/>
      <c r="R199" s="2"/>
      <c r="S199" s="2"/>
      <c r="T199" s="2"/>
      <c r="U199" s="2"/>
      <c r="V199" s="2"/>
      <c r="W199" s="2"/>
    </row>
    <row r="200" spans="6:23" ht="15.5" x14ac:dyDescent="0.35">
      <c r="F200" s="2"/>
      <c r="G200" s="2"/>
      <c r="H200" s="2"/>
      <c r="I200" s="2"/>
      <c r="J200" s="2"/>
      <c r="K200" s="2"/>
      <c r="L200" s="2"/>
      <c r="M200" s="2"/>
      <c r="N200" s="33"/>
      <c r="O200" s="2"/>
      <c r="P200" s="2"/>
      <c r="Q200" s="2"/>
      <c r="R200" s="2"/>
      <c r="S200" s="2"/>
      <c r="T200" s="2"/>
      <c r="U200" s="2"/>
      <c r="V200" s="2"/>
      <c r="W200" s="2"/>
    </row>
    <row r="201" spans="6:23" ht="15.5" x14ac:dyDescent="0.35">
      <c r="F201" s="2"/>
      <c r="G201" s="2"/>
      <c r="H201" s="2"/>
      <c r="I201" s="2"/>
      <c r="J201" s="2"/>
      <c r="K201" s="2"/>
      <c r="L201" s="2"/>
      <c r="M201" s="2"/>
      <c r="N201" s="33"/>
      <c r="O201" s="2"/>
      <c r="P201" s="2"/>
      <c r="Q201" s="2"/>
      <c r="R201" s="2"/>
      <c r="S201" s="2"/>
      <c r="T201" s="2"/>
      <c r="U201" s="2"/>
      <c r="V201" s="2"/>
      <c r="W201" s="2"/>
    </row>
    <row r="202" spans="6:23" ht="15.5" x14ac:dyDescent="0.35">
      <c r="F202" s="2"/>
      <c r="G202" s="2"/>
      <c r="H202" s="2"/>
      <c r="I202" s="2"/>
      <c r="J202" s="2"/>
      <c r="K202" s="2"/>
      <c r="L202" s="2"/>
      <c r="M202" s="2"/>
      <c r="N202" s="33"/>
      <c r="O202" s="2"/>
      <c r="P202" s="2"/>
      <c r="Q202" s="2"/>
      <c r="R202" s="2"/>
      <c r="S202" s="2"/>
      <c r="T202" s="2"/>
      <c r="U202" s="2"/>
      <c r="V202" s="2"/>
      <c r="W202" s="2"/>
    </row>
    <row r="203" spans="6:23" ht="15.5" x14ac:dyDescent="0.35">
      <c r="F203" s="2"/>
      <c r="G203" s="2"/>
      <c r="H203" s="2"/>
      <c r="I203" s="2"/>
      <c r="J203" s="2"/>
      <c r="K203" s="2"/>
      <c r="L203" s="2"/>
      <c r="M203" s="2"/>
      <c r="N203" s="33"/>
      <c r="O203" s="2"/>
      <c r="P203" s="2"/>
      <c r="Q203" s="2"/>
      <c r="R203" s="2"/>
      <c r="S203" s="2"/>
      <c r="T203" s="2"/>
      <c r="U203" s="2"/>
      <c r="V203" s="2"/>
      <c r="W203" s="2"/>
    </row>
    <row r="204" spans="6:23" ht="15.5" x14ac:dyDescent="0.35">
      <c r="F204" s="2"/>
      <c r="G204" s="2"/>
      <c r="H204" s="2"/>
      <c r="I204" s="2"/>
      <c r="J204" s="2"/>
      <c r="K204" s="2"/>
      <c r="L204" s="2"/>
      <c r="M204" s="2"/>
      <c r="N204" s="33"/>
      <c r="O204" s="2"/>
      <c r="P204" s="2"/>
      <c r="Q204" s="2"/>
      <c r="R204" s="2"/>
      <c r="S204" s="2"/>
      <c r="T204" s="2"/>
      <c r="U204" s="2"/>
      <c r="V204" s="2"/>
      <c r="W204" s="2"/>
    </row>
    <row r="205" spans="6:23" ht="15.5" x14ac:dyDescent="0.35">
      <c r="F205" s="2"/>
      <c r="G205" s="2"/>
      <c r="H205" s="2"/>
      <c r="I205" s="2"/>
      <c r="J205" s="2"/>
      <c r="K205" s="2"/>
      <c r="L205" s="2"/>
      <c r="M205" s="2"/>
      <c r="N205" s="33"/>
      <c r="O205" s="2"/>
      <c r="P205" s="2"/>
      <c r="Q205" s="2"/>
      <c r="R205" s="2"/>
      <c r="S205" s="2"/>
      <c r="T205" s="2"/>
      <c r="U205" s="2"/>
      <c r="V205" s="2"/>
      <c r="W205" s="2"/>
    </row>
    <row r="206" spans="6:23" ht="15.5" x14ac:dyDescent="0.35">
      <c r="F206" s="2"/>
      <c r="G206" s="2"/>
      <c r="H206" s="2"/>
      <c r="I206" s="2"/>
      <c r="J206" s="2"/>
      <c r="K206" s="2"/>
      <c r="L206" s="2"/>
      <c r="M206" s="2"/>
      <c r="N206" s="33"/>
      <c r="O206" s="2"/>
      <c r="P206" s="2"/>
      <c r="Q206" s="2"/>
      <c r="R206" s="2"/>
      <c r="S206" s="2"/>
      <c r="T206" s="2"/>
      <c r="U206" s="2"/>
      <c r="V206" s="2"/>
      <c r="W206" s="2"/>
    </row>
    <row r="207" spans="6:23" ht="15.5" x14ac:dyDescent="0.35">
      <c r="F207" s="2"/>
      <c r="G207" s="2"/>
      <c r="H207" s="2"/>
      <c r="I207" s="2"/>
      <c r="J207" s="2"/>
      <c r="K207" s="2"/>
      <c r="L207" s="2"/>
      <c r="M207" s="2"/>
      <c r="N207" s="33"/>
      <c r="O207" s="2"/>
      <c r="P207" s="2"/>
      <c r="Q207" s="2"/>
      <c r="R207" s="2"/>
      <c r="S207" s="2"/>
      <c r="T207" s="2"/>
      <c r="U207" s="2"/>
      <c r="V207" s="2"/>
      <c r="W207" s="2"/>
    </row>
    <row r="208" spans="6:23" ht="15.5" x14ac:dyDescent="0.35">
      <c r="F208" s="2"/>
      <c r="G208" s="2"/>
      <c r="H208" s="2"/>
      <c r="I208" s="2"/>
      <c r="J208" s="2"/>
      <c r="K208" s="2"/>
      <c r="L208" s="2"/>
      <c r="M208" s="2"/>
      <c r="N208" s="33"/>
      <c r="O208" s="2"/>
      <c r="P208" s="2"/>
      <c r="Q208" s="2"/>
      <c r="R208" s="2"/>
      <c r="S208" s="2"/>
      <c r="T208" s="2"/>
      <c r="U208" s="2"/>
      <c r="V208" s="2"/>
      <c r="W208" s="2"/>
    </row>
    <row r="209" spans="6:23" ht="15.5" x14ac:dyDescent="0.35">
      <c r="F209" s="2"/>
      <c r="G209" s="2"/>
      <c r="H209" s="2"/>
      <c r="I209" s="2"/>
      <c r="J209" s="2"/>
      <c r="K209" s="2"/>
      <c r="L209" s="2"/>
      <c r="M209" s="2"/>
      <c r="N209" s="33"/>
      <c r="O209" s="2"/>
      <c r="P209" s="2"/>
      <c r="Q209" s="2"/>
      <c r="R209" s="2"/>
      <c r="S209" s="2"/>
      <c r="T209" s="2"/>
      <c r="U209" s="2"/>
      <c r="V209" s="2"/>
      <c r="W209" s="2"/>
    </row>
    <row r="210" spans="6:23" ht="15.5" x14ac:dyDescent="0.35">
      <c r="F210" s="2"/>
      <c r="G210" s="2"/>
      <c r="H210" s="2"/>
      <c r="I210" s="2"/>
      <c r="J210" s="2"/>
      <c r="K210" s="2"/>
      <c r="L210" s="2"/>
      <c r="M210" s="2"/>
      <c r="N210" s="33"/>
      <c r="O210" s="2"/>
      <c r="P210" s="2"/>
      <c r="Q210" s="2"/>
      <c r="R210" s="2"/>
      <c r="S210" s="2"/>
      <c r="T210" s="2"/>
      <c r="U210" s="2"/>
      <c r="V210" s="2"/>
      <c r="W210" s="2"/>
    </row>
    <row r="211" spans="6:23" ht="15.5" x14ac:dyDescent="0.35">
      <c r="F211" s="2"/>
      <c r="G211" s="2"/>
      <c r="H211" s="2"/>
      <c r="I211" s="2"/>
      <c r="J211" s="2"/>
      <c r="K211" s="2"/>
      <c r="L211" s="2"/>
      <c r="M211" s="2"/>
      <c r="N211" s="33"/>
      <c r="O211" s="2"/>
      <c r="P211" s="2"/>
      <c r="Q211" s="2"/>
      <c r="R211" s="2"/>
      <c r="S211" s="2"/>
      <c r="T211" s="2"/>
      <c r="U211" s="2"/>
      <c r="V211" s="2"/>
      <c r="W211" s="2"/>
    </row>
    <row r="212" spans="6:23" ht="15.5" x14ac:dyDescent="0.35">
      <c r="F212" s="2"/>
      <c r="G212" s="2"/>
      <c r="H212" s="2"/>
      <c r="I212" s="2"/>
      <c r="J212" s="2"/>
      <c r="K212" s="2"/>
      <c r="L212" s="2"/>
      <c r="M212" s="2"/>
      <c r="N212" s="33"/>
      <c r="O212" s="2"/>
      <c r="P212" s="2"/>
      <c r="Q212" s="2"/>
      <c r="R212" s="2"/>
      <c r="S212" s="2"/>
      <c r="T212" s="2"/>
      <c r="U212" s="2"/>
      <c r="V212" s="2"/>
      <c r="W212" s="2"/>
    </row>
    <row r="213" spans="6:23" ht="15.5" x14ac:dyDescent="0.35">
      <c r="F213" s="2"/>
      <c r="G213" s="2"/>
      <c r="H213" s="2"/>
      <c r="I213" s="2"/>
      <c r="J213" s="2"/>
      <c r="K213" s="2"/>
      <c r="L213" s="2"/>
      <c r="M213" s="2"/>
      <c r="N213" s="33"/>
      <c r="O213" s="2"/>
      <c r="P213" s="2"/>
      <c r="Q213" s="2"/>
      <c r="R213" s="2"/>
      <c r="S213" s="2"/>
      <c r="T213" s="2"/>
      <c r="U213" s="2"/>
      <c r="V213" s="2"/>
      <c r="W213" s="2"/>
    </row>
    <row r="214" spans="6:23" ht="15.5" x14ac:dyDescent="0.35">
      <c r="F214" s="2"/>
      <c r="G214" s="2"/>
      <c r="H214" s="2"/>
      <c r="I214" s="2"/>
      <c r="J214" s="2"/>
      <c r="K214" s="2"/>
      <c r="L214" s="2"/>
      <c r="M214" s="2"/>
      <c r="N214" s="33"/>
      <c r="O214" s="2"/>
      <c r="P214" s="2"/>
      <c r="Q214" s="2"/>
      <c r="R214" s="2"/>
      <c r="S214" s="2"/>
      <c r="T214" s="2"/>
      <c r="U214" s="2"/>
      <c r="V214" s="2"/>
      <c r="W214" s="2"/>
    </row>
    <row r="215" spans="6:23" ht="15.5" x14ac:dyDescent="0.35">
      <c r="F215" s="2"/>
      <c r="G215" s="2"/>
      <c r="H215" s="2"/>
      <c r="I215" s="2"/>
      <c r="J215" s="2"/>
      <c r="K215" s="2"/>
      <c r="L215" s="2"/>
      <c r="M215" s="2"/>
      <c r="N215" s="33"/>
      <c r="O215" s="2"/>
      <c r="P215" s="2"/>
      <c r="Q215" s="2"/>
      <c r="R215" s="2"/>
      <c r="S215" s="2"/>
      <c r="T215" s="2"/>
      <c r="U215" s="2"/>
      <c r="V215" s="2"/>
      <c r="W215" s="2"/>
    </row>
    <row r="216" spans="6:23" ht="15.5" x14ac:dyDescent="0.35">
      <c r="F216" s="2"/>
      <c r="G216" s="2"/>
      <c r="H216" s="2"/>
      <c r="I216" s="2"/>
      <c r="J216" s="2"/>
      <c r="K216" s="2"/>
      <c r="L216" s="2"/>
      <c r="M216" s="2"/>
      <c r="N216" s="33"/>
      <c r="O216" s="2"/>
      <c r="P216" s="2"/>
      <c r="Q216" s="2"/>
      <c r="R216" s="2"/>
      <c r="S216" s="2"/>
      <c r="T216" s="2"/>
      <c r="U216" s="2"/>
      <c r="V216" s="2"/>
      <c r="W216" s="2"/>
    </row>
    <row r="217" spans="6:23" ht="15.5" x14ac:dyDescent="0.35">
      <c r="F217" s="2"/>
      <c r="G217" s="2"/>
      <c r="H217" s="2"/>
      <c r="I217" s="2"/>
      <c r="J217" s="2"/>
      <c r="K217" s="2"/>
      <c r="L217" s="2"/>
      <c r="M217" s="2"/>
      <c r="N217" s="33"/>
      <c r="O217" s="2"/>
      <c r="P217" s="2"/>
      <c r="Q217" s="2"/>
      <c r="R217" s="2"/>
      <c r="S217" s="2"/>
      <c r="T217" s="2"/>
      <c r="U217" s="2"/>
      <c r="V217" s="2"/>
      <c r="W217" s="2"/>
    </row>
    <row r="218" spans="6:23" ht="15.5" x14ac:dyDescent="0.35">
      <c r="F218" s="2"/>
      <c r="G218" s="2"/>
      <c r="H218" s="2"/>
      <c r="I218" s="2"/>
      <c r="J218" s="2"/>
      <c r="K218" s="2"/>
      <c r="L218" s="2"/>
      <c r="M218" s="2"/>
      <c r="N218" s="33"/>
      <c r="O218" s="2"/>
      <c r="P218" s="2"/>
      <c r="Q218" s="2"/>
      <c r="R218" s="2"/>
      <c r="S218" s="2"/>
      <c r="T218" s="2"/>
      <c r="U218" s="2"/>
      <c r="V218" s="2"/>
      <c r="W218" s="2"/>
    </row>
    <row r="219" spans="6:23" ht="15.5" x14ac:dyDescent="0.35">
      <c r="F219" s="2"/>
      <c r="G219" s="2"/>
      <c r="H219" s="2"/>
      <c r="I219" s="2"/>
      <c r="J219" s="2"/>
      <c r="K219" s="2"/>
      <c r="L219" s="2"/>
      <c r="M219" s="2"/>
      <c r="N219" s="33"/>
      <c r="O219" s="2"/>
      <c r="P219" s="2"/>
      <c r="Q219" s="2"/>
      <c r="R219" s="2"/>
      <c r="S219" s="2"/>
      <c r="T219" s="2"/>
      <c r="U219" s="2"/>
      <c r="V219" s="2"/>
      <c r="W219" s="2"/>
    </row>
    <row r="220" spans="6:23" ht="15.5" x14ac:dyDescent="0.35">
      <c r="F220" s="2"/>
      <c r="G220" s="2"/>
      <c r="H220" s="2"/>
      <c r="I220" s="2"/>
      <c r="J220" s="2"/>
      <c r="K220" s="2"/>
      <c r="L220" s="2"/>
      <c r="M220" s="2"/>
      <c r="N220" s="33"/>
      <c r="O220" s="2"/>
      <c r="P220" s="2"/>
      <c r="Q220" s="2"/>
      <c r="R220" s="2"/>
      <c r="S220" s="2"/>
      <c r="T220" s="2"/>
      <c r="U220" s="2"/>
      <c r="V220" s="2"/>
      <c r="W220" s="2"/>
    </row>
    <row r="221" spans="6:23" ht="15.5" x14ac:dyDescent="0.35">
      <c r="F221" s="2"/>
      <c r="G221" s="2"/>
      <c r="H221" s="2"/>
      <c r="I221" s="2"/>
      <c r="J221" s="2"/>
      <c r="K221" s="2"/>
      <c r="L221" s="2"/>
      <c r="M221" s="2"/>
      <c r="N221" s="33"/>
      <c r="O221" s="2"/>
      <c r="P221" s="2"/>
      <c r="Q221" s="2"/>
      <c r="R221" s="2"/>
      <c r="S221" s="2"/>
      <c r="T221" s="2"/>
      <c r="U221" s="2"/>
      <c r="V221" s="2"/>
      <c r="W221" s="2"/>
    </row>
    <row r="222" spans="6:23" ht="15.5" x14ac:dyDescent="0.35">
      <c r="F222" s="2"/>
      <c r="G222" s="2"/>
      <c r="H222" s="2"/>
      <c r="I222" s="2"/>
      <c r="J222" s="2"/>
      <c r="K222" s="2"/>
      <c r="L222" s="2"/>
      <c r="M222" s="2"/>
      <c r="N222" s="33"/>
      <c r="O222" s="2"/>
      <c r="P222" s="2"/>
      <c r="Q222" s="2"/>
      <c r="R222" s="2"/>
      <c r="S222" s="2"/>
      <c r="T222" s="2"/>
      <c r="U222" s="2"/>
      <c r="V222" s="2"/>
      <c r="W222" s="2"/>
    </row>
    <row r="223" spans="6:23" ht="15.5" x14ac:dyDescent="0.35">
      <c r="F223" s="2"/>
      <c r="G223" s="2"/>
      <c r="H223" s="2"/>
      <c r="I223" s="2"/>
      <c r="J223" s="2"/>
      <c r="K223" s="2"/>
      <c r="L223" s="2"/>
      <c r="M223" s="2"/>
      <c r="N223" s="33"/>
      <c r="O223" s="2"/>
      <c r="P223" s="2"/>
      <c r="Q223" s="2"/>
      <c r="R223" s="2"/>
      <c r="S223" s="2"/>
      <c r="T223" s="2"/>
      <c r="U223" s="2"/>
      <c r="V223" s="2"/>
      <c r="W223" s="2"/>
    </row>
    <row r="224" spans="6:23" ht="15.5" x14ac:dyDescent="0.35">
      <c r="F224" s="2"/>
      <c r="G224" s="2"/>
      <c r="H224" s="2"/>
      <c r="I224" s="2"/>
      <c r="J224" s="2"/>
      <c r="K224" s="2"/>
      <c r="L224" s="2"/>
      <c r="M224" s="2"/>
      <c r="N224" s="33"/>
      <c r="O224" s="2"/>
      <c r="P224" s="2"/>
      <c r="Q224" s="2"/>
      <c r="R224" s="2"/>
      <c r="S224" s="2"/>
      <c r="T224" s="2"/>
      <c r="U224" s="2"/>
      <c r="V224" s="2"/>
      <c r="W224" s="2"/>
    </row>
    <row r="225" spans="6:23" ht="15.5" x14ac:dyDescent="0.35">
      <c r="F225" s="2"/>
      <c r="G225" s="2"/>
      <c r="H225" s="2"/>
      <c r="I225" s="2"/>
      <c r="J225" s="2"/>
      <c r="K225" s="2"/>
      <c r="L225" s="2"/>
      <c r="M225" s="2"/>
      <c r="N225" s="33"/>
      <c r="O225" s="2"/>
      <c r="P225" s="2"/>
      <c r="Q225" s="2"/>
      <c r="R225" s="2"/>
      <c r="S225" s="2"/>
      <c r="T225" s="2"/>
      <c r="U225" s="2"/>
      <c r="V225" s="2"/>
      <c r="W225" s="2"/>
    </row>
    <row r="226" spans="6:23" ht="15.5" x14ac:dyDescent="0.35">
      <c r="F226" s="2"/>
      <c r="G226" s="2"/>
      <c r="H226" s="2"/>
      <c r="I226" s="2"/>
      <c r="J226" s="2"/>
      <c r="K226" s="2"/>
      <c r="L226" s="2"/>
      <c r="M226" s="2"/>
      <c r="N226" s="33"/>
      <c r="O226" s="2"/>
      <c r="P226" s="2"/>
      <c r="Q226" s="2"/>
      <c r="R226" s="2"/>
      <c r="S226" s="2"/>
      <c r="T226" s="2"/>
      <c r="U226" s="2"/>
      <c r="V226" s="2"/>
      <c r="W226" s="2"/>
    </row>
    <row r="227" spans="6:23" ht="15.5" x14ac:dyDescent="0.35">
      <c r="F227" s="2"/>
      <c r="G227" s="2"/>
      <c r="H227" s="2"/>
      <c r="I227" s="2"/>
      <c r="J227" s="2"/>
      <c r="K227" s="2"/>
      <c r="L227" s="2"/>
      <c r="M227" s="2"/>
      <c r="N227" s="33"/>
      <c r="O227" s="2"/>
      <c r="P227" s="2"/>
      <c r="Q227" s="2"/>
      <c r="R227" s="2"/>
      <c r="S227" s="2"/>
      <c r="T227" s="2"/>
      <c r="U227" s="2"/>
      <c r="V227" s="2"/>
      <c r="W227" s="2"/>
    </row>
    <row r="228" spans="6:23" ht="15.5" x14ac:dyDescent="0.35">
      <c r="F228" s="2"/>
      <c r="G228" s="2"/>
      <c r="H228" s="2"/>
      <c r="I228" s="2"/>
      <c r="J228" s="2"/>
      <c r="K228" s="2"/>
      <c r="L228" s="2"/>
      <c r="M228" s="2"/>
      <c r="N228" s="33"/>
      <c r="O228" s="2"/>
      <c r="P228" s="2"/>
      <c r="Q228" s="2"/>
      <c r="R228" s="2"/>
      <c r="S228" s="2"/>
      <c r="T228" s="2"/>
      <c r="U228" s="2"/>
      <c r="V228" s="2"/>
      <c r="W228" s="2"/>
    </row>
    <row r="229" spans="6:23" ht="15.5" x14ac:dyDescent="0.35">
      <c r="F229" s="2"/>
      <c r="G229" s="2"/>
      <c r="H229" s="2"/>
      <c r="I229" s="2"/>
      <c r="J229" s="2"/>
      <c r="K229" s="2"/>
      <c r="L229" s="2"/>
      <c r="M229" s="2"/>
      <c r="N229" s="33"/>
      <c r="O229" s="2"/>
      <c r="P229" s="2"/>
      <c r="Q229" s="2"/>
      <c r="R229" s="2"/>
      <c r="S229" s="2"/>
      <c r="T229" s="2"/>
      <c r="U229" s="2"/>
      <c r="V229" s="2"/>
      <c r="W229" s="2"/>
    </row>
    <row r="230" spans="6:23" ht="15.5" x14ac:dyDescent="0.35">
      <c r="F230" s="2"/>
      <c r="G230" s="2"/>
      <c r="H230" s="2"/>
      <c r="I230" s="2"/>
      <c r="J230" s="2"/>
      <c r="K230" s="2"/>
      <c r="L230" s="2"/>
      <c r="M230" s="2"/>
      <c r="N230" s="33"/>
      <c r="O230" s="2"/>
      <c r="P230" s="2"/>
      <c r="Q230" s="2"/>
      <c r="R230" s="2"/>
      <c r="S230" s="2"/>
      <c r="T230" s="2"/>
      <c r="U230" s="2"/>
      <c r="V230" s="2"/>
      <c r="W230" s="2"/>
    </row>
    <row r="231" spans="6:23" ht="15.5" x14ac:dyDescent="0.35">
      <c r="F231" s="2"/>
      <c r="G231" s="2"/>
      <c r="H231" s="2"/>
      <c r="I231" s="2"/>
      <c r="J231" s="2"/>
      <c r="K231" s="2"/>
      <c r="L231" s="2"/>
      <c r="M231" s="2"/>
      <c r="N231" s="33"/>
      <c r="O231" s="2"/>
      <c r="P231" s="2"/>
      <c r="Q231" s="2"/>
      <c r="R231" s="2"/>
      <c r="S231" s="2"/>
      <c r="T231" s="2"/>
      <c r="U231" s="2"/>
      <c r="V231" s="2"/>
      <c r="W231" s="2"/>
    </row>
    <row r="232" spans="6:23" ht="15.5" x14ac:dyDescent="0.35">
      <c r="F232" s="2"/>
      <c r="G232" s="2"/>
      <c r="H232" s="2"/>
      <c r="I232" s="2"/>
      <c r="J232" s="2"/>
      <c r="K232" s="2"/>
      <c r="L232" s="2"/>
      <c r="M232" s="2"/>
      <c r="N232" s="33"/>
      <c r="O232" s="2"/>
      <c r="P232" s="2"/>
      <c r="Q232" s="2"/>
      <c r="R232" s="2"/>
      <c r="S232" s="2"/>
      <c r="T232" s="2"/>
      <c r="U232" s="2"/>
      <c r="V232" s="2"/>
      <c r="W232" s="2"/>
    </row>
    <row r="233" spans="6:23" ht="15.5" x14ac:dyDescent="0.35">
      <c r="F233" s="2"/>
      <c r="G233" s="2"/>
      <c r="H233" s="2"/>
      <c r="I233" s="2"/>
      <c r="J233" s="2"/>
      <c r="K233" s="2"/>
      <c r="L233" s="2"/>
      <c r="M233" s="2"/>
      <c r="N233" s="33"/>
      <c r="O233" s="2"/>
      <c r="P233" s="2"/>
      <c r="Q233" s="2"/>
      <c r="R233" s="2"/>
      <c r="S233" s="2"/>
      <c r="T233" s="2"/>
      <c r="U233" s="2"/>
      <c r="V233" s="2"/>
      <c r="W233" s="2"/>
    </row>
    <row r="234" spans="6:23" ht="15.5" x14ac:dyDescent="0.35">
      <c r="F234" s="2"/>
      <c r="G234" s="2"/>
      <c r="H234" s="2"/>
      <c r="I234" s="2"/>
      <c r="J234" s="2"/>
      <c r="K234" s="2"/>
      <c r="L234" s="2"/>
      <c r="M234" s="2"/>
      <c r="N234" s="33"/>
      <c r="O234" s="2"/>
      <c r="P234" s="2"/>
      <c r="Q234" s="2"/>
      <c r="R234" s="2"/>
      <c r="S234" s="2"/>
      <c r="T234" s="2"/>
      <c r="U234" s="2"/>
      <c r="V234" s="2"/>
      <c r="W234" s="2"/>
    </row>
    <row r="235" spans="6:23" ht="15.5" x14ac:dyDescent="0.35">
      <c r="F235" s="2"/>
      <c r="G235" s="2"/>
      <c r="H235" s="2"/>
      <c r="I235" s="2"/>
      <c r="J235" s="2"/>
      <c r="K235" s="2"/>
      <c r="L235" s="2"/>
      <c r="M235" s="2"/>
      <c r="N235" s="33"/>
      <c r="O235" s="2"/>
      <c r="P235" s="2"/>
      <c r="Q235" s="2"/>
      <c r="R235" s="2"/>
      <c r="S235" s="2"/>
      <c r="T235" s="2"/>
      <c r="U235" s="2"/>
      <c r="V235" s="2"/>
      <c r="W235" s="2"/>
    </row>
    <row r="236" spans="6:23" ht="15.5" x14ac:dyDescent="0.35">
      <c r="F236" s="2"/>
      <c r="G236" s="2"/>
      <c r="H236" s="2"/>
      <c r="I236" s="2"/>
      <c r="J236" s="2"/>
      <c r="K236" s="2"/>
      <c r="L236" s="2"/>
      <c r="M236" s="2"/>
      <c r="N236" s="33"/>
      <c r="O236" s="2"/>
      <c r="P236" s="2"/>
      <c r="Q236" s="2"/>
      <c r="R236" s="2"/>
      <c r="S236" s="2"/>
      <c r="T236" s="2"/>
      <c r="U236" s="2"/>
      <c r="V236" s="2"/>
      <c r="W236" s="2"/>
    </row>
    <row r="237" spans="6:23" ht="15.5" x14ac:dyDescent="0.35">
      <c r="F237" s="2"/>
      <c r="G237" s="2"/>
      <c r="H237" s="2"/>
      <c r="I237" s="2"/>
      <c r="J237" s="2"/>
      <c r="K237" s="2"/>
      <c r="L237" s="2"/>
      <c r="M237" s="2"/>
      <c r="N237" s="33"/>
      <c r="O237" s="2"/>
      <c r="P237" s="2"/>
      <c r="Q237" s="2"/>
      <c r="R237" s="2"/>
      <c r="S237" s="2"/>
      <c r="T237" s="2"/>
      <c r="U237" s="2"/>
      <c r="V237" s="2"/>
      <c r="W237" s="2"/>
    </row>
    <row r="238" spans="6:23" ht="15.5" x14ac:dyDescent="0.35">
      <c r="F238" s="2"/>
      <c r="G238" s="2"/>
      <c r="H238" s="2"/>
      <c r="I238" s="2"/>
      <c r="J238" s="2"/>
      <c r="K238" s="2"/>
      <c r="L238" s="2"/>
      <c r="M238" s="2"/>
      <c r="N238" s="33"/>
      <c r="O238" s="2"/>
      <c r="P238" s="2"/>
      <c r="Q238" s="2"/>
      <c r="R238" s="2"/>
      <c r="S238" s="2"/>
      <c r="T238" s="2"/>
      <c r="U238" s="2"/>
      <c r="V238" s="2"/>
      <c r="W238" s="2"/>
    </row>
    <row r="239" spans="6:23" ht="15.5" x14ac:dyDescent="0.35">
      <c r="F239" s="2"/>
      <c r="G239" s="2"/>
      <c r="H239" s="2"/>
      <c r="I239" s="2"/>
      <c r="J239" s="2"/>
      <c r="K239" s="2"/>
      <c r="L239" s="2"/>
      <c r="M239" s="2"/>
      <c r="N239" s="33"/>
      <c r="O239" s="2"/>
      <c r="P239" s="2"/>
      <c r="Q239" s="2"/>
      <c r="R239" s="2"/>
      <c r="S239" s="2"/>
      <c r="T239" s="2"/>
      <c r="U239" s="2"/>
      <c r="V239" s="2"/>
      <c r="W239" s="2"/>
    </row>
    <row r="240" spans="6:23" ht="15.5" x14ac:dyDescent="0.35">
      <c r="F240" s="2"/>
      <c r="G240" s="2"/>
      <c r="H240" s="2"/>
      <c r="I240" s="2"/>
      <c r="J240" s="2"/>
      <c r="K240" s="2"/>
      <c r="L240" s="2"/>
      <c r="M240" s="2"/>
      <c r="N240" s="33"/>
      <c r="O240" s="2"/>
      <c r="P240" s="2"/>
      <c r="Q240" s="2"/>
      <c r="R240" s="2"/>
      <c r="S240" s="2"/>
      <c r="T240" s="2"/>
      <c r="U240" s="2"/>
      <c r="V240" s="2"/>
      <c r="W240" s="2"/>
    </row>
    <row r="241" spans="6:23" ht="15.5" x14ac:dyDescent="0.35">
      <c r="F241" s="2"/>
      <c r="G241" s="2"/>
      <c r="H241" s="2"/>
      <c r="I241" s="2"/>
      <c r="J241" s="2"/>
      <c r="K241" s="2"/>
      <c r="L241" s="2"/>
      <c r="M241" s="2"/>
      <c r="N241" s="33"/>
      <c r="O241" s="2"/>
      <c r="P241" s="2"/>
      <c r="Q241" s="2"/>
      <c r="R241" s="2"/>
      <c r="S241" s="2"/>
      <c r="T241" s="2"/>
      <c r="U241" s="2"/>
      <c r="V241" s="2"/>
      <c r="W241" s="2"/>
    </row>
    <row r="242" spans="6:23" ht="15.5" x14ac:dyDescent="0.35">
      <c r="F242" s="2"/>
      <c r="G242" s="2"/>
      <c r="H242" s="2"/>
      <c r="I242" s="2"/>
      <c r="J242" s="2"/>
      <c r="K242" s="2"/>
      <c r="L242" s="2"/>
      <c r="M242" s="2"/>
      <c r="N242" s="33"/>
      <c r="O242" s="2"/>
      <c r="P242" s="2"/>
      <c r="Q242" s="2"/>
      <c r="R242" s="2"/>
      <c r="S242" s="2"/>
      <c r="T242" s="2"/>
      <c r="U242" s="2"/>
      <c r="V242" s="2"/>
      <c r="W242" s="2"/>
    </row>
    <row r="243" spans="6:23" ht="15.5" x14ac:dyDescent="0.35">
      <c r="F243" s="2"/>
      <c r="G243" s="2"/>
      <c r="H243" s="2"/>
      <c r="I243" s="2"/>
      <c r="J243" s="2"/>
      <c r="K243" s="2"/>
      <c r="L243" s="2"/>
      <c r="M243" s="2"/>
      <c r="N243" s="33"/>
      <c r="O243" s="2"/>
      <c r="P243" s="2"/>
      <c r="Q243" s="2"/>
      <c r="R243" s="2"/>
      <c r="S243" s="2"/>
      <c r="T243" s="2"/>
      <c r="U243" s="2"/>
      <c r="V243" s="2"/>
      <c r="W243" s="2"/>
    </row>
    <row r="244" spans="6:23" ht="15.5" x14ac:dyDescent="0.35">
      <c r="F244" s="2"/>
      <c r="G244" s="2"/>
      <c r="H244" s="2"/>
      <c r="I244" s="2"/>
      <c r="J244" s="2"/>
      <c r="K244" s="2"/>
      <c r="L244" s="2"/>
      <c r="M244" s="2"/>
      <c r="N244" s="33"/>
      <c r="O244" s="2"/>
      <c r="P244" s="2"/>
      <c r="Q244" s="2"/>
      <c r="R244" s="2"/>
      <c r="S244" s="2"/>
      <c r="T244" s="2"/>
      <c r="U244" s="2"/>
      <c r="V244" s="2"/>
      <c r="W244" s="2"/>
    </row>
    <row r="245" spans="6:23" ht="15.5" x14ac:dyDescent="0.35">
      <c r="F245" s="2"/>
      <c r="G245" s="2"/>
      <c r="H245" s="2"/>
      <c r="I245" s="2"/>
      <c r="J245" s="2"/>
      <c r="K245" s="2"/>
      <c r="L245" s="2"/>
      <c r="M245" s="2"/>
      <c r="N245" s="33"/>
      <c r="O245" s="2"/>
      <c r="P245" s="2"/>
      <c r="Q245" s="2"/>
      <c r="R245" s="2"/>
      <c r="S245" s="2"/>
      <c r="T245" s="2"/>
      <c r="U245" s="2"/>
      <c r="V245" s="2"/>
      <c r="W245" s="2"/>
    </row>
    <row r="246" spans="6:23" ht="15.5" x14ac:dyDescent="0.35">
      <c r="F246" s="2"/>
      <c r="G246" s="2"/>
      <c r="H246" s="2"/>
      <c r="I246" s="2"/>
      <c r="J246" s="2"/>
      <c r="K246" s="2"/>
      <c r="L246" s="2"/>
      <c r="M246" s="2"/>
      <c r="N246" s="33"/>
      <c r="O246" s="2"/>
      <c r="P246" s="2"/>
      <c r="Q246" s="2"/>
      <c r="R246" s="2"/>
      <c r="S246" s="2"/>
      <c r="T246" s="2"/>
      <c r="U246" s="2"/>
      <c r="V246" s="2"/>
      <c r="W246" s="2"/>
    </row>
    <row r="247" spans="6:23" ht="15.5" x14ac:dyDescent="0.35">
      <c r="F247" s="2"/>
      <c r="G247" s="2"/>
      <c r="H247" s="2"/>
      <c r="I247" s="2"/>
      <c r="J247" s="2"/>
      <c r="K247" s="2"/>
      <c r="L247" s="2"/>
      <c r="M247" s="2"/>
      <c r="N247" s="33"/>
      <c r="O247" s="2"/>
      <c r="P247" s="2"/>
      <c r="Q247" s="2"/>
      <c r="R247" s="2"/>
      <c r="S247" s="2"/>
      <c r="T247" s="2"/>
      <c r="U247" s="2"/>
      <c r="V247" s="2"/>
      <c r="W247" s="2"/>
    </row>
    <row r="248" spans="6:23" ht="15.5" x14ac:dyDescent="0.35">
      <c r="F248" s="2"/>
      <c r="G248" s="2"/>
      <c r="H248" s="2"/>
      <c r="I248" s="2"/>
      <c r="J248" s="2"/>
      <c r="K248" s="2"/>
      <c r="L248" s="2"/>
      <c r="M248" s="2"/>
      <c r="N248" s="33"/>
      <c r="O248" s="2"/>
      <c r="P248" s="2"/>
      <c r="Q248" s="2"/>
      <c r="R248" s="2"/>
      <c r="S248" s="2"/>
      <c r="T248" s="2"/>
      <c r="U248" s="2"/>
      <c r="V248" s="2"/>
      <c r="W248" s="2"/>
    </row>
    <row r="249" spans="6:23" ht="15.5" x14ac:dyDescent="0.35">
      <c r="F249" s="2"/>
      <c r="G249" s="2"/>
      <c r="H249" s="2"/>
      <c r="I249" s="2"/>
      <c r="J249" s="2"/>
      <c r="K249" s="2"/>
      <c r="L249" s="2"/>
      <c r="M249" s="2"/>
      <c r="N249" s="33"/>
      <c r="O249" s="2"/>
      <c r="P249" s="2"/>
      <c r="Q249" s="2"/>
      <c r="R249" s="2"/>
      <c r="S249" s="2"/>
      <c r="T249" s="2"/>
      <c r="U249" s="2"/>
      <c r="V249" s="2"/>
      <c r="W249" s="2"/>
    </row>
    <row r="250" spans="6:23" ht="15.5" x14ac:dyDescent="0.35">
      <c r="F250" s="2"/>
      <c r="G250" s="2"/>
      <c r="H250" s="2"/>
      <c r="I250" s="2"/>
      <c r="J250" s="2"/>
      <c r="K250" s="2"/>
      <c r="L250" s="2"/>
      <c r="M250" s="2"/>
      <c r="N250" s="33"/>
      <c r="O250" s="2"/>
      <c r="P250" s="2"/>
      <c r="Q250" s="2"/>
      <c r="R250" s="2"/>
      <c r="S250" s="2"/>
      <c r="T250" s="2"/>
      <c r="U250" s="2"/>
      <c r="V250" s="2"/>
      <c r="W250" s="2"/>
    </row>
    <row r="251" spans="6:23" ht="15.5" x14ac:dyDescent="0.35">
      <c r="F251" s="2"/>
      <c r="G251" s="2"/>
      <c r="H251" s="2"/>
      <c r="I251" s="2"/>
      <c r="J251" s="2"/>
      <c r="K251" s="2"/>
      <c r="L251" s="2"/>
      <c r="M251" s="2"/>
      <c r="N251" s="33"/>
      <c r="O251" s="2"/>
      <c r="P251" s="2"/>
      <c r="Q251" s="2"/>
      <c r="R251" s="2"/>
      <c r="S251" s="2"/>
      <c r="T251" s="2"/>
      <c r="U251" s="2"/>
      <c r="V251" s="2"/>
      <c r="W251" s="2"/>
    </row>
    <row r="252" spans="6:23" ht="15.5" x14ac:dyDescent="0.35">
      <c r="F252" s="2"/>
      <c r="G252" s="2"/>
      <c r="H252" s="2"/>
      <c r="I252" s="2"/>
      <c r="J252" s="2"/>
      <c r="K252" s="2"/>
      <c r="L252" s="2"/>
      <c r="M252" s="2"/>
      <c r="N252" s="33"/>
      <c r="O252" s="2"/>
      <c r="P252" s="2"/>
      <c r="Q252" s="2"/>
      <c r="R252" s="2"/>
      <c r="S252" s="2"/>
      <c r="T252" s="2"/>
      <c r="U252" s="2"/>
      <c r="V252" s="2"/>
      <c r="W252" s="2"/>
    </row>
    <row r="253" spans="6:23" ht="15.5" x14ac:dyDescent="0.35">
      <c r="F253" s="2"/>
      <c r="G253" s="2"/>
      <c r="H253" s="2"/>
      <c r="I253" s="2"/>
      <c r="J253" s="2"/>
      <c r="K253" s="2"/>
      <c r="L253" s="2"/>
      <c r="M253" s="2"/>
      <c r="N253" s="33"/>
      <c r="O253" s="2"/>
      <c r="P253" s="2"/>
      <c r="Q253" s="2"/>
      <c r="R253" s="2"/>
      <c r="S253" s="2"/>
      <c r="T253" s="2"/>
      <c r="U253" s="2"/>
      <c r="V253" s="2"/>
      <c r="W253" s="2"/>
    </row>
    <row r="254" spans="6:23" ht="15.5" x14ac:dyDescent="0.35">
      <c r="F254" s="2"/>
      <c r="G254" s="2"/>
      <c r="H254" s="2"/>
      <c r="I254" s="2"/>
      <c r="J254" s="2"/>
      <c r="K254" s="2"/>
      <c r="L254" s="2"/>
      <c r="M254" s="2"/>
      <c r="N254" s="33"/>
      <c r="O254" s="2"/>
      <c r="P254" s="2"/>
      <c r="Q254" s="2"/>
      <c r="R254" s="2"/>
      <c r="S254" s="2"/>
      <c r="T254" s="2"/>
      <c r="U254" s="2"/>
      <c r="V254" s="2"/>
      <c r="W254" s="2"/>
    </row>
    <row r="255" spans="6:23" ht="15.5" x14ac:dyDescent="0.35">
      <c r="F255" s="2"/>
      <c r="G255" s="2"/>
      <c r="H255" s="2"/>
      <c r="I255" s="2"/>
      <c r="J255" s="2"/>
      <c r="K255" s="2"/>
      <c r="L255" s="2"/>
      <c r="M255" s="2"/>
      <c r="N255" s="33"/>
      <c r="O255" s="2"/>
      <c r="P255" s="2"/>
      <c r="Q255" s="2"/>
      <c r="R255" s="2"/>
      <c r="S255" s="2"/>
      <c r="T255" s="2"/>
      <c r="U255" s="2"/>
      <c r="V255" s="2"/>
      <c r="W255" s="2"/>
    </row>
    <row r="256" spans="6:23" x14ac:dyDescent="0.35"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6:23" x14ac:dyDescent="0.35"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6:23" x14ac:dyDescent="0.35"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6:23" x14ac:dyDescent="0.35"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6:23" x14ac:dyDescent="0.35"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6:23" x14ac:dyDescent="0.35"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6:23" x14ac:dyDescent="0.35"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6:23" x14ac:dyDescent="0.35"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6:23" x14ac:dyDescent="0.35"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6:23" x14ac:dyDescent="0.35"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6:23" x14ac:dyDescent="0.35"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6:23" x14ac:dyDescent="0.35"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6:23" x14ac:dyDescent="0.35"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6:23" x14ac:dyDescent="0.35"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6:23" x14ac:dyDescent="0.35"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6:23" x14ac:dyDescent="0.35"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6:23" x14ac:dyDescent="0.35"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6:23" x14ac:dyDescent="0.35"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6:23" x14ac:dyDescent="0.35"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6:23" x14ac:dyDescent="0.35"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6:23" x14ac:dyDescent="0.35"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6:23" x14ac:dyDescent="0.35"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6:23" x14ac:dyDescent="0.35"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6:23" x14ac:dyDescent="0.35"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6:23" x14ac:dyDescent="0.35"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6:23" x14ac:dyDescent="0.35"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6:23" x14ac:dyDescent="0.35"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6:23" x14ac:dyDescent="0.35"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6:23" x14ac:dyDescent="0.35"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6:23" x14ac:dyDescent="0.35"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6:23" x14ac:dyDescent="0.35"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6:23" x14ac:dyDescent="0.35"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6:23" x14ac:dyDescent="0.35"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6:23" x14ac:dyDescent="0.35"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6:23" x14ac:dyDescent="0.35"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6:23" x14ac:dyDescent="0.35"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6:23" x14ac:dyDescent="0.35"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6:23" x14ac:dyDescent="0.35"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6:23" x14ac:dyDescent="0.35"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6:23" x14ac:dyDescent="0.35"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6:23" x14ac:dyDescent="0.35"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6:23" x14ac:dyDescent="0.35"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6:23" x14ac:dyDescent="0.35"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6:23" x14ac:dyDescent="0.35"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6:23" x14ac:dyDescent="0.35"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6:23" x14ac:dyDescent="0.35"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6:23" x14ac:dyDescent="0.35"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6:23" x14ac:dyDescent="0.35"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6:23" x14ac:dyDescent="0.35"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6:23" x14ac:dyDescent="0.35"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6:23" x14ac:dyDescent="0.35"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6:23" x14ac:dyDescent="0.35"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6:23" x14ac:dyDescent="0.35"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3"/>
      <c r="W308" s="3"/>
    </row>
    <row r="309" spans="6:23" x14ac:dyDescent="0.35"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3"/>
      <c r="W309" s="2"/>
    </row>
    <row r="310" spans="6:23" x14ac:dyDescent="0.35"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3"/>
      <c r="W310" s="2"/>
    </row>
    <row r="311" spans="6:23" x14ac:dyDescent="0.35"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6:23" x14ac:dyDescent="0.35"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spans="6:23" x14ac:dyDescent="0.35">
      <c r="F313" s="2"/>
      <c r="G313" s="2"/>
      <c r="H313" s="2"/>
      <c r="I313" s="2"/>
      <c r="J313" s="2"/>
      <c r="K313" s="2"/>
      <c r="L313" s="2"/>
      <c r="M313" s="2"/>
    </row>
    <row r="314" spans="6:23" x14ac:dyDescent="0.35">
      <c r="F314" s="2"/>
      <c r="G314" s="2"/>
      <c r="H314" s="2"/>
      <c r="I314" s="2"/>
      <c r="J314" s="2"/>
      <c r="K314" s="2"/>
      <c r="L314" s="2"/>
      <c r="M314" s="2"/>
    </row>
    <row r="315" spans="6:23" x14ac:dyDescent="0.35">
      <c r="F315" s="2"/>
      <c r="G315" s="2"/>
      <c r="H315" s="2"/>
      <c r="I315" s="2"/>
      <c r="J315" s="2"/>
      <c r="K315" s="2"/>
      <c r="L315" s="2"/>
      <c r="M315" s="2"/>
    </row>
  </sheetData>
  <dataConsolidate/>
  <mergeCells count="38">
    <mergeCell ref="B6:M6"/>
    <mergeCell ref="B7:M7"/>
    <mergeCell ref="E13:H13"/>
    <mergeCell ref="E14:H14"/>
    <mergeCell ref="E9:H9"/>
    <mergeCell ref="E10:H10"/>
    <mergeCell ref="E11:H11"/>
    <mergeCell ref="E12:H12"/>
    <mergeCell ref="B1:M1"/>
    <mergeCell ref="B2:M2"/>
    <mergeCell ref="B3:M3"/>
    <mergeCell ref="B4:M4"/>
    <mergeCell ref="B5:M5"/>
    <mergeCell ref="D43:E43"/>
    <mergeCell ref="E22:H22"/>
    <mergeCell ref="E24:H24"/>
    <mergeCell ref="D41:E41"/>
    <mergeCell ref="D40:E40"/>
    <mergeCell ref="D35:E35"/>
    <mergeCell ref="D37:E37"/>
    <mergeCell ref="D38:E38"/>
    <mergeCell ref="D39:E39"/>
    <mergeCell ref="D31:E31"/>
    <mergeCell ref="D33:E33"/>
    <mergeCell ref="D32:E32"/>
    <mergeCell ref="E23:H23"/>
    <mergeCell ref="E25:H25"/>
    <mergeCell ref="E26:H26"/>
    <mergeCell ref="E27:H27"/>
    <mergeCell ref="E15:H15"/>
    <mergeCell ref="E29:H29"/>
    <mergeCell ref="E28:H28"/>
    <mergeCell ref="E18:H18"/>
    <mergeCell ref="E16:H16"/>
    <mergeCell ref="E20:H20"/>
    <mergeCell ref="E21:H21"/>
    <mergeCell ref="E17:H17"/>
    <mergeCell ref="E19:H19"/>
  </mergeCells>
  <conditionalFormatting sqref="D43:E43">
    <cfRule type="cellIs" dxfId="0" priority="1" operator="greaterThan">
      <formula>1</formula>
    </cfRule>
  </conditionalFormatting>
  <dataValidations count="9">
    <dataValidation type="list" allowBlank="1" showInputMessage="1" showErrorMessage="1" sqref="L34 L44">
      <formula1>"0,250,500,750,900,1000"</formula1>
    </dataValidation>
    <dataValidation type="list" allowBlank="1" showDropDown="1" showInputMessage="1" showErrorMessage="1" sqref="K8 K10 K1:K5 L32 K34 M35:M43 J45:J46 K44 K14:K29">
      <formula1>"0,250,500,750,900,1000"</formula1>
    </dataValidation>
    <dataValidation type="list" allowBlank="1" showInputMessage="1" showErrorMessage="1" sqref="M33">
      <formula1>"1000,750,500,0,-500,-1000"</formula1>
    </dataValidation>
    <dataValidation type="decimal" operator="lessThanOrEqual" allowBlank="1" showInputMessage="1" showErrorMessage="1" error="Value cannot be greater than 100%." sqref="D43:E43 D37:E41">
      <formula1>1</formula1>
    </dataValidation>
    <dataValidation type="whole" operator="lessThanOrEqual" allowBlank="1" showInputMessage="1" showErrorMessage="1" error="Position total entered exceeds the maximum value allowed for this criterion. " sqref="E15:H15 E11:H11 E13:H13">
      <formula1>220</formula1>
    </dataValidation>
    <dataValidation type="whole" operator="lessThanOrEqual" allowBlank="1" showInputMessage="1" showErrorMessage="1" error="Position total entered exceeds the maximum value allowed for this criterion. " sqref="E12:H12">
      <formula1>7</formula1>
    </dataValidation>
    <dataValidation type="whole" operator="lessThanOrEqual" allowBlank="1" showInputMessage="1" showErrorMessage="1" error="Position total entered exceeds the maximum value allowed for this criterion. " sqref="E14:H14">
      <formula1>10</formula1>
    </dataValidation>
    <dataValidation type="whole" operator="lessThanOrEqual" allowBlank="1" showInputMessage="1" showErrorMessage="1" error="Position total entered exceeds the maximum value allowed for this criterion. " sqref="E16:H16">
      <formula1>25</formula1>
    </dataValidation>
    <dataValidation type="whole" operator="lessThanOrEqual" allowBlank="1" showInputMessage="1" showErrorMessage="1" error="Position total entered exceeds the maximum value allowed for this criterion. " sqref="E18:H29">
      <formula1>5</formula1>
    </dataValidation>
  </dataValidations>
  <pageMargins left="0.5" right="0.5" top="0.5" bottom="0.5" header="0.3" footer="0.3"/>
  <pageSetup scale="61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7B6CBBEF63454EBB7EA9C870C1C4D4" ma:contentTypeVersion="0" ma:contentTypeDescription="Create a new document." ma:contentTypeScope="" ma:versionID="f6ee378a2fd53fef3c89e19f5fd436cb">
  <xsd:schema xmlns:xsd="http://www.w3.org/2001/XMLSchema" xmlns:xs="http://www.w3.org/2001/XMLSchema" xmlns:p="http://schemas.microsoft.com/office/2006/metadata/properties" xmlns:ns2="7ea821d1-39aa-4473-a372-2a9de2020dae" targetNamespace="http://schemas.microsoft.com/office/2006/metadata/properties" ma:root="true" ma:fieldsID="7772af1c535b7212549abdbca1135d03" ns2:_="">
    <xsd:import namespace="7ea821d1-39aa-4473-a372-2a9de2020da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a821d1-39aa-4473-a372-2a9de2020da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ea821d1-39aa-4473-a372-2a9de2020dae">EF5FV7HJZDZ2-519966236-30</_dlc_DocId>
    <_dlc_DocIdUrl xmlns="7ea821d1-39aa-4473-a372-2a9de2020dae">
      <Url>https://org2.eis.af.mil/sites/21396/2ltr/AZ/TMAS2/_layouts/15/DocIdRedir.aspx?ID=EF5FV7HJZDZ2-519966236-30</Url>
      <Description>EF5FV7HJZDZ2-519966236-30</Description>
    </_dlc_DocIdUrl>
  </documentManagement>
</p:properties>
</file>

<file path=customXml/itemProps1.xml><?xml version="1.0" encoding="utf-8"?>
<ds:datastoreItem xmlns:ds="http://schemas.openxmlformats.org/officeDocument/2006/customXml" ds:itemID="{7FB222EF-9663-4199-B83D-2392E8F0F3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09E06E-AF7B-4DE6-9472-6BF5F42B84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a821d1-39aa-4473-a372-2a9de2020d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A160F7-156F-4AEE-AB08-87A297FE676F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20D6817-2481-48EA-A506-5E3CAB1CDD54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7ea821d1-39aa-4473-a372-2a9de2020dae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Self Score Sheet</vt:lpstr>
    </vt:vector>
  </TitlesOfParts>
  <Company>U.S.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GARVIN, JEREMY J GS-12 USAF AFMC AFLCMC/AZS</dc:creator>
  <cp:lastModifiedBy>WILSON, RONALD J NH-03 USAF AFMC AFTC/PZIOC</cp:lastModifiedBy>
  <cp:lastPrinted>2019-08-07T15:27:40Z</cp:lastPrinted>
  <dcterms:created xsi:type="dcterms:W3CDTF">2018-01-02T18:08:37Z</dcterms:created>
  <dcterms:modified xsi:type="dcterms:W3CDTF">2020-10-09T17:59:58Z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0x010100617B6CBBEF63454EBB7EA9C870C1C4D4</vt:lpwstr>
  </property>
  <property fmtid="{D5CDD505-2E9C-101B-9397-08002B2CF9AE}" pid="3" name="_dlc_DocIdItemGuid">
    <vt:lpwstr>89c4c317-a3c6-4c02-917c-4463690f25c9</vt:lpwstr>
  </property>
</Properties>
</file>