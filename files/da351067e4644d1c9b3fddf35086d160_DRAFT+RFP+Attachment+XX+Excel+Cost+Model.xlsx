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https://usaf-my.dps.mil/personal/danielle_wade_us_af_mil/Documents/My Documents/PZCF/Pricing Cases/24001 (CAT-F SS)/12/"/>
    </mc:Choice>
  </mc:AlternateContent>
  <xr:revisionPtr revIDLastSave="1320" documentId="8_{AC67DAD4-FC95-4FA8-897A-70D7DC723096}" xr6:coauthVersionLast="47" xr6:coauthVersionMax="47" xr10:uidLastSave="{3B0C644E-809F-4920-BD51-C5FF697C1EFA}"/>
  <bookViews>
    <workbookView xWindow="-120" yWindow="90" windowWidth="29040" windowHeight="15510" tabRatio="890" xr2:uid="{68220BC9-A055-476F-AC4C-BAB70C8AF3D2}"/>
  </bookViews>
  <sheets>
    <sheet name="Cost Format C_CLIN Summary" sheetId="1" r:id="rId1"/>
    <sheet name="FFP CLINs" sheetId="2" r:id="rId2"/>
    <sheet name="Cost Format A_CLIN X001" sheetId="24" r:id="rId3"/>
    <sheet name="Cost Format A_CLIN X002" sheetId="25" r:id="rId4"/>
    <sheet name="Cost Format A_CLIN X003" sheetId="26" r:id="rId5"/>
    <sheet name="Cost Format A_CLIN X004" sheetId="27" r:id="rId6"/>
    <sheet name="Cost Format A_CLIN X005" sheetId="28" r:id="rId7"/>
    <sheet name="Cost Format A_CLIN X006" sheetId="29" r:id="rId8"/>
    <sheet name="Cost Format A_Travel CLINs" sheetId="11" r:id="rId9"/>
    <sheet name="Cost Format A_CLIN 1014" sheetId="30" r:id="rId10"/>
    <sheet name="Cost Format A_Gov Testing CLINs" sheetId="31" r:id="rId11"/>
    <sheet name="Cost Format B_PRIME Rates" sheetId="3" r:id="rId12"/>
    <sheet name="Cost Format B_PRIME Rate Desc" sheetId="22" r:id="rId13"/>
    <sheet name="Cost Format D_CLIN X001 SUB" sheetId="32" r:id="rId14"/>
    <sheet name="Cost Format D_CLIN X002 SUB" sheetId="33" r:id="rId15"/>
    <sheet name="Cost Format D_CLIN X003 SUB" sheetId="34" r:id="rId16"/>
    <sheet name="Cost Format D_CLIN X004 SUB" sheetId="35" r:id="rId17"/>
    <sheet name="Cost Format D_CLIN X005 SUB" sheetId="36" r:id="rId18"/>
    <sheet name="Cost Format D_CLIN X006 SUB" sheetId="37" r:id="rId19"/>
    <sheet name="Cost Format D_CLIN 1014 SUB" sheetId="38" r:id="rId20"/>
    <sheet name="Cost Format D_Gov Testing SUB" sheetId="39" r:id="rId21"/>
    <sheet name="Cost Format B_SUB Rates" sheetId="21" r:id="rId22"/>
    <sheet name="Cost Format B_SUB Rate Desc" sheetId="23" r:id="rId23"/>
  </sheets>
  <definedNames>
    <definedName name="Common">#REF!</definedName>
    <definedName name="Consum">#REF!</definedName>
    <definedName name="EngRate">#REF!</definedName>
    <definedName name="GARate">#REF!</definedName>
    <definedName name="GrossProfit">#REF!</definedName>
    <definedName name="MatHandle">#REF!</definedName>
    <definedName name="Risk">#REF!</definedName>
    <definedName name="ShopRat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6" i="39" l="1"/>
  <c r="Q58" i="39"/>
  <c r="S58" i="39" s="1"/>
  <c r="S61" i="39" s="1"/>
  <c r="M58" i="39"/>
  <c r="O58" i="39" s="1"/>
  <c r="O61" i="39" s="1"/>
  <c r="I58" i="39"/>
  <c r="K58" i="39" s="1"/>
  <c r="K61" i="39" s="1"/>
  <c r="C58" i="39"/>
  <c r="E58" i="39" s="1"/>
  <c r="E61" i="39" s="1"/>
  <c r="I57" i="39"/>
  <c r="Q56" i="39"/>
  <c r="S56" i="39" s="1"/>
  <c r="M56" i="39"/>
  <c r="O56" i="39" s="1"/>
  <c r="I56" i="39"/>
  <c r="K56" i="39" s="1"/>
  <c r="C56" i="39"/>
  <c r="Q53" i="39"/>
  <c r="M53" i="39"/>
  <c r="I53" i="39"/>
  <c r="C53" i="39"/>
  <c r="B52" i="39"/>
  <c r="S48" i="39"/>
  <c r="M45" i="39"/>
  <c r="O45" i="39" s="1"/>
  <c r="O48" i="39" s="1"/>
  <c r="I45" i="39"/>
  <c r="K45" i="39" s="1"/>
  <c r="K48" i="39" s="1"/>
  <c r="C45" i="39"/>
  <c r="E45" i="39" s="1"/>
  <c r="E48" i="39" s="1"/>
  <c r="M44" i="39"/>
  <c r="Q43" i="39"/>
  <c r="Q45" i="39" s="1"/>
  <c r="S45" i="39" s="1"/>
  <c r="M43" i="39"/>
  <c r="O43" i="39" s="1"/>
  <c r="I43" i="39"/>
  <c r="K43" i="39" s="1"/>
  <c r="C43" i="39"/>
  <c r="E43" i="39" s="1"/>
  <c r="Q40" i="39"/>
  <c r="M40" i="39"/>
  <c r="I40" i="39"/>
  <c r="C40" i="39"/>
  <c r="B39" i="39"/>
  <c r="Q26" i="39"/>
  <c r="M26" i="39"/>
  <c r="I26" i="39"/>
  <c r="C26" i="39"/>
  <c r="S25" i="39"/>
  <c r="O25" i="39"/>
  <c r="K25" i="39"/>
  <c r="E25" i="39"/>
  <c r="S24" i="39"/>
  <c r="O24" i="39"/>
  <c r="K24" i="39"/>
  <c r="E24" i="39"/>
  <c r="S23" i="39"/>
  <c r="O23" i="39"/>
  <c r="K23" i="39"/>
  <c r="E23" i="39"/>
  <c r="S22" i="39"/>
  <c r="O22" i="39"/>
  <c r="K22" i="39"/>
  <c r="E22" i="39"/>
  <c r="S21" i="39"/>
  <c r="O21" i="39"/>
  <c r="K21" i="39"/>
  <c r="E21" i="39"/>
  <c r="S20" i="39"/>
  <c r="O20" i="39"/>
  <c r="K20" i="39"/>
  <c r="E20" i="39"/>
  <c r="S19" i="39"/>
  <c r="O19" i="39"/>
  <c r="K19" i="39"/>
  <c r="E19" i="39"/>
  <c r="S18" i="39"/>
  <c r="O18" i="39"/>
  <c r="K18" i="39"/>
  <c r="E18" i="39"/>
  <c r="S17" i="39"/>
  <c r="O17" i="39"/>
  <c r="O26" i="39" s="1"/>
  <c r="M28" i="39" s="1"/>
  <c r="K17" i="39"/>
  <c r="K26" i="39" s="1"/>
  <c r="E17" i="39"/>
  <c r="E26" i="39" s="1"/>
  <c r="S16" i="39"/>
  <c r="O16" i="39"/>
  <c r="K16" i="39"/>
  <c r="E16" i="39"/>
  <c r="S15" i="39"/>
  <c r="O15" i="39"/>
  <c r="K15" i="39"/>
  <c r="E15" i="39"/>
  <c r="S14" i="39"/>
  <c r="O14" i="39"/>
  <c r="K14" i="39"/>
  <c r="E14" i="39"/>
  <c r="S13" i="39"/>
  <c r="O13" i="39"/>
  <c r="K13" i="39"/>
  <c r="E13" i="39"/>
  <c r="C56" i="38"/>
  <c r="C58" i="38" s="1"/>
  <c r="E58" i="38" s="1"/>
  <c r="E61" i="38" s="1"/>
  <c r="C53" i="38"/>
  <c r="B52" i="38"/>
  <c r="B66" i="38" s="1"/>
  <c r="C45" i="38"/>
  <c r="E45" i="38" s="1"/>
  <c r="E48" i="38" s="1"/>
  <c r="C43" i="38"/>
  <c r="E43" i="38" s="1"/>
  <c r="C40" i="38"/>
  <c r="B39" i="38"/>
  <c r="C26" i="38"/>
  <c r="E25" i="38"/>
  <c r="E24" i="38"/>
  <c r="E23" i="38"/>
  <c r="E22" i="38"/>
  <c r="E21" i="38"/>
  <c r="E20" i="38"/>
  <c r="E19" i="38"/>
  <c r="E26" i="38" s="1"/>
  <c r="E18" i="38"/>
  <c r="E17" i="38"/>
  <c r="E16" i="38"/>
  <c r="E15" i="38"/>
  <c r="E14" i="38"/>
  <c r="E13" i="38"/>
  <c r="B66" i="37"/>
  <c r="G58" i="37"/>
  <c r="I58" i="37" s="1"/>
  <c r="I61" i="37" s="1"/>
  <c r="C58" i="37"/>
  <c r="E58" i="37" s="1"/>
  <c r="E61" i="37" s="1"/>
  <c r="G56" i="37"/>
  <c r="I56" i="37" s="1"/>
  <c r="C56" i="37"/>
  <c r="G53" i="37"/>
  <c r="C53" i="37"/>
  <c r="B52" i="37"/>
  <c r="G45" i="37"/>
  <c r="I45" i="37" s="1"/>
  <c r="I48" i="37" s="1"/>
  <c r="C45" i="37"/>
  <c r="E45" i="37" s="1"/>
  <c r="E48" i="37" s="1"/>
  <c r="G43" i="37"/>
  <c r="I43" i="37" s="1"/>
  <c r="C43" i="37"/>
  <c r="E43" i="37" s="1"/>
  <c r="G40" i="37"/>
  <c r="C40" i="37"/>
  <c r="B39" i="37"/>
  <c r="G26" i="37"/>
  <c r="C26" i="37"/>
  <c r="I25" i="37"/>
  <c r="E25" i="37"/>
  <c r="I24" i="37"/>
  <c r="E24" i="37"/>
  <c r="I23" i="37"/>
  <c r="E23" i="37"/>
  <c r="I22" i="37"/>
  <c r="E22" i="37"/>
  <c r="I21" i="37"/>
  <c r="E21" i="37"/>
  <c r="I20" i="37"/>
  <c r="E20" i="37"/>
  <c r="I19" i="37"/>
  <c r="E19" i="37"/>
  <c r="I18" i="37"/>
  <c r="E18" i="37"/>
  <c r="E26" i="37" s="1"/>
  <c r="I17" i="37"/>
  <c r="E17" i="37"/>
  <c r="I16" i="37"/>
  <c r="E16" i="37"/>
  <c r="I15" i="37"/>
  <c r="E15" i="37"/>
  <c r="I14" i="37"/>
  <c r="E14" i="37"/>
  <c r="I13" i="37"/>
  <c r="I26" i="37" s="1"/>
  <c r="E13" i="37"/>
  <c r="M58" i="36"/>
  <c r="O58" i="36" s="1"/>
  <c r="O61" i="36" s="1"/>
  <c r="G58" i="36"/>
  <c r="I58" i="36" s="1"/>
  <c r="I61" i="36" s="1"/>
  <c r="C58" i="36"/>
  <c r="E58" i="36" s="1"/>
  <c r="E61" i="36" s="1"/>
  <c r="M57" i="36"/>
  <c r="O57" i="36" s="1"/>
  <c r="M56" i="36"/>
  <c r="O56" i="36" s="1"/>
  <c r="G56" i="36"/>
  <c r="I56" i="36" s="1"/>
  <c r="C56" i="36"/>
  <c r="E56" i="36" s="1"/>
  <c r="M43" i="36"/>
  <c r="M45" i="36" s="1"/>
  <c r="O45" i="36" s="1"/>
  <c r="O48" i="36" s="1"/>
  <c r="G43" i="36"/>
  <c r="G45" i="36" s="1"/>
  <c r="I45" i="36" s="1"/>
  <c r="I48" i="36" s="1"/>
  <c r="C43" i="36"/>
  <c r="C45" i="36" s="1"/>
  <c r="E45" i="36" s="1"/>
  <c r="E48" i="36" s="1"/>
  <c r="M40" i="36"/>
  <c r="M53" i="36" s="1"/>
  <c r="G40" i="36"/>
  <c r="G53" i="36" s="1"/>
  <c r="C40" i="36"/>
  <c r="C53" i="36" s="1"/>
  <c r="B39" i="36"/>
  <c r="B52" i="36" s="1"/>
  <c r="B66" i="36" s="1"/>
  <c r="M26" i="36"/>
  <c r="G26" i="36"/>
  <c r="C26" i="36"/>
  <c r="O25" i="36"/>
  <c r="I25" i="36"/>
  <c r="E25" i="36"/>
  <c r="O24" i="36"/>
  <c r="I24" i="36"/>
  <c r="E24" i="36"/>
  <c r="O23" i="36"/>
  <c r="I23" i="36"/>
  <c r="E23" i="36"/>
  <c r="O22" i="36"/>
  <c r="I22" i="36"/>
  <c r="E22" i="36"/>
  <c r="O21" i="36"/>
  <c r="I21" i="36"/>
  <c r="E21" i="36"/>
  <c r="O20" i="36"/>
  <c r="I20" i="36"/>
  <c r="E20" i="36"/>
  <c r="O19" i="36"/>
  <c r="I19" i="36"/>
  <c r="E19" i="36"/>
  <c r="O18" i="36"/>
  <c r="I18" i="36"/>
  <c r="E18" i="36"/>
  <c r="O17" i="36"/>
  <c r="I17" i="36"/>
  <c r="E17" i="36"/>
  <c r="O16" i="36"/>
  <c r="I16" i="36"/>
  <c r="E16" i="36"/>
  <c r="O15" i="36"/>
  <c r="I15" i="36"/>
  <c r="E15" i="36"/>
  <c r="O14" i="36"/>
  <c r="I14" i="36"/>
  <c r="E14" i="36"/>
  <c r="O13" i="36"/>
  <c r="I13" i="36"/>
  <c r="E13" i="36"/>
  <c r="Q58" i="35"/>
  <c r="S58" i="35" s="1"/>
  <c r="S61" i="35" s="1"/>
  <c r="Q56" i="35"/>
  <c r="S56" i="35" s="1"/>
  <c r="M56" i="35"/>
  <c r="O56" i="35" s="1"/>
  <c r="G56" i="35"/>
  <c r="I56" i="35" s="1"/>
  <c r="C56" i="35"/>
  <c r="Q53" i="35"/>
  <c r="M53" i="35"/>
  <c r="G53" i="35"/>
  <c r="C53" i="35"/>
  <c r="B52" i="35"/>
  <c r="B66" i="35" s="1"/>
  <c r="Q45" i="35"/>
  <c r="S45" i="35" s="1"/>
  <c r="S48" i="35" s="1"/>
  <c r="M45" i="35"/>
  <c r="O45" i="35" s="1"/>
  <c r="O48" i="35" s="1"/>
  <c r="Q43" i="35"/>
  <c r="M43" i="35"/>
  <c r="O43" i="35" s="1"/>
  <c r="G43" i="35"/>
  <c r="I43" i="35" s="1"/>
  <c r="C43" i="35"/>
  <c r="E43" i="35" s="1"/>
  <c r="Q40" i="35"/>
  <c r="M40" i="35"/>
  <c r="G40" i="35"/>
  <c r="C40" i="35"/>
  <c r="B39" i="35"/>
  <c r="S26" i="35"/>
  <c r="Q26" i="35"/>
  <c r="O26" i="35"/>
  <c r="M26" i="35"/>
  <c r="G26" i="35"/>
  <c r="C26" i="35"/>
  <c r="S25" i="35"/>
  <c r="O25" i="35"/>
  <c r="I25" i="35"/>
  <c r="E25" i="35"/>
  <c r="S24" i="35"/>
  <c r="O24" i="35"/>
  <c r="I24" i="35"/>
  <c r="E24" i="35"/>
  <c r="S23" i="35"/>
  <c r="O23" i="35"/>
  <c r="I23" i="35"/>
  <c r="E23" i="35"/>
  <c r="S22" i="35"/>
  <c r="O22" i="35"/>
  <c r="I22" i="35"/>
  <c r="E22" i="35"/>
  <c r="S21" i="35"/>
  <c r="O21" i="35"/>
  <c r="I21" i="35"/>
  <c r="E21" i="35"/>
  <c r="S20" i="35"/>
  <c r="O20" i="35"/>
  <c r="I20" i="35"/>
  <c r="E20" i="35"/>
  <c r="S19" i="35"/>
  <c r="O19" i="35"/>
  <c r="I19" i="35"/>
  <c r="E19" i="35"/>
  <c r="S18" i="35"/>
  <c r="O18" i="35"/>
  <c r="I18" i="35"/>
  <c r="E18" i="35"/>
  <c r="S17" i="35"/>
  <c r="O17" i="35"/>
  <c r="I17" i="35"/>
  <c r="E17" i="35"/>
  <c r="S16" i="35"/>
  <c r="O16" i="35"/>
  <c r="I16" i="35"/>
  <c r="E16" i="35"/>
  <c r="S15" i="35"/>
  <c r="O15" i="35"/>
  <c r="I15" i="35"/>
  <c r="E15" i="35"/>
  <c r="S14" i="35"/>
  <c r="O14" i="35"/>
  <c r="I14" i="35"/>
  <c r="E14" i="35"/>
  <c r="S13" i="35"/>
  <c r="O13" i="35"/>
  <c r="I13" i="35"/>
  <c r="I26" i="35" s="1"/>
  <c r="E13" i="35"/>
  <c r="E26" i="35" s="1"/>
  <c r="Q58" i="34"/>
  <c r="S58" i="34" s="1"/>
  <c r="S61" i="34" s="1"/>
  <c r="Q56" i="34"/>
  <c r="S56" i="34" s="1"/>
  <c r="M56" i="34"/>
  <c r="O56" i="34" s="1"/>
  <c r="G56" i="34"/>
  <c r="I56" i="34" s="1"/>
  <c r="C56" i="34"/>
  <c r="Q53" i="34"/>
  <c r="M53" i="34"/>
  <c r="G53" i="34"/>
  <c r="C53" i="34"/>
  <c r="B52" i="34"/>
  <c r="B66" i="34" s="1"/>
  <c r="M45" i="34"/>
  <c r="O45" i="34" s="1"/>
  <c r="O48" i="34" s="1"/>
  <c r="Q43" i="34"/>
  <c r="Q45" i="34" s="1"/>
  <c r="S45" i="34" s="1"/>
  <c r="S48" i="34" s="1"/>
  <c r="M43" i="34"/>
  <c r="O43" i="34" s="1"/>
  <c r="G43" i="34"/>
  <c r="I43" i="34" s="1"/>
  <c r="C43" i="34"/>
  <c r="E43" i="34" s="1"/>
  <c r="Q40" i="34"/>
  <c r="M40" i="34"/>
  <c r="G40" i="34"/>
  <c r="C40" i="34"/>
  <c r="B39" i="34"/>
  <c r="Q26" i="34"/>
  <c r="O26" i="34"/>
  <c r="M28" i="34" s="1"/>
  <c r="M26" i="34"/>
  <c r="G26" i="34"/>
  <c r="C26" i="34"/>
  <c r="S25" i="34"/>
  <c r="O25" i="34"/>
  <c r="I25" i="34"/>
  <c r="E25" i="34"/>
  <c r="S24" i="34"/>
  <c r="O24" i="34"/>
  <c r="I24" i="34"/>
  <c r="E24" i="34"/>
  <c r="S23" i="34"/>
  <c r="O23" i="34"/>
  <c r="I23" i="34"/>
  <c r="E23" i="34"/>
  <c r="S22" i="34"/>
  <c r="O22" i="34"/>
  <c r="I22" i="34"/>
  <c r="E22" i="34"/>
  <c r="S21" i="34"/>
  <c r="O21" i="34"/>
  <c r="I21" i="34"/>
  <c r="E21" i="34"/>
  <c r="S20" i="34"/>
  <c r="O20" i="34"/>
  <c r="I20" i="34"/>
  <c r="E20" i="34"/>
  <c r="S19" i="34"/>
  <c r="O19" i="34"/>
  <c r="I19" i="34"/>
  <c r="E19" i="34"/>
  <c r="S18" i="34"/>
  <c r="O18" i="34"/>
  <c r="I18" i="34"/>
  <c r="E18" i="34"/>
  <c r="S17" i="34"/>
  <c r="O17" i="34"/>
  <c r="I17" i="34"/>
  <c r="E17" i="34"/>
  <c r="S16" i="34"/>
  <c r="O16" i="34"/>
  <c r="I16" i="34"/>
  <c r="E16" i="34"/>
  <c r="S15" i="34"/>
  <c r="O15" i="34"/>
  <c r="I15" i="34"/>
  <c r="E15" i="34"/>
  <c r="S14" i="34"/>
  <c r="O14" i="34"/>
  <c r="I14" i="34"/>
  <c r="E14" i="34"/>
  <c r="S13" i="34"/>
  <c r="S26" i="34" s="1"/>
  <c r="O13" i="34"/>
  <c r="I13" i="34"/>
  <c r="I26" i="34" s="1"/>
  <c r="E13" i="34"/>
  <c r="E26" i="34" s="1"/>
  <c r="U56" i="33"/>
  <c r="Q56" i="33"/>
  <c r="M56" i="33"/>
  <c r="G56" i="33"/>
  <c r="G58" i="33" s="1"/>
  <c r="I58" i="33" s="1"/>
  <c r="I61" i="33" s="1"/>
  <c r="C56" i="33"/>
  <c r="C58" i="33" s="1"/>
  <c r="E58" i="33" s="1"/>
  <c r="E61" i="33" s="1"/>
  <c r="U53" i="33"/>
  <c r="Q53" i="33"/>
  <c r="M53" i="33"/>
  <c r="S48" i="33"/>
  <c r="O48" i="33"/>
  <c r="Q45" i="33"/>
  <c r="S45" i="33" s="1"/>
  <c r="M45" i="33"/>
  <c r="O45" i="33" s="1"/>
  <c r="G45" i="33"/>
  <c r="I45" i="33" s="1"/>
  <c r="I48" i="33" s="1"/>
  <c r="C45" i="33"/>
  <c r="E45" i="33" s="1"/>
  <c r="E48" i="33" s="1"/>
  <c r="M44" i="33"/>
  <c r="G44" i="33"/>
  <c r="C44" i="33"/>
  <c r="U43" i="33"/>
  <c r="U45" i="33" s="1"/>
  <c r="W45" i="33" s="1"/>
  <c r="W48" i="33" s="1"/>
  <c r="S43" i="33"/>
  <c r="Q43" i="33"/>
  <c r="M43" i="33"/>
  <c r="O43" i="33" s="1"/>
  <c r="G43" i="33"/>
  <c r="I43" i="33" s="1"/>
  <c r="C43" i="33"/>
  <c r="E43" i="33" s="1"/>
  <c r="U40" i="33"/>
  <c r="Q40" i="33"/>
  <c r="M40" i="33"/>
  <c r="G40" i="33"/>
  <c r="G53" i="33" s="1"/>
  <c r="C40" i="33"/>
  <c r="C53" i="33" s="1"/>
  <c r="B39" i="33"/>
  <c r="B52" i="33" s="1"/>
  <c r="B66" i="33" s="1"/>
  <c r="U26" i="33"/>
  <c r="Q26" i="33"/>
  <c r="M26" i="33"/>
  <c r="G26" i="33"/>
  <c r="C26" i="33"/>
  <c r="W25" i="33"/>
  <c r="S25" i="33"/>
  <c r="O25" i="33"/>
  <c r="I25" i="33"/>
  <c r="E25" i="33"/>
  <c r="W24" i="33"/>
  <c r="S24" i="33"/>
  <c r="O24" i="33"/>
  <c r="I24" i="33"/>
  <c r="E24" i="33"/>
  <c r="W23" i="33"/>
  <c r="S23" i="33"/>
  <c r="O23" i="33"/>
  <c r="I23" i="33"/>
  <c r="E23" i="33"/>
  <c r="W22" i="33"/>
  <c r="S22" i="33"/>
  <c r="O22" i="33"/>
  <c r="I22" i="33"/>
  <c r="E22" i="33"/>
  <c r="W21" i="33"/>
  <c r="S21" i="33"/>
  <c r="O21" i="33"/>
  <c r="I21" i="33"/>
  <c r="E21" i="33"/>
  <c r="W20" i="33"/>
  <c r="S20" i="33"/>
  <c r="O20" i="33"/>
  <c r="I20" i="33"/>
  <c r="E20" i="33"/>
  <c r="W19" i="33"/>
  <c r="S19" i="33"/>
  <c r="O19" i="33"/>
  <c r="I19" i="33"/>
  <c r="E19" i="33"/>
  <c r="W18" i="33"/>
  <c r="S18" i="33"/>
  <c r="O18" i="33"/>
  <c r="I18" i="33"/>
  <c r="E18" i="33"/>
  <c r="W17" i="33"/>
  <c r="S17" i="33"/>
  <c r="O17" i="33"/>
  <c r="I17" i="33"/>
  <c r="E17" i="33"/>
  <c r="W16" i="33"/>
  <c r="S16" i="33"/>
  <c r="O16" i="33"/>
  <c r="I16" i="33"/>
  <c r="E16" i="33"/>
  <c r="W15" i="33"/>
  <c r="S15" i="33"/>
  <c r="O15" i="33"/>
  <c r="I15" i="33"/>
  <c r="E15" i="33"/>
  <c r="W14" i="33"/>
  <c r="S14" i="33"/>
  <c r="O14" i="33"/>
  <c r="I14" i="33"/>
  <c r="E14" i="33"/>
  <c r="W13" i="33"/>
  <c r="W26" i="33" s="1"/>
  <c r="S13" i="33"/>
  <c r="O13" i="33"/>
  <c r="I13" i="33"/>
  <c r="E13" i="33"/>
  <c r="C58" i="32"/>
  <c r="E58" i="32" s="1"/>
  <c r="E61" i="32" s="1"/>
  <c r="U56" i="32"/>
  <c r="W56" i="32" s="1"/>
  <c r="Q56" i="32"/>
  <c r="M56" i="32"/>
  <c r="M58" i="32" s="1"/>
  <c r="O58" i="32" s="1"/>
  <c r="O61" i="32" s="1"/>
  <c r="I56" i="32"/>
  <c r="G56" i="32"/>
  <c r="G57" i="32" s="1"/>
  <c r="E56" i="32"/>
  <c r="C56" i="32"/>
  <c r="U45" i="32"/>
  <c r="W45" i="32" s="1"/>
  <c r="W48" i="32" s="1"/>
  <c r="Q45" i="32"/>
  <c r="S45" i="32" s="1"/>
  <c r="S48" i="32" s="1"/>
  <c r="Q44" i="32"/>
  <c r="S44" i="32" s="1"/>
  <c r="S47" i="32" s="1"/>
  <c r="U43" i="32"/>
  <c r="W43" i="32" s="1"/>
  <c r="S43" i="32"/>
  <c r="Q43" i="32"/>
  <c r="M43" i="32"/>
  <c r="M45" i="32" s="1"/>
  <c r="O45" i="32" s="1"/>
  <c r="O48" i="32" s="1"/>
  <c r="G43" i="32"/>
  <c r="I43" i="32" s="1"/>
  <c r="C43" i="32"/>
  <c r="E43" i="32" s="1"/>
  <c r="U40" i="32"/>
  <c r="U53" i="32" s="1"/>
  <c r="Q40" i="32"/>
  <c r="Q53" i="32" s="1"/>
  <c r="M40" i="32"/>
  <c r="M53" i="32" s="1"/>
  <c r="G40" i="32"/>
  <c r="G53" i="32" s="1"/>
  <c r="C40" i="32"/>
  <c r="C53" i="32" s="1"/>
  <c r="B39" i="32"/>
  <c r="B52" i="32" s="1"/>
  <c r="B66" i="32" s="1"/>
  <c r="U26" i="32"/>
  <c r="Q26" i="32"/>
  <c r="M26" i="32"/>
  <c r="G26" i="32"/>
  <c r="C26" i="32"/>
  <c r="W25" i="32"/>
  <c r="S25" i="32"/>
  <c r="O25" i="32"/>
  <c r="I25" i="32"/>
  <c r="E25" i="32"/>
  <c r="W24" i="32"/>
  <c r="S24" i="32"/>
  <c r="O24" i="32"/>
  <c r="I24" i="32"/>
  <c r="E24" i="32"/>
  <c r="W23" i="32"/>
  <c r="S23" i="32"/>
  <c r="O23" i="32"/>
  <c r="I23" i="32"/>
  <c r="E23" i="32"/>
  <c r="W22" i="32"/>
  <c r="S22" i="32"/>
  <c r="O22" i="32"/>
  <c r="I22" i="32"/>
  <c r="E22" i="32"/>
  <c r="W21" i="32"/>
  <c r="S21" i="32"/>
  <c r="O21" i="32"/>
  <c r="I21" i="32"/>
  <c r="E21" i="32"/>
  <c r="W20" i="32"/>
  <c r="S20" i="32"/>
  <c r="O20" i="32"/>
  <c r="I20" i="32"/>
  <c r="E20" i="32"/>
  <c r="W19" i="32"/>
  <c r="S19" i="32"/>
  <c r="O19" i="32"/>
  <c r="I19" i="32"/>
  <c r="E19" i="32"/>
  <c r="W18" i="32"/>
  <c r="S18" i="32"/>
  <c r="O18" i="32"/>
  <c r="I18" i="32"/>
  <c r="E18" i="32"/>
  <c r="W17" i="32"/>
  <c r="S17" i="32"/>
  <c r="O17" i="32"/>
  <c r="I17" i="32"/>
  <c r="E17" i="32"/>
  <c r="W16" i="32"/>
  <c r="S16" i="32"/>
  <c r="O16" i="32"/>
  <c r="I16" i="32"/>
  <c r="E16" i="32"/>
  <c r="W15" i="32"/>
  <c r="S15" i="32"/>
  <c r="O15" i="32"/>
  <c r="I15" i="32"/>
  <c r="E15" i="32"/>
  <c r="W14" i="32"/>
  <c r="S14" i="32"/>
  <c r="O14" i="32"/>
  <c r="I14" i="32"/>
  <c r="E14" i="32"/>
  <c r="W13" i="32"/>
  <c r="W26" i="32" s="1"/>
  <c r="S13" i="32"/>
  <c r="S26" i="32" s="1"/>
  <c r="O13" i="32"/>
  <c r="O26" i="32" s="1"/>
  <c r="I13" i="32"/>
  <c r="I26" i="32" s="1"/>
  <c r="E13" i="32"/>
  <c r="E26" i="32" s="1"/>
  <c r="J101" i="1"/>
  <c r="H36" i="1"/>
  <c r="G36" i="1"/>
  <c r="F36" i="1"/>
  <c r="H15" i="1"/>
  <c r="G15" i="1"/>
  <c r="F15" i="1"/>
  <c r="H53" i="1"/>
  <c r="G53" i="1"/>
  <c r="F53" i="1"/>
  <c r="H35" i="1"/>
  <c r="G35" i="1"/>
  <c r="F35" i="1"/>
  <c r="H14" i="1"/>
  <c r="G14" i="1"/>
  <c r="F14" i="1"/>
  <c r="H72" i="1"/>
  <c r="G72" i="1"/>
  <c r="F72" i="1"/>
  <c r="H52" i="1"/>
  <c r="G52" i="1"/>
  <c r="F52" i="1"/>
  <c r="H34" i="1"/>
  <c r="G34" i="1"/>
  <c r="F34" i="1"/>
  <c r="H13" i="1"/>
  <c r="G13" i="1"/>
  <c r="F13" i="1"/>
  <c r="H71" i="1"/>
  <c r="G71" i="1"/>
  <c r="F71" i="1"/>
  <c r="H51" i="1"/>
  <c r="G51" i="1"/>
  <c r="F51" i="1"/>
  <c r="H33" i="1"/>
  <c r="G33" i="1"/>
  <c r="F33" i="1"/>
  <c r="H12" i="1"/>
  <c r="G12" i="1"/>
  <c r="F12" i="1"/>
  <c r="H89" i="1"/>
  <c r="G89" i="1"/>
  <c r="F89" i="1"/>
  <c r="H70" i="1"/>
  <c r="G70" i="1"/>
  <c r="F70" i="1"/>
  <c r="H50" i="1"/>
  <c r="G50" i="1"/>
  <c r="F50" i="1"/>
  <c r="H32" i="1"/>
  <c r="G32" i="1"/>
  <c r="F32" i="1"/>
  <c r="H11" i="1"/>
  <c r="G11" i="1"/>
  <c r="F11" i="1"/>
  <c r="H41" i="1"/>
  <c r="G41" i="1"/>
  <c r="F41" i="1"/>
  <c r="H61" i="1"/>
  <c r="G61" i="1"/>
  <c r="F61" i="1"/>
  <c r="H80" i="1"/>
  <c r="G80" i="1"/>
  <c r="F80" i="1"/>
  <c r="H95" i="1"/>
  <c r="G95" i="1"/>
  <c r="F95" i="1"/>
  <c r="Q56" i="31"/>
  <c r="S56" i="31" s="1"/>
  <c r="M56" i="31"/>
  <c r="I56" i="31"/>
  <c r="K56" i="31" s="1"/>
  <c r="C56" i="31"/>
  <c r="E56" i="31" s="1"/>
  <c r="Q43" i="31"/>
  <c r="Q45" i="31" s="1"/>
  <c r="S45" i="31" s="1"/>
  <c r="S48" i="31" s="1"/>
  <c r="M43" i="31"/>
  <c r="M45" i="31" s="1"/>
  <c r="O45" i="31" s="1"/>
  <c r="O48" i="31" s="1"/>
  <c r="I43" i="31"/>
  <c r="K43" i="31" s="1"/>
  <c r="C43" i="31"/>
  <c r="E43" i="31" s="1"/>
  <c r="Q40" i="31"/>
  <c r="Q53" i="31" s="1"/>
  <c r="M40" i="31"/>
  <c r="M53" i="31" s="1"/>
  <c r="I40" i="31"/>
  <c r="I53" i="31" s="1"/>
  <c r="C40" i="31"/>
  <c r="C53" i="31" s="1"/>
  <c r="B39" i="31"/>
  <c r="B52" i="31" s="1"/>
  <c r="B66" i="31" s="1"/>
  <c r="Q26" i="31"/>
  <c r="M26" i="31"/>
  <c r="I26" i="31"/>
  <c r="C26" i="31"/>
  <c r="S25" i="31"/>
  <c r="O25" i="31"/>
  <c r="K25" i="31"/>
  <c r="E25" i="31"/>
  <c r="S24" i="31"/>
  <c r="O24" i="31"/>
  <c r="K24" i="31"/>
  <c r="E24" i="31"/>
  <c r="S23" i="31"/>
  <c r="O23" i="31"/>
  <c r="K23" i="31"/>
  <c r="E23" i="31"/>
  <c r="S22" i="31"/>
  <c r="O22" i="31"/>
  <c r="K22" i="31"/>
  <c r="E22" i="31"/>
  <c r="S21" i="31"/>
  <c r="O21" i="31"/>
  <c r="K21" i="31"/>
  <c r="E21" i="31"/>
  <c r="S20" i="31"/>
  <c r="O20" i="31"/>
  <c r="K20" i="31"/>
  <c r="E20" i="31"/>
  <c r="S19" i="31"/>
  <c r="O19" i="31"/>
  <c r="K19" i="31"/>
  <c r="E19" i="31"/>
  <c r="S18" i="31"/>
  <c r="O18" i="31"/>
  <c r="K18" i="31"/>
  <c r="E18" i="31"/>
  <c r="S17" i="31"/>
  <c r="O17" i="31"/>
  <c r="K17" i="31"/>
  <c r="E17" i="31"/>
  <c r="S16" i="31"/>
  <c r="O16" i="31"/>
  <c r="K16" i="31"/>
  <c r="E16" i="31"/>
  <c r="S15" i="31"/>
  <c r="O15" i="31"/>
  <c r="K15" i="31"/>
  <c r="E15" i="31"/>
  <c r="S14" i="31"/>
  <c r="O14" i="31"/>
  <c r="K14" i="31"/>
  <c r="E14" i="31"/>
  <c r="S13" i="31"/>
  <c r="O13" i="31"/>
  <c r="K13" i="31"/>
  <c r="E13" i="31"/>
  <c r="H23" i="1"/>
  <c r="G23" i="1"/>
  <c r="F23" i="1"/>
  <c r="C56" i="30"/>
  <c r="C58" i="30" s="1"/>
  <c r="E58" i="30" s="1"/>
  <c r="E61" i="30" s="1"/>
  <c r="C45" i="30"/>
  <c r="E45" i="30" s="1"/>
  <c r="E48" i="30" s="1"/>
  <c r="E43" i="30"/>
  <c r="C43" i="30"/>
  <c r="C44" i="30" s="1"/>
  <c r="C40" i="30"/>
  <c r="C53" i="30" s="1"/>
  <c r="B39" i="30"/>
  <c r="B52" i="30" s="1"/>
  <c r="B66" i="30" s="1"/>
  <c r="C26" i="30"/>
  <c r="E25" i="30"/>
  <c r="E24" i="30"/>
  <c r="E23" i="30"/>
  <c r="E22" i="30"/>
  <c r="E21" i="30"/>
  <c r="E20" i="30"/>
  <c r="E19" i="30"/>
  <c r="E26" i="30" s="1"/>
  <c r="E18" i="30"/>
  <c r="E17" i="30"/>
  <c r="E16" i="30"/>
  <c r="E15" i="30"/>
  <c r="E14" i="30"/>
  <c r="E13" i="30"/>
  <c r="G96" i="1"/>
  <c r="F96" i="1"/>
  <c r="G81" i="1"/>
  <c r="F81" i="1"/>
  <c r="G62" i="1"/>
  <c r="F62" i="1"/>
  <c r="G42" i="1"/>
  <c r="F42" i="1"/>
  <c r="G24" i="1"/>
  <c r="F24" i="1"/>
  <c r="S14" i="11"/>
  <c r="S16" i="11" s="1"/>
  <c r="U16" i="11" s="1"/>
  <c r="U19" i="11" s="1"/>
  <c r="U26" i="11" s="1"/>
  <c r="G56" i="29"/>
  <c r="G58" i="29" s="1"/>
  <c r="I58" i="29" s="1"/>
  <c r="I61" i="29" s="1"/>
  <c r="C56" i="29"/>
  <c r="G45" i="29"/>
  <c r="I45" i="29" s="1"/>
  <c r="I48" i="29" s="1"/>
  <c r="G43" i="29"/>
  <c r="I43" i="29" s="1"/>
  <c r="C43" i="29"/>
  <c r="E43" i="29" s="1"/>
  <c r="G40" i="29"/>
  <c r="G53" i="29" s="1"/>
  <c r="C40" i="29"/>
  <c r="C53" i="29" s="1"/>
  <c r="B39" i="29"/>
  <c r="B52" i="29" s="1"/>
  <c r="B66" i="29" s="1"/>
  <c r="G26" i="29"/>
  <c r="C26" i="29"/>
  <c r="I25" i="29"/>
  <c r="E25" i="29"/>
  <c r="I24" i="29"/>
  <c r="E24" i="29"/>
  <c r="I23" i="29"/>
  <c r="E23" i="29"/>
  <c r="I22" i="29"/>
  <c r="E22" i="29"/>
  <c r="I21" i="29"/>
  <c r="E21" i="29"/>
  <c r="I20" i="29"/>
  <c r="E20" i="29"/>
  <c r="I19" i="29"/>
  <c r="E19" i="29"/>
  <c r="I18" i="29"/>
  <c r="E18" i="29"/>
  <c r="I17" i="29"/>
  <c r="E17" i="29"/>
  <c r="I16" i="29"/>
  <c r="E16" i="29"/>
  <c r="I15" i="29"/>
  <c r="E15" i="29"/>
  <c r="I14" i="29"/>
  <c r="E14" i="29"/>
  <c r="I13" i="29"/>
  <c r="E13" i="29"/>
  <c r="M56" i="28"/>
  <c r="O56" i="28" s="1"/>
  <c r="G56" i="28"/>
  <c r="I56" i="28" s="1"/>
  <c r="C56" i="28"/>
  <c r="M43" i="28"/>
  <c r="O43" i="28" s="1"/>
  <c r="G43" i="28"/>
  <c r="I43" i="28" s="1"/>
  <c r="C43" i="28"/>
  <c r="E43" i="28" s="1"/>
  <c r="M40" i="28"/>
  <c r="M53" i="28" s="1"/>
  <c r="G40" i="28"/>
  <c r="G53" i="28" s="1"/>
  <c r="C40" i="28"/>
  <c r="C53" i="28" s="1"/>
  <c r="B39" i="28"/>
  <c r="B52" i="28" s="1"/>
  <c r="B66" i="28" s="1"/>
  <c r="M26" i="28"/>
  <c r="G26" i="28"/>
  <c r="C26" i="28"/>
  <c r="O25" i="28"/>
  <c r="I25" i="28"/>
  <c r="E25" i="28"/>
  <c r="O24" i="28"/>
  <c r="I24" i="28"/>
  <c r="E24" i="28"/>
  <c r="O23" i="28"/>
  <c r="I23" i="28"/>
  <c r="E23" i="28"/>
  <c r="O22" i="28"/>
  <c r="I22" i="28"/>
  <c r="E22" i="28"/>
  <c r="O21" i="28"/>
  <c r="I21" i="28"/>
  <c r="E21" i="28"/>
  <c r="O20" i="28"/>
  <c r="I20" i="28"/>
  <c r="E20" i="28"/>
  <c r="O19" i="28"/>
  <c r="I19" i="28"/>
  <c r="E19" i="28"/>
  <c r="O18" i="28"/>
  <c r="I18" i="28"/>
  <c r="E18" i="28"/>
  <c r="O17" i="28"/>
  <c r="I17" i="28"/>
  <c r="E17" i="28"/>
  <c r="O16" i="28"/>
  <c r="I16" i="28"/>
  <c r="E16" i="28"/>
  <c r="O15" i="28"/>
  <c r="I15" i="28"/>
  <c r="E15" i="28"/>
  <c r="O14" i="28"/>
  <c r="I14" i="28"/>
  <c r="I26" i="28" s="1"/>
  <c r="G28" i="28" s="1"/>
  <c r="E14" i="28"/>
  <c r="O13" i="28"/>
  <c r="O26" i="28" s="1"/>
  <c r="M28" i="28" s="1"/>
  <c r="I13" i="28"/>
  <c r="E13" i="28"/>
  <c r="Q56" i="27"/>
  <c r="M56" i="27"/>
  <c r="G56" i="27"/>
  <c r="C56" i="27"/>
  <c r="C58" i="27" s="1"/>
  <c r="E58" i="27" s="1"/>
  <c r="E61" i="27" s="1"/>
  <c r="B52" i="27"/>
  <c r="B66" i="27" s="1"/>
  <c r="Q45" i="27"/>
  <c r="S45" i="27" s="1"/>
  <c r="S48" i="27" s="1"/>
  <c r="Q43" i="27"/>
  <c r="M43" i="27"/>
  <c r="G43" i="27"/>
  <c r="C43" i="27"/>
  <c r="Q40" i="27"/>
  <c r="Q53" i="27" s="1"/>
  <c r="M40" i="27"/>
  <c r="M53" i="27" s="1"/>
  <c r="G40" i="27"/>
  <c r="G53" i="27" s="1"/>
  <c r="C40" i="27"/>
  <c r="C53" i="27" s="1"/>
  <c r="B39" i="27"/>
  <c r="C28" i="27"/>
  <c r="C31" i="27" s="1"/>
  <c r="E31" i="27" s="1"/>
  <c r="E34" i="27" s="1"/>
  <c r="S26" i="27"/>
  <c r="Q26" i="27"/>
  <c r="M26" i="27"/>
  <c r="G26" i="27"/>
  <c r="C26" i="27"/>
  <c r="S25" i="27"/>
  <c r="O25" i="27"/>
  <c r="I25" i="27"/>
  <c r="E25" i="27"/>
  <c r="S24" i="27"/>
  <c r="O24" i="27"/>
  <c r="I24" i="27"/>
  <c r="E24" i="27"/>
  <c r="S23" i="27"/>
  <c r="O23" i="27"/>
  <c r="I23" i="27"/>
  <c r="E23" i="27"/>
  <c r="S22" i="27"/>
  <c r="O22" i="27"/>
  <c r="I22" i="27"/>
  <c r="E22" i="27"/>
  <c r="S21" i="27"/>
  <c r="O21" i="27"/>
  <c r="I21" i="27"/>
  <c r="E21" i="27"/>
  <c r="S20" i="27"/>
  <c r="O20" i="27"/>
  <c r="I20" i="27"/>
  <c r="E20" i="27"/>
  <c r="S19" i="27"/>
  <c r="O19" i="27"/>
  <c r="I19" i="27"/>
  <c r="E19" i="27"/>
  <c r="S18" i="27"/>
  <c r="O18" i="27"/>
  <c r="I18" i="27"/>
  <c r="E18" i="27"/>
  <c r="S17" i="27"/>
  <c r="O17" i="27"/>
  <c r="I17" i="27"/>
  <c r="E17" i="27"/>
  <c r="S16" i="27"/>
  <c r="O16" i="27"/>
  <c r="I16" i="27"/>
  <c r="E16" i="27"/>
  <c r="S15" i="27"/>
  <c r="O15" i="27"/>
  <c r="I15" i="27"/>
  <c r="E15" i="27"/>
  <c r="S14" i="27"/>
  <c r="O14" i="27"/>
  <c r="I14" i="27"/>
  <c r="E14" i="27"/>
  <c r="E26" i="27" s="1"/>
  <c r="S13" i="27"/>
  <c r="O13" i="27"/>
  <c r="O26" i="27" s="1"/>
  <c r="I13" i="27"/>
  <c r="I26" i="27" s="1"/>
  <c r="E13" i="27"/>
  <c r="Q56" i="26"/>
  <c r="Q58" i="26" s="1"/>
  <c r="S58" i="26" s="1"/>
  <c r="S61" i="26" s="1"/>
  <c r="M56" i="26"/>
  <c r="M58" i="26" s="1"/>
  <c r="O58" i="26" s="1"/>
  <c r="O61" i="26" s="1"/>
  <c r="G56" i="26"/>
  <c r="G58" i="26" s="1"/>
  <c r="I58" i="26" s="1"/>
  <c r="I61" i="26" s="1"/>
  <c r="C56" i="26"/>
  <c r="Q43" i="26"/>
  <c r="Q45" i="26" s="1"/>
  <c r="S45" i="26" s="1"/>
  <c r="S48" i="26" s="1"/>
  <c r="M43" i="26"/>
  <c r="O43" i="26" s="1"/>
  <c r="G43" i="26"/>
  <c r="I43" i="26" s="1"/>
  <c r="C43" i="26"/>
  <c r="E43" i="26" s="1"/>
  <c r="Q40" i="26"/>
  <c r="Q53" i="26" s="1"/>
  <c r="M40" i="26"/>
  <c r="M53" i="26" s="1"/>
  <c r="G40" i="26"/>
  <c r="G53" i="26" s="1"/>
  <c r="C40" i="26"/>
  <c r="C53" i="26" s="1"/>
  <c r="B39" i="26"/>
  <c r="B52" i="26" s="1"/>
  <c r="B66" i="26" s="1"/>
  <c r="Q26" i="26"/>
  <c r="M26" i="26"/>
  <c r="G26" i="26"/>
  <c r="C26" i="26"/>
  <c r="S25" i="26"/>
  <c r="O25" i="26"/>
  <c r="I25" i="26"/>
  <c r="E25" i="26"/>
  <c r="S24" i="26"/>
  <c r="O24" i="26"/>
  <c r="I24" i="26"/>
  <c r="E24" i="26"/>
  <c r="S23" i="26"/>
  <c r="O23" i="26"/>
  <c r="I23" i="26"/>
  <c r="E23" i="26"/>
  <c r="S22" i="26"/>
  <c r="O22" i="26"/>
  <c r="I22" i="26"/>
  <c r="E22" i="26"/>
  <c r="S21" i="26"/>
  <c r="O21" i="26"/>
  <c r="I21" i="26"/>
  <c r="E21" i="26"/>
  <c r="S20" i="26"/>
  <c r="O20" i="26"/>
  <c r="I20" i="26"/>
  <c r="E20" i="26"/>
  <c r="S19" i="26"/>
  <c r="O19" i="26"/>
  <c r="I19" i="26"/>
  <c r="E19" i="26"/>
  <c r="S18" i="26"/>
  <c r="O18" i="26"/>
  <c r="I18" i="26"/>
  <c r="E18" i="26"/>
  <c r="S17" i="26"/>
  <c r="O17" i="26"/>
  <c r="I17" i="26"/>
  <c r="E17" i="26"/>
  <c r="S16" i="26"/>
  <c r="O16" i="26"/>
  <c r="I16" i="26"/>
  <c r="E16" i="26"/>
  <c r="S15" i="26"/>
  <c r="O15" i="26"/>
  <c r="I15" i="26"/>
  <c r="E15" i="26"/>
  <c r="S14" i="26"/>
  <c r="O14" i="26"/>
  <c r="I14" i="26"/>
  <c r="E14" i="26"/>
  <c r="S13" i="26"/>
  <c r="O13" i="26"/>
  <c r="I13" i="26"/>
  <c r="E13" i="26"/>
  <c r="O61" i="25"/>
  <c r="I61" i="25"/>
  <c r="U58" i="25"/>
  <c r="W58" i="25" s="1"/>
  <c r="W61" i="25" s="1"/>
  <c r="Q58" i="25"/>
  <c r="S58" i="25" s="1"/>
  <c r="S61" i="25" s="1"/>
  <c r="O58" i="25"/>
  <c r="M58" i="25"/>
  <c r="G58" i="25"/>
  <c r="I58" i="25" s="1"/>
  <c r="C58" i="25"/>
  <c r="E58" i="25" s="1"/>
  <c r="E61" i="25" s="1"/>
  <c r="W56" i="25"/>
  <c r="U57" i="25" s="1"/>
  <c r="U56" i="25"/>
  <c r="Q56" i="25"/>
  <c r="S56" i="25" s="1"/>
  <c r="Q57" i="25" s="1"/>
  <c r="M56" i="25"/>
  <c r="O56" i="25" s="1"/>
  <c r="M57" i="25" s="1"/>
  <c r="G56" i="25"/>
  <c r="I56" i="25" s="1"/>
  <c r="G57" i="25" s="1"/>
  <c r="C56" i="25"/>
  <c r="E56" i="25" s="1"/>
  <c r="C57" i="25" s="1"/>
  <c r="U45" i="25"/>
  <c r="W45" i="25" s="1"/>
  <c r="W48" i="25" s="1"/>
  <c r="Q45" i="25"/>
  <c r="S45" i="25" s="1"/>
  <c r="S48" i="25" s="1"/>
  <c r="M45" i="25"/>
  <c r="O45" i="25" s="1"/>
  <c r="O48" i="25" s="1"/>
  <c r="U43" i="25"/>
  <c r="S43" i="25"/>
  <c r="Q43" i="25"/>
  <c r="Q44" i="25" s="1"/>
  <c r="M43" i="25"/>
  <c r="O43" i="25" s="1"/>
  <c r="G43" i="25"/>
  <c r="G45" i="25" s="1"/>
  <c r="I45" i="25" s="1"/>
  <c r="I48" i="25" s="1"/>
  <c r="C43" i="25"/>
  <c r="U40" i="25"/>
  <c r="U53" i="25" s="1"/>
  <c r="Q40" i="25"/>
  <c r="Q53" i="25" s="1"/>
  <c r="M40" i="25"/>
  <c r="M53" i="25" s="1"/>
  <c r="G40" i="25"/>
  <c r="G53" i="25" s="1"/>
  <c r="C40" i="25"/>
  <c r="C53" i="25" s="1"/>
  <c r="B39" i="25"/>
  <c r="B52" i="25" s="1"/>
  <c r="B66" i="25" s="1"/>
  <c r="U26" i="25"/>
  <c r="Q26" i="25"/>
  <c r="M26" i="25"/>
  <c r="G26" i="25"/>
  <c r="C26" i="25"/>
  <c r="W25" i="25"/>
  <c r="S25" i="25"/>
  <c r="O25" i="25"/>
  <c r="I25" i="25"/>
  <c r="E25" i="25"/>
  <c r="W24" i="25"/>
  <c r="S24" i="25"/>
  <c r="O24" i="25"/>
  <c r="I24" i="25"/>
  <c r="E24" i="25"/>
  <c r="W23" i="25"/>
  <c r="S23" i="25"/>
  <c r="O23" i="25"/>
  <c r="I23" i="25"/>
  <c r="E23" i="25"/>
  <c r="W22" i="25"/>
  <c r="S22" i="25"/>
  <c r="O22" i="25"/>
  <c r="I22" i="25"/>
  <c r="E22" i="25"/>
  <c r="W21" i="25"/>
  <c r="S21" i="25"/>
  <c r="O21" i="25"/>
  <c r="I21" i="25"/>
  <c r="E21" i="25"/>
  <c r="W20" i="25"/>
  <c r="S20" i="25"/>
  <c r="O20" i="25"/>
  <c r="I20" i="25"/>
  <c r="E20" i="25"/>
  <c r="W19" i="25"/>
  <c r="S19" i="25"/>
  <c r="O19" i="25"/>
  <c r="I19" i="25"/>
  <c r="E19" i="25"/>
  <c r="W18" i="25"/>
  <c r="S18" i="25"/>
  <c r="O18" i="25"/>
  <c r="I18" i="25"/>
  <c r="E18" i="25"/>
  <c r="W17" i="25"/>
  <c r="S17" i="25"/>
  <c r="O17" i="25"/>
  <c r="I17" i="25"/>
  <c r="E17" i="25"/>
  <c r="W16" i="25"/>
  <c r="S16" i="25"/>
  <c r="O16" i="25"/>
  <c r="I16" i="25"/>
  <c r="E16" i="25"/>
  <c r="W15" i="25"/>
  <c r="S15" i="25"/>
  <c r="O15" i="25"/>
  <c r="I15" i="25"/>
  <c r="E15" i="25"/>
  <c r="W14" i="25"/>
  <c r="S14" i="25"/>
  <c r="O14" i="25"/>
  <c r="I14" i="25"/>
  <c r="I26" i="25" s="1"/>
  <c r="E14" i="25"/>
  <c r="E26" i="25" s="1"/>
  <c r="W13" i="25"/>
  <c r="W26" i="25" s="1"/>
  <c r="S13" i="25"/>
  <c r="O13" i="25"/>
  <c r="O26" i="25" s="1"/>
  <c r="I13" i="25"/>
  <c r="E13" i="25"/>
  <c r="H88" i="1"/>
  <c r="G88" i="1"/>
  <c r="F88" i="1"/>
  <c r="H69" i="1"/>
  <c r="G69" i="1"/>
  <c r="F69" i="1"/>
  <c r="H49" i="1"/>
  <c r="G49" i="1"/>
  <c r="F49" i="1"/>
  <c r="H31" i="1"/>
  <c r="G31" i="1"/>
  <c r="F31" i="1"/>
  <c r="I97" i="1"/>
  <c r="I94" i="1"/>
  <c r="I93" i="1"/>
  <c r="I92" i="1"/>
  <c r="I91" i="1"/>
  <c r="I90" i="1"/>
  <c r="S29" i="2"/>
  <c r="S25" i="2"/>
  <c r="S21" i="2"/>
  <c r="S17" i="2"/>
  <c r="S13" i="2"/>
  <c r="S9" i="2"/>
  <c r="R29" i="2"/>
  <c r="R25" i="2"/>
  <c r="R21" i="2"/>
  <c r="R17" i="2"/>
  <c r="R13" i="2"/>
  <c r="R9" i="2"/>
  <c r="I82" i="1"/>
  <c r="I79" i="1"/>
  <c r="I78" i="1"/>
  <c r="I77" i="1"/>
  <c r="I76" i="1"/>
  <c r="I75" i="1"/>
  <c r="I74" i="1"/>
  <c r="I73" i="1"/>
  <c r="I63" i="1"/>
  <c r="I60" i="1"/>
  <c r="I59" i="1"/>
  <c r="I58" i="1"/>
  <c r="I57" i="1"/>
  <c r="I56" i="1"/>
  <c r="I55" i="1"/>
  <c r="I54" i="1"/>
  <c r="O37" i="2"/>
  <c r="O33" i="2"/>
  <c r="O29" i="2"/>
  <c r="O25" i="2"/>
  <c r="O21" i="2"/>
  <c r="O17" i="2"/>
  <c r="O13" i="2"/>
  <c r="O9" i="2"/>
  <c r="N37" i="2"/>
  <c r="N33" i="2"/>
  <c r="N29" i="2"/>
  <c r="N25" i="2"/>
  <c r="N21" i="2"/>
  <c r="N17" i="2"/>
  <c r="N13" i="2"/>
  <c r="N9" i="2"/>
  <c r="K37" i="2"/>
  <c r="K33" i="2"/>
  <c r="K29" i="2"/>
  <c r="K25" i="2"/>
  <c r="K21" i="2"/>
  <c r="K17" i="2"/>
  <c r="K13" i="2"/>
  <c r="K9" i="2"/>
  <c r="J37" i="2"/>
  <c r="J33" i="2"/>
  <c r="J29" i="2"/>
  <c r="J25" i="2"/>
  <c r="J21" i="2"/>
  <c r="J17" i="2"/>
  <c r="J13" i="2"/>
  <c r="J9" i="2"/>
  <c r="C28" i="39" l="1"/>
  <c r="I28" i="39"/>
  <c r="O44" i="39"/>
  <c r="O47" i="39" s="1"/>
  <c r="O28" i="39"/>
  <c r="M29" i="39" s="1"/>
  <c r="M31" i="39"/>
  <c r="O31" i="39" s="1"/>
  <c r="O34" i="39" s="1"/>
  <c r="O69" i="39" s="1"/>
  <c r="K57" i="39"/>
  <c r="K60" i="39" s="1"/>
  <c r="M57" i="39"/>
  <c r="Q57" i="39"/>
  <c r="S26" i="39"/>
  <c r="S43" i="39"/>
  <c r="C44" i="39"/>
  <c r="I44" i="39"/>
  <c r="E56" i="39"/>
  <c r="C28" i="38"/>
  <c r="C44" i="38"/>
  <c r="E56" i="38"/>
  <c r="C57" i="38"/>
  <c r="C44" i="37"/>
  <c r="G44" i="37"/>
  <c r="C28" i="37"/>
  <c r="G57" i="37"/>
  <c r="G28" i="37"/>
  <c r="E56" i="37"/>
  <c r="I26" i="36"/>
  <c r="M59" i="36"/>
  <c r="O59" i="36" s="1"/>
  <c r="O62" i="36" s="1"/>
  <c r="E26" i="36"/>
  <c r="O26" i="36"/>
  <c r="O60" i="36"/>
  <c r="O63" i="36" s="1"/>
  <c r="C57" i="36"/>
  <c r="G57" i="36"/>
  <c r="E43" i="36"/>
  <c r="I43" i="36"/>
  <c r="O43" i="36"/>
  <c r="C44" i="36"/>
  <c r="G44" i="36"/>
  <c r="M44" i="36"/>
  <c r="M44" i="35"/>
  <c r="Q44" i="35"/>
  <c r="M28" i="35"/>
  <c r="G28" i="35"/>
  <c r="Q28" i="35"/>
  <c r="C28" i="35"/>
  <c r="C57" i="35"/>
  <c r="S43" i="35"/>
  <c r="G57" i="35"/>
  <c r="C44" i="35"/>
  <c r="M57" i="35"/>
  <c r="G44" i="35"/>
  <c r="Q57" i="35"/>
  <c r="C58" i="35"/>
  <c r="E58" i="35" s="1"/>
  <c r="E61" i="35" s="1"/>
  <c r="G58" i="35"/>
  <c r="I58" i="35" s="1"/>
  <c r="I61" i="35" s="1"/>
  <c r="C45" i="35"/>
  <c r="E45" i="35" s="1"/>
  <c r="E48" i="35" s="1"/>
  <c r="M58" i="35"/>
  <c r="O58" i="35" s="1"/>
  <c r="O61" i="35" s="1"/>
  <c r="G45" i="35"/>
  <c r="I45" i="35" s="1"/>
  <c r="I48" i="35" s="1"/>
  <c r="E56" i="35"/>
  <c r="M44" i="34"/>
  <c r="O28" i="34"/>
  <c r="M31" i="34"/>
  <c r="O31" i="34" s="1"/>
  <c r="O34" i="34" s="1"/>
  <c r="O69" i="34" s="1"/>
  <c r="M29" i="34"/>
  <c r="C28" i="34"/>
  <c r="G28" i="34"/>
  <c r="Q28" i="34"/>
  <c r="C44" i="34"/>
  <c r="G44" i="34"/>
  <c r="C57" i="34"/>
  <c r="G57" i="34"/>
  <c r="M57" i="34"/>
  <c r="Q57" i="34"/>
  <c r="S43" i="34"/>
  <c r="C58" i="34"/>
  <c r="E58" i="34" s="1"/>
  <c r="E61" i="34" s="1"/>
  <c r="Q44" i="34"/>
  <c r="G58" i="34"/>
  <c r="I58" i="34" s="1"/>
  <c r="I61" i="34" s="1"/>
  <c r="C45" i="34"/>
  <c r="E45" i="34" s="1"/>
  <c r="E48" i="34" s="1"/>
  <c r="M58" i="34"/>
  <c r="O58" i="34" s="1"/>
  <c r="O61" i="34" s="1"/>
  <c r="G45" i="34"/>
  <c r="I45" i="34" s="1"/>
  <c r="I48" i="34" s="1"/>
  <c r="E56" i="34"/>
  <c r="U28" i="33"/>
  <c r="W43" i="33"/>
  <c r="E44" i="33"/>
  <c r="E47" i="33" s="1"/>
  <c r="I44" i="33"/>
  <c r="I47" i="33" s="1"/>
  <c r="O44" i="33"/>
  <c r="O47" i="33" s="1"/>
  <c r="Q44" i="33"/>
  <c r="E26" i="33"/>
  <c r="U44" i="33"/>
  <c r="I26" i="33"/>
  <c r="E56" i="33"/>
  <c r="O26" i="33"/>
  <c r="S26" i="33"/>
  <c r="I56" i="33"/>
  <c r="M58" i="33"/>
  <c r="O58" i="33" s="1"/>
  <c r="O61" i="33" s="1"/>
  <c r="O56" i="33"/>
  <c r="S56" i="33"/>
  <c r="W56" i="33"/>
  <c r="Q58" i="33"/>
  <c r="S58" i="33" s="1"/>
  <c r="S61" i="33" s="1"/>
  <c r="U58" i="33"/>
  <c r="W58" i="33" s="1"/>
  <c r="W61" i="33" s="1"/>
  <c r="I57" i="32"/>
  <c r="I60" i="32" s="1"/>
  <c r="I63" i="32" s="1"/>
  <c r="G59" i="32"/>
  <c r="I59" i="32" s="1"/>
  <c r="I62" i="32" s="1"/>
  <c r="U44" i="32"/>
  <c r="C28" i="32"/>
  <c r="G28" i="32"/>
  <c r="M28" i="32"/>
  <c r="Q28" i="32"/>
  <c r="U28" i="32"/>
  <c r="G44" i="32"/>
  <c r="G58" i="32"/>
  <c r="I58" i="32" s="1"/>
  <c r="I61" i="32" s="1"/>
  <c r="O43" i="32"/>
  <c r="Q46" i="32"/>
  <c r="S46" i="32" s="1"/>
  <c r="S49" i="32" s="1"/>
  <c r="S50" i="32" s="1"/>
  <c r="Q58" i="32"/>
  <c r="S58" i="32" s="1"/>
  <c r="S61" i="32" s="1"/>
  <c r="U57" i="32"/>
  <c r="C44" i="32"/>
  <c r="U58" i="32"/>
  <c r="W58" i="32" s="1"/>
  <c r="W61" i="32" s="1"/>
  <c r="O56" i="32"/>
  <c r="S56" i="32"/>
  <c r="C45" i="32"/>
  <c r="E45" i="32" s="1"/>
  <c r="E48" i="32" s="1"/>
  <c r="C57" i="32"/>
  <c r="G45" i="32"/>
  <c r="I45" i="32" s="1"/>
  <c r="I48" i="32" s="1"/>
  <c r="M57" i="32"/>
  <c r="E26" i="31"/>
  <c r="C28" i="31" s="1"/>
  <c r="K26" i="31"/>
  <c r="O26" i="31"/>
  <c r="O43" i="31"/>
  <c r="S26" i="31"/>
  <c r="M44" i="31"/>
  <c r="O44" i="31" s="1"/>
  <c r="C45" i="31"/>
  <c r="E45" i="31" s="1"/>
  <c r="E48" i="31" s="1"/>
  <c r="I45" i="31"/>
  <c r="K45" i="31" s="1"/>
  <c r="K48" i="31" s="1"/>
  <c r="C58" i="31"/>
  <c r="E58" i="31" s="1"/>
  <c r="E61" i="31" s="1"/>
  <c r="I58" i="31"/>
  <c r="K58" i="31" s="1"/>
  <c r="K61" i="31" s="1"/>
  <c r="M28" i="31"/>
  <c r="C57" i="31"/>
  <c r="I28" i="31"/>
  <c r="Q28" i="31"/>
  <c r="I57" i="31"/>
  <c r="S43" i="31"/>
  <c r="Q58" i="31"/>
  <c r="S58" i="31" s="1"/>
  <c r="S61" i="31" s="1"/>
  <c r="C44" i="31"/>
  <c r="I44" i="31"/>
  <c r="M46" i="31"/>
  <c r="O46" i="31" s="1"/>
  <c r="O49" i="31" s="1"/>
  <c r="M58" i="31"/>
  <c r="O58" i="31" s="1"/>
  <c r="O61" i="31" s="1"/>
  <c r="O56" i="31"/>
  <c r="M57" i="31" s="1"/>
  <c r="Q57" i="31"/>
  <c r="C28" i="30"/>
  <c r="E44" i="30"/>
  <c r="E47" i="30" s="1"/>
  <c r="E56" i="30"/>
  <c r="U14" i="11"/>
  <c r="S15" i="11"/>
  <c r="I26" i="29"/>
  <c r="G28" i="29" s="1"/>
  <c r="E26" i="29"/>
  <c r="C45" i="29"/>
  <c r="E45" i="29" s="1"/>
  <c r="E48" i="29" s="1"/>
  <c r="C28" i="29"/>
  <c r="C58" i="29"/>
  <c r="E58" i="29" s="1"/>
  <c r="E61" i="29" s="1"/>
  <c r="E56" i="29"/>
  <c r="C44" i="29"/>
  <c r="G44" i="29"/>
  <c r="I56" i="29"/>
  <c r="G57" i="29"/>
  <c r="C45" i="28"/>
  <c r="E45" i="28" s="1"/>
  <c r="E48" i="28" s="1"/>
  <c r="G45" i="28"/>
  <c r="I45" i="28" s="1"/>
  <c r="I48" i="28" s="1"/>
  <c r="M45" i="28"/>
  <c r="O45" i="28" s="1"/>
  <c r="O48" i="28" s="1"/>
  <c r="E26" i="28"/>
  <c r="G58" i="28"/>
  <c r="I58" i="28" s="1"/>
  <c r="I61" i="28" s="1"/>
  <c r="I28" i="28"/>
  <c r="G29" i="28" s="1"/>
  <c r="G31" i="28"/>
  <c r="I31" i="28" s="1"/>
  <c r="I34" i="28" s="1"/>
  <c r="I69" i="28" s="1"/>
  <c r="O28" i="28"/>
  <c r="M31" i="28"/>
  <c r="O31" i="28" s="1"/>
  <c r="O34" i="28" s="1"/>
  <c r="O69" i="28" s="1"/>
  <c r="M29" i="28"/>
  <c r="C28" i="28"/>
  <c r="C44" i="28"/>
  <c r="G44" i="28"/>
  <c r="M44" i="28"/>
  <c r="C57" i="28"/>
  <c r="G57" i="28"/>
  <c r="M57" i="28"/>
  <c r="C58" i="28"/>
  <c r="E58" i="28" s="1"/>
  <c r="E61" i="28" s="1"/>
  <c r="M58" i="28"/>
  <c r="O58" i="28" s="1"/>
  <c r="O61" i="28" s="1"/>
  <c r="E56" i="28"/>
  <c r="M28" i="27"/>
  <c r="E28" i="27"/>
  <c r="C29" i="27" s="1"/>
  <c r="G28" i="27"/>
  <c r="E56" i="27"/>
  <c r="C45" i="27"/>
  <c r="E45" i="27" s="1"/>
  <c r="E48" i="27" s="1"/>
  <c r="E69" i="27" s="1"/>
  <c r="C44" i="27"/>
  <c r="G58" i="27"/>
  <c r="I58" i="27" s="1"/>
  <c r="I61" i="27" s="1"/>
  <c r="G57" i="27"/>
  <c r="Q28" i="27"/>
  <c r="E43" i="27"/>
  <c r="I56" i="27"/>
  <c r="G45" i="27"/>
  <c r="I45" i="27" s="1"/>
  <c r="I48" i="27" s="1"/>
  <c r="M58" i="27"/>
  <c r="O58" i="27" s="1"/>
  <c r="O61" i="27" s="1"/>
  <c r="I43" i="27"/>
  <c r="O56" i="27"/>
  <c r="Q58" i="27"/>
  <c r="S58" i="27" s="1"/>
  <c r="S61" i="27" s="1"/>
  <c r="O43" i="27"/>
  <c r="S56" i="27"/>
  <c r="M45" i="27"/>
  <c r="O45" i="27" s="1"/>
  <c r="O48" i="27" s="1"/>
  <c r="S43" i="27"/>
  <c r="S43" i="26"/>
  <c r="Q44" i="26" s="1"/>
  <c r="C45" i="26"/>
  <c r="E45" i="26" s="1"/>
  <c r="E48" i="26" s="1"/>
  <c r="G45" i="26"/>
  <c r="I45" i="26" s="1"/>
  <c r="I48" i="26" s="1"/>
  <c r="M45" i="26"/>
  <c r="O45" i="26" s="1"/>
  <c r="O48" i="26" s="1"/>
  <c r="E26" i="26"/>
  <c r="C58" i="26"/>
  <c r="E58" i="26" s="1"/>
  <c r="E61" i="26" s="1"/>
  <c r="I26" i="26"/>
  <c r="E56" i="26"/>
  <c r="O26" i="26"/>
  <c r="S26" i="26"/>
  <c r="G44" i="26"/>
  <c r="M44" i="26"/>
  <c r="C44" i="26"/>
  <c r="I56" i="26"/>
  <c r="G57" i="26" s="1"/>
  <c r="S56" i="26"/>
  <c r="O56" i="26"/>
  <c r="M57" i="26"/>
  <c r="C59" i="25"/>
  <c r="E59" i="25" s="1"/>
  <c r="E62" i="25" s="1"/>
  <c r="E57" i="25"/>
  <c r="E60" i="25" s="1"/>
  <c r="M28" i="25"/>
  <c r="I57" i="25"/>
  <c r="I60" i="25" s="1"/>
  <c r="O57" i="25"/>
  <c r="O60" i="25" s="1"/>
  <c r="U28" i="25"/>
  <c r="S57" i="25"/>
  <c r="S60" i="25" s="1"/>
  <c r="C28" i="25"/>
  <c r="G28" i="25"/>
  <c r="W57" i="25"/>
  <c r="W60" i="25" s="1"/>
  <c r="W63" i="25" s="1"/>
  <c r="U59" i="25"/>
  <c r="W59" i="25" s="1"/>
  <c r="W62" i="25" s="1"/>
  <c r="E43" i="25"/>
  <c r="I43" i="25"/>
  <c r="S44" i="25"/>
  <c r="Q46" i="25"/>
  <c r="S46" i="25" s="1"/>
  <c r="S49" i="25" s="1"/>
  <c r="S26" i="25"/>
  <c r="S47" i="25"/>
  <c r="S50" i="25" s="1"/>
  <c r="U44" i="25"/>
  <c r="C45" i="25"/>
  <c r="E45" i="25" s="1"/>
  <c r="E48" i="25" s="1"/>
  <c r="W43" i="25"/>
  <c r="M44" i="25"/>
  <c r="I43" i="1"/>
  <c r="I40" i="1"/>
  <c r="I39" i="1"/>
  <c r="I38" i="1"/>
  <c r="I37" i="1"/>
  <c r="G25" i="2"/>
  <c r="G21" i="2"/>
  <c r="G17" i="2"/>
  <c r="G13" i="2"/>
  <c r="G9" i="2"/>
  <c r="F25" i="2"/>
  <c r="F21" i="2"/>
  <c r="F17" i="2"/>
  <c r="F13" i="2"/>
  <c r="F9" i="2"/>
  <c r="I25" i="1"/>
  <c r="I22" i="1"/>
  <c r="I21" i="1"/>
  <c r="I20" i="1"/>
  <c r="I19" i="1"/>
  <c r="I18" i="1"/>
  <c r="I17" i="1"/>
  <c r="I16" i="1"/>
  <c r="C37" i="2"/>
  <c r="C33" i="2"/>
  <c r="C29" i="2"/>
  <c r="C25" i="2"/>
  <c r="C21" i="2"/>
  <c r="C17" i="2"/>
  <c r="C13" i="2"/>
  <c r="B37" i="2"/>
  <c r="B33" i="2"/>
  <c r="B29" i="2"/>
  <c r="B25" i="2"/>
  <c r="B21" i="2"/>
  <c r="B17" i="2"/>
  <c r="B13" i="2"/>
  <c r="C9" i="2"/>
  <c r="B9" i="2"/>
  <c r="I96" i="1"/>
  <c r="I95" i="1"/>
  <c r="J94" i="1"/>
  <c r="I88" i="1"/>
  <c r="I81" i="1"/>
  <c r="I80" i="1"/>
  <c r="J75" i="1"/>
  <c r="I72" i="1"/>
  <c r="I71" i="1"/>
  <c r="I69" i="1"/>
  <c r="I62" i="1"/>
  <c r="I61" i="1"/>
  <c r="I49" i="1"/>
  <c r="I42" i="1"/>
  <c r="I31" i="1"/>
  <c r="I24" i="1"/>
  <c r="I23" i="1"/>
  <c r="B39" i="24"/>
  <c r="B52" i="24" s="1"/>
  <c r="B66" i="24" s="1"/>
  <c r="U56" i="24"/>
  <c r="U58" i="24" s="1"/>
  <c r="W58" i="24" s="1"/>
  <c r="W61" i="24" s="1"/>
  <c r="Q56" i="24"/>
  <c r="M56" i="24"/>
  <c r="G56" i="24"/>
  <c r="C56" i="24"/>
  <c r="U43" i="24"/>
  <c r="U45" i="24" s="1"/>
  <c r="W45" i="24" s="1"/>
  <c r="W48" i="24" s="1"/>
  <c r="Q43" i="24"/>
  <c r="Q45" i="24" s="1"/>
  <c r="S45" i="24" s="1"/>
  <c r="S48" i="24" s="1"/>
  <c r="M43" i="24"/>
  <c r="M45" i="24" s="1"/>
  <c r="O45" i="24" s="1"/>
  <c r="O48" i="24" s="1"/>
  <c r="G43" i="24"/>
  <c r="G45" i="24" s="1"/>
  <c r="I45" i="24" s="1"/>
  <c r="I48" i="24" s="1"/>
  <c r="C43" i="24"/>
  <c r="E43" i="24" s="1"/>
  <c r="U40" i="24"/>
  <c r="U53" i="24" s="1"/>
  <c r="Q40" i="24"/>
  <c r="Q53" i="24" s="1"/>
  <c r="M40" i="24"/>
  <c r="M53" i="24" s="1"/>
  <c r="G40" i="24"/>
  <c r="G53" i="24" s="1"/>
  <c r="C40" i="24"/>
  <c r="C53" i="24" s="1"/>
  <c r="U26" i="24"/>
  <c r="Q26" i="24"/>
  <c r="M26" i="24"/>
  <c r="G26" i="24"/>
  <c r="C26" i="24"/>
  <c r="W25" i="24"/>
  <c r="S25" i="24"/>
  <c r="O25" i="24"/>
  <c r="I25" i="24"/>
  <c r="E25" i="24"/>
  <c r="W24" i="24"/>
  <c r="S24" i="24"/>
  <c r="O24" i="24"/>
  <c r="I24" i="24"/>
  <c r="E24" i="24"/>
  <c r="W23" i="24"/>
  <c r="S23" i="24"/>
  <c r="O23" i="24"/>
  <c r="I23" i="24"/>
  <c r="E23" i="24"/>
  <c r="W22" i="24"/>
  <c r="S22" i="24"/>
  <c r="O22" i="24"/>
  <c r="I22" i="24"/>
  <c r="E22" i="24"/>
  <c r="W21" i="24"/>
  <c r="S21" i="24"/>
  <c r="O21" i="24"/>
  <c r="I21" i="24"/>
  <c r="E21" i="24"/>
  <c r="W20" i="24"/>
  <c r="S20" i="24"/>
  <c r="O20" i="24"/>
  <c r="I20" i="24"/>
  <c r="E20" i="24"/>
  <c r="W19" i="24"/>
  <c r="S19" i="24"/>
  <c r="O19" i="24"/>
  <c r="I19" i="24"/>
  <c r="E19" i="24"/>
  <c r="W18" i="24"/>
  <c r="S18" i="24"/>
  <c r="O18" i="24"/>
  <c r="I18" i="24"/>
  <c r="E18" i="24"/>
  <c r="W17" i="24"/>
  <c r="S17" i="24"/>
  <c r="O17" i="24"/>
  <c r="I17" i="24"/>
  <c r="E17" i="24"/>
  <c r="W16" i="24"/>
  <c r="S16" i="24"/>
  <c r="O16" i="24"/>
  <c r="I16" i="24"/>
  <c r="E16" i="24"/>
  <c r="W15" i="24"/>
  <c r="S15" i="24"/>
  <c r="O15" i="24"/>
  <c r="I15" i="24"/>
  <c r="E15" i="24"/>
  <c r="W14" i="24"/>
  <c r="S14" i="24"/>
  <c r="O14" i="24"/>
  <c r="I14" i="24"/>
  <c r="E14" i="24"/>
  <c r="W13" i="24"/>
  <c r="S13" i="24"/>
  <c r="O13" i="24"/>
  <c r="I13" i="24"/>
  <c r="E13" i="24"/>
  <c r="K63" i="39" l="1"/>
  <c r="O29" i="39"/>
  <c r="Q28" i="39"/>
  <c r="S57" i="39"/>
  <c r="S60" i="39" s="1"/>
  <c r="O57" i="39"/>
  <c r="O60" i="39" s="1"/>
  <c r="I59" i="39"/>
  <c r="K59" i="39" s="1"/>
  <c r="K62" i="39" s="1"/>
  <c r="M46" i="39"/>
  <c r="O46" i="39" s="1"/>
  <c r="O49" i="39" s="1"/>
  <c r="O50" i="39" s="1"/>
  <c r="K28" i="39"/>
  <c r="I31" i="39"/>
  <c r="K31" i="39" s="1"/>
  <c r="K34" i="39" s="1"/>
  <c r="K69" i="39" s="1"/>
  <c r="E28" i="39"/>
  <c r="C31" i="39"/>
  <c r="E31" i="39" s="1"/>
  <c r="E34" i="39" s="1"/>
  <c r="E69" i="39" s="1"/>
  <c r="C57" i="39"/>
  <c r="K44" i="39"/>
  <c r="K47" i="39" s="1"/>
  <c r="E44" i="39"/>
  <c r="E47" i="39" s="1"/>
  <c r="Q44" i="39"/>
  <c r="C31" i="38"/>
  <c r="E31" i="38" s="1"/>
  <c r="E34" i="38" s="1"/>
  <c r="E69" i="38" s="1"/>
  <c r="E28" i="38"/>
  <c r="E57" i="38"/>
  <c r="C59" i="38" s="1"/>
  <c r="E59" i="38" s="1"/>
  <c r="E62" i="38" s="1"/>
  <c r="E60" i="38"/>
  <c r="E44" i="38"/>
  <c r="E47" i="38" s="1"/>
  <c r="I28" i="37"/>
  <c r="G31" i="37"/>
  <c r="I31" i="37" s="1"/>
  <c r="I34" i="37" s="1"/>
  <c r="I69" i="37" s="1"/>
  <c r="I57" i="37"/>
  <c r="I60" i="37" s="1"/>
  <c r="C57" i="37"/>
  <c r="E28" i="37"/>
  <c r="C31" i="37"/>
  <c r="E31" i="37" s="1"/>
  <c r="E34" i="37" s="1"/>
  <c r="E69" i="37" s="1"/>
  <c r="I44" i="37"/>
  <c r="I47" i="37" s="1"/>
  <c r="E44" i="37"/>
  <c r="E47" i="37" s="1"/>
  <c r="O44" i="36"/>
  <c r="M46" i="36"/>
  <c r="O46" i="36" s="1"/>
  <c r="O49" i="36" s="1"/>
  <c r="I44" i="36"/>
  <c r="G46" i="36"/>
  <c r="I46" i="36" s="1"/>
  <c r="I49" i="36" s="1"/>
  <c r="E44" i="36"/>
  <c r="C46" i="36"/>
  <c r="E46" i="36" s="1"/>
  <c r="E49" i="36" s="1"/>
  <c r="O47" i="36"/>
  <c r="O50" i="36" s="1"/>
  <c r="I47" i="36"/>
  <c r="I50" i="36" s="1"/>
  <c r="E47" i="36"/>
  <c r="E50" i="36" s="1"/>
  <c r="I57" i="36"/>
  <c r="I60" i="36" s="1"/>
  <c r="E57" i="36"/>
  <c r="E60" i="36" s="1"/>
  <c r="M28" i="36"/>
  <c r="C28" i="36"/>
  <c r="G28" i="36"/>
  <c r="E28" i="35"/>
  <c r="C31" i="35"/>
  <c r="E31" i="35" s="1"/>
  <c r="E34" i="35" s="1"/>
  <c r="E69" i="35" s="1"/>
  <c r="S57" i="35"/>
  <c r="S60" i="35" s="1"/>
  <c r="I44" i="35"/>
  <c r="I47" i="35" s="1"/>
  <c r="G46" i="35"/>
  <c r="I46" i="35" s="1"/>
  <c r="I49" i="35" s="1"/>
  <c r="O57" i="35"/>
  <c r="O60" i="35" s="1"/>
  <c r="E44" i="35"/>
  <c r="E47" i="35" s="1"/>
  <c r="I57" i="35"/>
  <c r="I60" i="35" s="1"/>
  <c r="G59" i="35"/>
  <c r="I59" i="35" s="1"/>
  <c r="I62" i="35" s="1"/>
  <c r="E57" i="35"/>
  <c r="E60" i="35" s="1"/>
  <c r="E63" i="35" s="1"/>
  <c r="C59" i="35"/>
  <c r="E59" i="35" s="1"/>
  <c r="E62" i="35" s="1"/>
  <c r="S28" i="35"/>
  <c r="Q29" i="35"/>
  <c r="Q31" i="35"/>
  <c r="S31" i="35" s="1"/>
  <c r="S34" i="35" s="1"/>
  <c r="S69" i="35" s="1"/>
  <c r="I28" i="35"/>
  <c r="G31" i="35"/>
  <c r="I31" i="35" s="1"/>
  <c r="I34" i="35" s="1"/>
  <c r="I69" i="35" s="1"/>
  <c r="O28" i="35"/>
  <c r="M29" i="35"/>
  <c r="M31" i="35"/>
  <c r="O31" i="35" s="1"/>
  <c r="O34" i="35" s="1"/>
  <c r="O69" i="35" s="1"/>
  <c r="S44" i="35"/>
  <c r="S47" i="35" s="1"/>
  <c r="M46" i="35"/>
  <c r="O46" i="35" s="1"/>
  <c r="O49" i="35" s="1"/>
  <c r="O44" i="35"/>
  <c r="O47" i="35" s="1"/>
  <c r="E44" i="34"/>
  <c r="E47" i="34" s="1"/>
  <c r="I28" i="34"/>
  <c r="G31" i="34"/>
  <c r="I31" i="34" s="1"/>
  <c r="I34" i="34" s="1"/>
  <c r="I69" i="34" s="1"/>
  <c r="E28" i="34"/>
  <c r="C29" i="34" s="1"/>
  <c r="C31" i="34"/>
  <c r="E31" i="34" s="1"/>
  <c r="E34" i="34" s="1"/>
  <c r="E69" i="34" s="1"/>
  <c r="S44" i="34"/>
  <c r="Q46" i="34" s="1"/>
  <c r="S46" i="34" s="1"/>
  <c r="S49" i="34" s="1"/>
  <c r="S47" i="34"/>
  <c r="S57" i="34"/>
  <c r="S60" i="34" s="1"/>
  <c r="M59" i="34"/>
  <c r="O59" i="34" s="1"/>
  <c r="O62" i="34" s="1"/>
  <c r="O57" i="34"/>
  <c r="O60" i="34" s="1"/>
  <c r="I57" i="34"/>
  <c r="I60" i="34" s="1"/>
  <c r="E57" i="34"/>
  <c r="C59" i="34" s="1"/>
  <c r="E59" i="34" s="1"/>
  <c r="E62" i="34" s="1"/>
  <c r="I44" i="34"/>
  <c r="I47" i="34" s="1"/>
  <c r="S28" i="34"/>
  <c r="Q31" i="34"/>
  <c r="S31" i="34" s="1"/>
  <c r="S34" i="34" s="1"/>
  <c r="S69" i="34" s="1"/>
  <c r="Q29" i="34"/>
  <c r="O29" i="34"/>
  <c r="E60" i="34"/>
  <c r="O44" i="34"/>
  <c r="O47" i="34" s="1"/>
  <c r="U57" i="33"/>
  <c r="Q57" i="33"/>
  <c r="M57" i="33"/>
  <c r="Q28" i="33"/>
  <c r="M28" i="33"/>
  <c r="G28" i="33"/>
  <c r="W44" i="33"/>
  <c r="U46" i="33" s="1"/>
  <c r="W46" i="33" s="1"/>
  <c r="W49" i="33" s="1"/>
  <c r="C28" i="33"/>
  <c r="S44" i="33"/>
  <c r="S47" i="33" s="1"/>
  <c r="M46" i="33"/>
  <c r="O46" i="33" s="1"/>
  <c r="O49" i="33" s="1"/>
  <c r="O50" i="33" s="1"/>
  <c r="G46" i="33"/>
  <c r="I46" i="33" s="1"/>
  <c r="I49" i="33" s="1"/>
  <c r="I50" i="33" s="1"/>
  <c r="C46" i="33"/>
  <c r="E46" i="33" s="1"/>
  <c r="E49" i="33" s="1"/>
  <c r="E50" i="33" s="1"/>
  <c r="W47" i="33"/>
  <c r="U29" i="33"/>
  <c r="U31" i="33"/>
  <c r="W31" i="33" s="1"/>
  <c r="W34" i="33" s="1"/>
  <c r="W69" i="33" s="1"/>
  <c r="W28" i="33"/>
  <c r="G57" i="33"/>
  <c r="C57" i="33"/>
  <c r="E44" i="32"/>
  <c r="E47" i="32" s="1"/>
  <c r="W57" i="32"/>
  <c r="W60" i="32" s="1"/>
  <c r="M44" i="32"/>
  <c r="I44" i="32"/>
  <c r="I47" i="32" s="1"/>
  <c r="G46" i="32"/>
  <c r="I46" i="32" s="1"/>
  <c r="I49" i="32" s="1"/>
  <c r="U31" i="32"/>
  <c r="W31" i="32" s="1"/>
  <c r="W34" i="32" s="1"/>
  <c r="W69" i="32" s="1"/>
  <c r="W28" i="32"/>
  <c r="Q31" i="32"/>
  <c r="S31" i="32" s="1"/>
  <c r="S34" i="32" s="1"/>
  <c r="S69" i="32" s="1"/>
  <c r="S28" i="32"/>
  <c r="O28" i="32"/>
  <c r="M31" i="32"/>
  <c r="O31" i="32" s="1"/>
  <c r="O34" i="32" s="1"/>
  <c r="O69" i="32" s="1"/>
  <c r="G31" i="32"/>
  <c r="I31" i="32" s="1"/>
  <c r="I34" i="32" s="1"/>
  <c r="I69" i="32" s="1"/>
  <c r="I28" i="32"/>
  <c r="G29" i="32" s="1"/>
  <c r="C31" i="32"/>
  <c r="E31" i="32" s="1"/>
  <c r="E34" i="32" s="1"/>
  <c r="E69" i="32" s="1"/>
  <c r="E28" i="32"/>
  <c r="W44" i="32"/>
  <c r="W47" i="32" s="1"/>
  <c r="U46" i="32"/>
  <c r="W46" i="32" s="1"/>
  <c r="W49" i="32" s="1"/>
  <c r="O57" i="32"/>
  <c r="O60" i="32" s="1"/>
  <c r="E57" i="32"/>
  <c r="E60" i="32" s="1"/>
  <c r="Q57" i="32"/>
  <c r="O47" i="31"/>
  <c r="O50" i="31" s="1"/>
  <c r="O57" i="31"/>
  <c r="O60" i="31" s="1"/>
  <c r="S57" i="31"/>
  <c r="S60" i="31" s="1"/>
  <c r="Q59" i="31"/>
  <c r="S59" i="31" s="1"/>
  <c r="S62" i="31" s="1"/>
  <c r="K44" i="31"/>
  <c r="K47" i="31" s="1"/>
  <c r="E44" i="31"/>
  <c r="E47" i="31" s="1"/>
  <c r="Q44" i="31"/>
  <c r="K57" i="31"/>
  <c r="K60" i="31" s="1"/>
  <c r="I59" i="31"/>
  <c r="K59" i="31" s="1"/>
  <c r="K62" i="31" s="1"/>
  <c r="S28" i="31"/>
  <c r="Q29" i="31"/>
  <c r="Q31" i="31"/>
  <c r="S31" i="31" s="1"/>
  <c r="S34" i="31" s="1"/>
  <c r="S69" i="31" s="1"/>
  <c r="K28" i="31"/>
  <c r="I31" i="31"/>
  <c r="K31" i="31" s="1"/>
  <c r="K34" i="31" s="1"/>
  <c r="K69" i="31" s="1"/>
  <c r="C31" i="31"/>
  <c r="E31" i="31" s="1"/>
  <c r="E34" i="31" s="1"/>
  <c r="E69" i="31" s="1"/>
  <c r="E28" i="31"/>
  <c r="C29" i="31" s="1"/>
  <c r="E57" i="31"/>
  <c r="E60" i="31" s="1"/>
  <c r="C59" i="31"/>
  <c r="E59" i="31" s="1"/>
  <c r="E62" i="31" s="1"/>
  <c r="M31" i="31"/>
  <c r="O31" i="31" s="1"/>
  <c r="O34" i="31" s="1"/>
  <c r="O69" i="31" s="1"/>
  <c r="O28" i="31"/>
  <c r="M29" i="31" s="1"/>
  <c r="C46" i="30"/>
  <c r="E46" i="30" s="1"/>
  <c r="E49" i="30" s="1"/>
  <c r="E50" i="30" s="1"/>
  <c r="C57" i="30"/>
  <c r="E28" i="30"/>
  <c r="C31" i="30"/>
  <c r="E31" i="30" s="1"/>
  <c r="E34" i="30" s="1"/>
  <c r="E69" i="30" s="1"/>
  <c r="C29" i="30"/>
  <c r="U15" i="11"/>
  <c r="S17" i="11" s="1"/>
  <c r="U17" i="11" s="1"/>
  <c r="U18" i="11"/>
  <c r="I57" i="29"/>
  <c r="G59" i="29" s="1"/>
  <c r="I59" i="29" s="1"/>
  <c r="I62" i="29" s="1"/>
  <c r="I44" i="29"/>
  <c r="I47" i="29" s="1"/>
  <c r="E44" i="29"/>
  <c r="E47" i="29" s="1"/>
  <c r="C57" i="29"/>
  <c r="G31" i="29"/>
  <c r="I31" i="29" s="1"/>
  <c r="I34" i="29" s="1"/>
  <c r="I69" i="29" s="1"/>
  <c r="I28" i="29"/>
  <c r="C31" i="29"/>
  <c r="E31" i="29" s="1"/>
  <c r="E34" i="29" s="1"/>
  <c r="E69" i="29" s="1"/>
  <c r="E28" i="29"/>
  <c r="I29" i="28"/>
  <c r="E57" i="28"/>
  <c r="C59" i="28" s="1"/>
  <c r="E59" i="28" s="1"/>
  <c r="E62" i="28" s="1"/>
  <c r="O44" i="28"/>
  <c r="O47" i="28" s="1"/>
  <c r="O57" i="28"/>
  <c r="O60" i="28" s="1"/>
  <c r="I57" i="28"/>
  <c r="I60" i="28" s="1"/>
  <c r="I44" i="28"/>
  <c r="I47" i="28" s="1"/>
  <c r="E44" i="28"/>
  <c r="E47" i="28" s="1"/>
  <c r="E28" i="28"/>
  <c r="C31" i="28"/>
  <c r="E31" i="28" s="1"/>
  <c r="E34" i="28" s="1"/>
  <c r="E69" i="28" s="1"/>
  <c r="O29" i="28"/>
  <c r="E60" i="28"/>
  <c r="C30" i="27"/>
  <c r="E29" i="27"/>
  <c r="Q31" i="27"/>
  <c r="S31" i="27" s="1"/>
  <c r="S34" i="27" s="1"/>
  <c r="S69" i="27" s="1"/>
  <c r="S28" i="27"/>
  <c r="I57" i="27"/>
  <c r="G59" i="27"/>
  <c r="I59" i="27" s="1"/>
  <c r="I62" i="27" s="1"/>
  <c r="E44" i="27"/>
  <c r="C46" i="27"/>
  <c r="E46" i="27" s="1"/>
  <c r="E49" i="27" s="1"/>
  <c r="G31" i="27"/>
  <c r="I31" i="27" s="1"/>
  <c r="I34" i="27" s="1"/>
  <c r="I69" i="27" s="1"/>
  <c r="I28" i="27"/>
  <c r="M31" i="27"/>
  <c r="O31" i="27" s="1"/>
  <c r="O34" i="27" s="1"/>
  <c r="O69" i="27" s="1"/>
  <c r="O28" i="27"/>
  <c r="C57" i="27"/>
  <c r="Q44" i="27"/>
  <c r="Q57" i="27"/>
  <c r="M44" i="27"/>
  <c r="M57" i="27"/>
  <c r="G44" i="27"/>
  <c r="I60" i="27"/>
  <c r="I63" i="27" s="1"/>
  <c r="E47" i="27"/>
  <c r="E50" i="27" s="1"/>
  <c r="O57" i="26"/>
  <c r="M59" i="26" s="1"/>
  <c r="O59" i="26" s="1"/>
  <c r="O62" i="26" s="1"/>
  <c r="I57" i="26"/>
  <c r="G59" i="26" s="1"/>
  <c r="I59" i="26" s="1"/>
  <c r="I62" i="26" s="1"/>
  <c r="O60" i="26"/>
  <c r="I60" i="26"/>
  <c r="E44" i="26"/>
  <c r="E47" i="26" s="1"/>
  <c r="S44" i="26"/>
  <c r="S47" i="26" s="1"/>
  <c r="Q46" i="26"/>
  <c r="S46" i="26" s="1"/>
  <c r="S49" i="26" s="1"/>
  <c r="O44" i="26"/>
  <c r="O47" i="26" s="1"/>
  <c r="I44" i="26"/>
  <c r="I47" i="26" s="1"/>
  <c r="Q57" i="26"/>
  <c r="Q28" i="26"/>
  <c r="M28" i="26"/>
  <c r="G28" i="26"/>
  <c r="C57" i="26"/>
  <c r="C28" i="26"/>
  <c r="U46" i="25"/>
  <c r="W46" i="25" s="1"/>
  <c r="W49" i="25" s="1"/>
  <c r="W44" i="25"/>
  <c r="Q28" i="25"/>
  <c r="G44" i="25"/>
  <c r="C44" i="25"/>
  <c r="G31" i="25"/>
  <c r="I31" i="25" s="1"/>
  <c r="I34" i="25" s="1"/>
  <c r="I69" i="25" s="1"/>
  <c r="I28" i="25"/>
  <c r="G29" i="25"/>
  <c r="C31" i="25"/>
  <c r="E31" i="25" s="1"/>
  <c r="E34" i="25" s="1"/>
  <c r="E69" i="25" s="1"/>
  <c r="E28" i="25"/>
  <c r="Q59" i="25"/>
  <c r="S59" i="25" s="1"/>
  <c r="S62" i="25" s="1"/>
  <c r="S63" i="25" s="1"/>
  <c r="U31" i="25"/>
  <c r="W31" i="25" s="1"/>
  <c r="W34" i="25" s="1"/>
  <c r="W69" i="25" s="1"/>
  <c r="W28" i="25"/>
  <c r="U29" i="25"/>
  <c r="M59" i="25"/>
  <c r="O59" i="25" s="1"/>
  <c r="O62" i="25" s="1"/>
  <c r="O63" i="25" s="1"/>
  <c r="G59" i="25"/>
  <c r="I59" i="25" s="1"/>
  <c r="I62" i="25" s="1"/>
  <c r="I63" i="25" s="1"/>
  <c r="M31" i="25"/>
  <c r="O31" i="25" s="1"/>
  <c r="O34" i="25" s="1"/>
  <c r="O69" i="25" s="1"/>
  <c r="O28" i="25"/>
  <c r="M29" i="25"/>
  <c r="O44" i="25"/>
  <c r="O47" i="25" s="1"/>
  <c r="W47" i="25"/>
  <c r="W50" i="25" s="1"/>
  <c r="E63" i="25"/>
  <c r="S26" i="24"/>
  <c r="W26" i="24"/>
  <c r="O26" i="24"/>
  <c r="I43" i="24"/>
  <c r="C44" i="24"/>
  <c r="C45" i="24"/>
  <c r="E45" i="24" s="1"/>
  <c r="E48" i="24" s="1"/>
  <c r="Q28" i="24"/>
  <c r="U28" i="24"/>
  <c r="M28" i="24"/>
  <c r="O43" i="24"/>
  <c r="S43" i="24"/>
  <c r="E44" i="24"/>
  <c r="E47" i="24" s="1"/>
  <c r="G44" i="24"/>
  <c r="M44" i="24"/>
  <c r="W43" i="24"/>
  <c r="Q44" i="24"/>
  <c r="C58" i="24"/>
  <c r="E58" i="24" s="1"/>
  <c r="E61" i="24" s="1"/>
  <c r="E56" i="24"/>
  <c r="E26" i="24"/>
  <c r="I26" i="24"/>
  <c r="I56" i="24"/>
  <c r="O56" i="24"/>
  <c r="S56" i="24"/>
  <c r="W56" i="24"/>
  <c r="G58" i="24"/>
  <c r="I58" i="24" s="1"/>
  <c r="I61" i="24" s="1"/>
  <c r="M58" i="24"/>
  <c r="O58" i="24" s="1"/>
  <c r="O61" i="24" s="1"/>
  <c r="Q58" i="24"/>
  <c r="S58" i="24" s="1"/>
  <c r="S61" i="24" s="1"/>
  <c r="S44" i="39" l="1"/>
  <c r="S47" i="39" s="1"/>
  <c r="C46" i="39"/>
  <c r="E46" i="39" s="1"/>
  <c r="E49" i="39" s="1"/>
  <c r="E50" i="39" s="1"/>
  <c r="I46" i="39"/>
  <c r="K46" i="39" s="1"/>
  <c r="K49" i="39" s="1"/>
  <c r="K50" i="39" s="1"/>
  <c r="E57" i="39"/>
  <c r="E60" i="39" s="1"/>
  <c r="C29" i="39"/>
  <c r="I29" i="39"/>
  <c r="M59" i="39"/>
  <c r="O59" i="39" s="1"/>
  <c r="O62" i="39" s="1"/>
  <c r="O63" i="39" s="1"/>
  <c r="Q59" i="39"/>
  <c r="S59" i="39" s="1"/>
  <c r="S62" i="39" s="1"/>
  <c r="S63" i="39" s="1"/>
  <c r="S28" i="39"/>
  <c r="Q31" i="39"/>
  <c r="S31" i="39" s="1"/>
  <c r="S34" i="39" s="1"/>
  <c r="S69" i="39" s="1"/>
  <c r="Q29" i="39"/>
  <c r="M30" i="39"/>
  <c r="C46" i="38"/>
  <c r="E46" i="38" s="1"/>
  <c r="E49" i="38" s="1"/>
  <c r="E50" i="38" s="1"/>
  <c r="E63" i="38"/>
  <c r="C29" i="38"/>
  <c r="C46" i="37"/>
  <c r="E46" i="37" s="1"/>
  <c r="E49" i="37" s="1"/>
  <c r="E50" i="37" s="1"/>
  <c r="G46" i="37"/>
  <c r="I46" i="37" s="1"/>
  <c r="I49" i="37" s="1"/>
  <c r="I50" i="37" s="1"/>
  <c r="C29" i="37"/>
  <c r="E57" i="37"/>
  <c r="E60" i="37" s="1"/>
  <c r="G59" i="37"/>
  <c r="I59" i="37" s="1"/>
  <c r="I62" i="37" s="1"/>
  <c r="I63" i="37" s="1"/>
  <c r="G29" i="37"/>
  <c r="O28" i="36"/>
  <c r="M31" i="36"/>
  <c r="O31" i="36" s="1"/>
  <c r="O34" i="36" s="1"/>
  <c r="O69" i="36" s="1"/>
  <c r="M29" i="36"/>
  <c r="C59" i="36"/>
  <c r="E59" i="36" s="1"/>
  <c r="E62" i="36" s="1"/>
  <c r="E63" i="36" s="1"/>
  <c r="G59" i="36"/>
  <c r="I59" i="36" s="1"/>
  <c r="I62" i="36" s="1"/>
  <c r="I63" i="36" s="1"/>
  <c r="I28" i="36"/>
  <c r="G31" i="36"/>
  <c r="I31" i="36" s="1"/>
  <c r="I34" i="36" s="1"/>
  <c r="I69" i="36" s="1"/>
  <c r="G29" i="36"/>
  <c r="E28" i="36"/>
  <c r="C31" i="36"/>
  <c r="E31" i="36" s="1"/>
  <c r="E34" i="36" s="1"/>
  <c r="E69" i="36" s="1"/>
  <c r="Q46" i="35"/>
  <c r="S46" i="35" s="1"/>
  <c r="S49" i="35" s="1"/>
  <c r="S50" i="35" s="1"/>
  <c r="O29" i="35"/>
  <c r="M30" i="35" s="1"/>
  <c r="G29" i="35"/>
  <c r="S29" i="35"/>
  <c r="Q30" i="35" s="1"/>
  <c r="I63" i="35"/>
  <c r="C46" i="35"/>
  <c r="E46" i="35" s="1"/>
  <c r="E49" i="35" s="1"/>
  <c r="E50" i="35" s="1"/>
  <c r="M59" i="35"/>
  <c r="O59" i="35" s="1"/>
  <c r="O62" i="35" s="1"/>
  <c r="O63" i="35" s="1"/>
  <c r="I50" i="35"/>
  <c r="Q59" i="35"/>
  <c r="S59" i="35" s="1"/>
  <c r="S62" i="35" s="1"/>
  <c r="S63" i="35" s="1"/>
  <c r="O50" i="35"/>
  <c r="C29" i="35"/>
  <c r="E29" i="34"/>
  <c r="C30" i="34"/>
  <c r="Q59" i="34"/>
  <c r="S59" i="34" s="1"/>
  <c r="S62" i="34" s="1"/>
  <c r="S63" i="34" s="1"/>
  <c r="E63" i="34"/>
  <c r="M30" i="34"/>
  <c r="S29" i="34"/>
  <c r="Q30" i="34" s="1"/>
  <c r="G46" i="34"/>
  <c r="I46" i="34" s="1"/>
  <c r="I49" i="34" s="1"/>
  <c r="I50" i="34" s="1"/>
  <c r="G59" i="34"/>
  <c r="I59" i="34" s="1"/>
  <c r="I62" i="34" s="1"/>
  <c r="I63" i="34" s="1"/>
  <c r="O63" i="34"/>
  <c r="S50" i="34"/>
  <c r="G29" i="34"/>
  <c r="C46" i="34"/>
  <c r="E46" i="34" s="1"/>
  <c r="E49" i="34" s="1"/>
  <c r="E50" i="34" s="1"/>
  <c r="M46" i="34"/>
  <c r="O46" i="34" s="1"/>
  <c r="O49" i="34" s="1"/>
  <c r="O50" i="34" s="1"/>
  <c r="W29" i="33"/>
  <c r="U30" i="33"/>
  <c r="W50" i="33"/>
  <c r="Q46" i="33"/>
  <c r="S46" i="33" s="1"/>
  <c r="S49" i="33" s="1"/>
  <c r="S50" i="33" s="1"/>
  <c r="E28" i="33"/>
  <c r="C31" i="33"/>
  <c r="E31" i="33" s="1"/>
  <c r="E34" i="33" s="1"/>
  <c r="E69" i="33" s="1"/>
  <c r="C29" i="33"/>
  <c r="G31" i="33"/>
  <c r="I31" i="33" s="1"/>
  <c r="I34" i="33" s="1"/>
  <c r="I69" i="33" s="1"/>
  <c r="I28" i="33"/>
  <c r="M31" i="33"/>
  <c r="O31" i="33" s="1"/>
  <c r="O34" i="33" s="1"/>
  <c r="O69" i="33" s="1"/>
  <c r="O28" i="33"/>
  <c r="Q31" i="33"/>
  <c r="S31" i="33" s="1"/>
  <c r="S34" i="33" s="1"/>
  <c r="S69" i="33" s="1"/>
  <c r="S28" i="33"/>
  <c r="O57" i="33"/>
  <c r="O60" i="33" s="1"/>
  <c r="M59" i="33"/>
  <c r="O59" i="33" s="1"/>
  <c r="O62" i="33" s="1"/>
  <c r="S57" i="33"/>
  <c r="S60" i="33" s="1"/>
  <c r="Q59" i="33"/>
  <c r="S59" i="33" s="1"/>
  <c r="S62" i="33" s="1"/>
  <c r="W57" i="33"/>
  <c r="W60" i="33" s="1"/>
  <c r="U59" i="33"/>
  <c r="W59" i="33" s="1"/>
  <c r="W62" i="33" s="1"/>
  <c r="E57" i="33"/>
  <c r="E60" i="33" s="1"/>
  <c r="C59" i="33"/>
  <c r="E59" i="33" s="1"/>
  <c r="E62" i="33" s="1"/>
  <c r="I57" i="33"/>
  <c r="I60" i="33" s="1"/>
  <c r="G59" i="33"/>
  <c r="I59" i="33" s="1"/>
  <c r="I62" i="33" s="1"/>
  <c r="I29" i="32"/>
  <c r="G30" i="32"/>
  <c r="E63" i="32"/>
  <c r="M59" i="32"/>
  <c r="O59" i="32" s="1"/>
  <c r="O62" i="32" s="1"/>
  <c r="O63" i="32" s="1"/>
  <c r="W50" i="32"/>
  <c r="C29" i="32"/>
  <c r="M29" i="32"/>
  <c r="Q29" i="32"/>
  <c r="U29" i="32"/>
  <c r="I50" i="32"/>
  <c r="O44" i="32"/>
  <c r="O47" i="32" s="1"/>
  <c r="S57" i="32"/>
  <c r="S60" i="32" s="1"/>
  <c r="U59" i="32"/>
  <c r="W59" i="32" s="1"/>
  <c r="W62" i="32" s="1"/>
  <c r="W63" i="32" s="1"/>
  <c r="C59" i="32"/>
  <c r="E59" i="32" s="1"/>
  <c r="E62" i="32" s="1"/>
  <c r="C46" i="32"/>
  <c r="E46" i="32" s="1"/>
  <c r="E49" i="32" s="1"/>
  <c r="E50" i="32" s="1"/>
  <c r="S63" i="31"/>
  <c r="E29" i="31"/>
  <c r="E63" i="31"/>
  <c r="M59" i="31"/>
  <c r="O59" i="31" s="1"/>
  <c r="O62" i="31" s="1"/>
  <c r="O63" i="31" s="1"/>
  <c r="I29" i="31"/>
  <c r="S29" i="31"/>
  <c r="Q30" i="31"/>
  <c r="K63" i="31"/>
  <c r="C46" i="31"/>
  <c r="E46" i="31" s="1"/>
  <c r="E49" i="31" s="1"/>
  <c r="E50" i="31" s="1"/>
  <c r="I46" i="31"/>
  <c r="K46" i="31" s="1"/>
  <c r="K49" i="31" s="1"/>
  <c r="K50" i="31" s="1"/>
  <c r="O29" i="31"/>
  <c r="M30" i="31" s="1"/>
  <c r="S44" i="31"/>
  <c r="S47" i="31" s="1"/>
  <c r="E57" i="30"/>
  <c r="E60" i="30" s="1"/>
  <c r="C59" i="30"/>
  <c r="E59" i="30" s="1"/>
  <c r="E62" i="30" s="1"/>
  <c r="E29" i="30"/>
  <c r="C30" i="30" s="1"/>
  <c r="U25" i="11"/>
  <c r="U27" i="11" s="1"/>
  <c r="U20" i="11"/>
  <c r="I60" i="29"/>
  <c r="I63" i="29" s="1"/>
  <c r="C29" i="29"/>
  <c r="G29" i="29"/>
  <c r="E57" i="29"/>
  <c r="E60" i="29" s="1"/>
  <c r="C46" i="29"/>
  <c r="E46" i="29" s="1"/>
  <c r="E49" i="29" s="1"/>
  <c r="E50" i="29" s="1"/>
  <c r="G46" i="29"/>
  <c r="I46" i="29" s="1"/>
  <c r="I49" i="29" s="1"/>
  <c r="I50" i="29" s="1"/>
  <c r="E63" i="28"/>
  <c r="M30" i="28"/>
  <c r="C29" i="28"/>
  <c r="C46" i="28"/>
  <c r="E46" i="28" s="1"/>
  <c r="E49" i="28" s="1"/>
  <c r="E50" i="28" s="1"/>
  <c r="G46" i="28"/>
  <c r="I46" i="28" s="1"/>
  <c r="I49" i="28" s="1"/>
  <c r="I50" i="28" s="1"/>
  <c r="G59" i="28"/>
  <c r="I59" i="28" s="1"/>
  <c r="I62" i="28" s="1"/>
  <c r="I63" i="28" s="1"/>
  <c r="M59" i="28"/>
  <c r="O59" i="28" s="1"/>
  <c r="O62" i="28" s="1"/>
  <c r="O63" i="28" s="1"/>
  <c r="M46" i="28"/>
  <c r="O46" i="28" s="1"/>
  <c r="O49" i="28" s="1"/>
  <c r="O50" i="28"/>
  <c r="G30" i="28"/>
  <c r="E30" i="27"/>
  <c r="E33" i="27" s="1"/>
  <c r="C32" i="27"/>
  <c r="E32" i="27" s="1"/>
  <c r="E35" i="27" s="1"/>
  <c r="I44" i="27"/>
  <c r="I47" i="27" s="1"/>
  <c r="G46" i="27"/>
  <c r="I46" i="27" s="1"/>
  <c r="I49" i="27" s="1"/>
  <c r="O57" i="27"/>
  <c r="O60" i="27" s="1"/>
  <c r="M59" i="27"/>
  <c r="O59" i="27" s="1"/>
  <c r="O62" i="27" s="1"/>
  <c r="O44" i="27"/>
  <c r="O47" i="27" s="1"/>
  <c r="M46" i="27"/>
  <c r="O46" i="27" s="1"/>
  <c r="O49" i="27" s="1"/>
  <c r="S57" i="27"/>
  <c r="S60" i="27" s="1"/>
  <c r="Q59" i="27"/>
  <c r="S59" i="27" s="1"/>
  <c r="S62" i="27" s="1"/>
  <c r="S44" i="27"/>
  <c r="S47" i="27" s="1"/>
  <c r="Q46" i="27"/>
  <c r="S46" i="27" s="1"/>
  <c r="S49" i="27" s="1"/>
  <c r="E57" i="27"/>
  <c r="E60" i="27" s="1"/>
  <c r="C59" i="27"/>
  <c r="E59" i="27" s="1"/>
  <c r="E62" i="27" s="1"/>
  <c r="M29" i="27"/>
  <c r="G29" i="27"/>
  <c r="Q29" i="27"/>
  <c r="O63" i="26"/>
  <c r="E57" i="26"/>
  <c r="E60" i="26" s="1"/>
  <c r="C59" i="26"/>
  <c r="E59" i="26" s="1"/>
  <c r="E62" i="26" s="1"/>
  <c r="M31" i="26"/>
  <c r="O31" i="26" s="1"/>
  <c r="O34" i="26" s="1"/>
  <c r="O69" i="26" s="1"/>
  <c r="O28" i="26"/>
  <c r="C46" i="26"/>
  <c r="E46" i="26" s="1"/>
  <c r="E49" i="26" s="1"/>
  <c r="E50" i="26" s="1"/>
  <c r="C31" i="26"/>
  <c r="E31" i="26" s="1"/>
  <c r="E34" i="26" s="1"/>
  <c r="E69" i="26" s="1"/>
  <c r="E28" i="26"/>
  <c r="G31" i="26"/>
  <c r="I31" i="26" s="1"/>
  <c r="I34" i="26" s="1"/>
  <c r="I69" i="26" s="1"/>
  <c r="I28" i="26"/>
  <c r="Q31" i="26"/>
  <c r="S31" i="26" s="1"/>
  <c r="S34" i="26" s="1"/>
  <c r="S69" i="26" s="1"/>
  <c r="S28" i="26"/>
  <c r="S57" i="26"/>
  <c r="S60" i="26" s="1"/>
  <c r="G46" i="26"/>
  <c r="I46" i="26" s="1"/>
  <c r="I49" i="26" s="1"/>
  <c r="I50" i="26" s="1"/>
  <c r="M46" i="26"/>
  <c r="O46" i="26" s="1"/>
  <c r="O49" i="26" s="1"/>
  <c r="O50" i="26" s="1"/>
  <c r="S50" i="26"/>
  <c r="I63" i="26"/>
  <c r="O50" i="25"/>
  <c r="M46" i="25"/>
  <c r="O46" i="25" s="1"/>
  <c r="O49" i="25" s="1"/>
  <c r="O29" i="25"/>
  <c r="M30" i="25" s="1"/>
  <c r="W29" i="25"/>
  <c r="U30" i="25" s="1"/>
  <c r="C29" i="25"/>
  <c r="I29" i="25"/>
  <c r="G30" i="25"/>
  <c r="E44" i="25"/>
  <c r="E47" i="25" s="1"/>
  <c r="C46" i="25"/>
  <c r="E46" i="25" s="1"/>
  <c r="E49" i="25" s="1"/>
  <c r="G46" i="25"/>
  <c r="I46" i="25" s="1"/>
  <c r="I49" i="25" s="1"/>
  <c r="I44" i="25"/>
  <c r="I47" i="25" s="1"/>
  <c r="Q31" i="25"/>
  <c r="S31" i="25" s="1"/>
  <c r="S34" i="25" s="1"/>
  <c r="S69" i="25" s="1"/>
  <c r="S28" i="25"/>
  <c r="Q29" i="25"/>
  <c r="Q31" i="24"/>
  <c r="S31" i="24" s="1"/>
  <c r="S34" i="24" s="1"/>
  <c r="S69" i="24" s="1"/>
  <c r="S28" i="24"/>
  <c r="U57" i="24"/>
  <c r="Q57" i="24"/>
  <c r="M57" i="24"/>
  <c r="G28" i="24"/>
  <c r="G57" i="24"/>
  <c r="U44" i="24"/>
  <c r="C28" i="24"/>
  <c r="C57" i="24"/>
  <c r="S44" i="24"/>
  <c r="Q46" i="24" s="1"/>
  <c r="S46" i="24" s="1"/>
  <c r="S49" i="24" s="1"/>
  <c r="O44" i="24"/>
  <c r="M46" i="24" s="1"/>
  <c r="O46" i="24" s="1"/>
  <c r="O49" i="24" s="1"/>
  <c r="I44" i="24"/>
  <c r="I47" i="24" s="1"/>
  <c r="C46" i="24"/>
  <c r="E46" i="24" s="1"/>
  <c r="E49" i="24" s="1"/>
  <c r="E50" i="24" s="1"/>
  <c r="S47" i="24"/>
  <c r="O47" i="24"/>
  <c r="M31" i="24"/>
  <c r="O31" i="24" s="1"/>
  <c r="O34" i="24" s="1"/>
  <c r="O69" i="24" s="1"/>
  <c r="O28" i="24"/>
  <c r="W28" i="24"/>
  <c r="U31" i="24"/>
  <c r="W31" i="24" s="1"/>
  <c r="W34" i="24" s="1"/>
  <c r="W69" i="24" s="1"/>
  <c r="O14" i="11"/>
  <c r="O16" i="11" s="1"/>
  <c r="Q16" i="11" s="1"/>
  <c r="Q19" i="11" s="1"/>
  <c r="Q26" i="11" s="1"/>
  <c r="K14" i="11"/>
  <c r="K16" i="11" s="1"/>
  <c r="M16" i="11" s="1"/>
  <c r="M19" i="11" s="1"/>
  <c r="M26" i="11" s="1"/>
  <c r="G14" i="11"/>
  <c r="G16" i="11" s="1"/>
  <c r="I16" i="11" s="1"/>
  <c r="I19" i="11" s="1"/>
  <c r="I26" i="11" s="1"/>
  <c r="C14" i="11"/>
  <c r="J82" i="1"/>
  <c r="J81" i="1"/>
  <c r="J63" i="1"/>
  <c r="J62" i="1"/>
  <c r="J61" i="1"/>
  <c r="J60" i="1"/>
  <c r="J58" i="1"/>
  <c r="J55" i="1"/>
  <c r="J43" i="1"/>
  <c r="J25" i="1"/>
  <c r="J23" i="1"/>
  <c r="J22" i="1"/>
  <c r="J90" i="1"/>
  <c r="J57" i="1"/>
  <c r="J59" i="1"/>
  <c r="J54" i="1"/>
  <c r="I53" i="1"/>
  <c r="J53" i="1" s="1"/>
  <c r="I52" i="1"/>
  <c r="J52" i="1" s="1"/>
  <c r="I51" i="1"/>
  <c r="J51" i="1" s="1"/>
  <c r="I41" i="1"/>
  <c r="J41" i="1" s="1"/>
  <c r="J37" i="1"/>
  <c r="I36" i="1"/>
  <c r="J36" i="1" s="1"/>
  <c r="I35" i="1"/>
  <c r="J35" i="1" s="1"/>
  <c r="I34" i="1"/>
  <c r="J34" i="1" s="1"/>
  <c r="I33" i="1"/>
  <c r="J33" i="1" s="1"/>
  <c r="J24" i="1"/>
  <c r="J16" i="1"/>
  <c r="K29" i="39" l="1"/>
  <c r="E29" i="39"/>
  <c r="C30" i="39"/>
  <c r="C59" i="39"/>
  <c r="E59" i="39" s="1"/>
  <c r="E62" i="39" s="1"/>
  <c r="E63" i="39" s="1"/>
  <c r="Q46" i="39"/>
  <c r="S46" i="39" s="1"/>
  <c r="S49" i="39" s="1"/>
  <c r="S50" i="39" s="1"/>
  <c r="O30" i="39"/>
  <c r="O33" i="39" s="1"/>
  <c r="S29" i="39"/>
  <c r="Q30" i="39" s="1"/>
  <c r="C30" i="38"/>
  <c r="E29" i="38"/>
  <c r="C59" i="37"/>
  <c r="E59" i="37" s="1"/>
  <c r="E62" i="37" s="1"/>
  <c r="E29" i="37"/>
  <c r="C30" i="37"/>
  <c r="I29" i="37"/>
  <c r="E63" i="37"/>
  <c r="C29" i="36"/>
  <c r="I29" i="36"/>
  <c r="G30" i="36" s="1"/>
  <c r="O29" i="36"/>
  <c r="M30" i="36" s="1"/>
  <c r="S30" i="35"/>
  <c r="S33" i="35" s="1"/>
  <c r="O30" i="35"/>
  <c r="O33" i="35" s="1"/>
  <c r="E29" i="35"/>
  <c r="C30" i="35"/>
  <c r="I29" i="35"/>
  <c r="S30" i="34"/>
  <c r="S33" i="34" s="1"/>
  <c r="I29" i="34"/>
  <c r="O30" i="34"/>
  <c r="O33" i="34" s="1"/>
  <c r="E30" i="34"/>
  <c r="E33" i="34" s="1"/>
  <c r="I63" i="33"/>
  <c r="E63" i="33"/>
  <c r="W63" i="33"/>
  <c r="S63" i="33"/>
  <c r="O63" i="33"/>
  <c r="Q29" i="33"/>
  <c r="M29" i="33"/>
  <c r="G29" i="33"/>
  <c r="E29" i="33"/>
  <c r="C30" i="33" s="1"/>
  <c r="W30" i="33"/>
  <c r="W33" i="33" s="1"/>
  <c r="Q59" i="32"/>
  <c r="S59" i="32" s="1"/>
  <c r="S62" i="32" s="1"/>
  <c r="S29" i="32"/>
  <c r="Q30" i="32" s="1"/>
  <c r="O29" i="32"/>
  <c r="M30" i="32"/>
  <c r="I30" i="32"/>
  <c r="I33" i="32" s="1"/>
  <c r="G32" i="32"/>
  <c r="I32" i="32" s="1"/>
  <c r="I35" i="32" s="1"/>
  <c r="I70" i="32" s="1"/>
  <c r="M46" i="32"/>
  <c r="O46" i="32" s="1"/>
  <c r="O49" i="32" s="1"/>
  <c r="O50" i="32" s="1"/>
  <c r="E29" i="32"/>
  <c r="C30" i="32"/>
  <c r="S63" i="32"/>
  <c r="W29" i="32"/>
  <c r="U30" i="32"/>
  <c r="Q46" i="31"/>
  <c r="S46" i="31" s="1"/>
  <c r="S49" i="31" s="1"/>
  <c r="S50" i="31" s="1"/>
  <c r="O30" i="31"/>
  <c r="O33" i="31" s="1"/>
  <c r="K29" i="31"/>
  <c r="C30" i="31"/>
  <c r="S30" i="31"/>
  <c r="S33" i="31" s="1"/>
  <c r="E30" i="30"/>
  <c r="E33" i="30" s="1"/>
  <c r="E63" i="30"/>
  <c r="I29" i="29"/>
  <c r="G30" i="29" s="1"/>
  <c r="E29" i="29"/>
  <c r="C59" i="29"/>
  <c r="E59" i="29" s="1"/>
  <c r="E62" i="29" s="1"/>
  <c r="E63" i="29" s="1"/>
  <c r="I30" i="28"/>
  <c r="I33" i="28" s="1"/>
  <c r="E29" i="28"/>
  <c r="C30" i="28"/>
  <c r="O30" i="28"/>
  <c r="O33" i="28" s="1"/>
  <c r="E36" i="27"/>
  <c r="E68" i="27"/>
  <c r="E63" i="27"/>
  <c r="S50" i="27"/>
  <c r="S63" i="27"/>
  <c r="O50" i="27"/>
  <c r="O63" i="27"/>
  <c r="I50" i="27"/>
  <c r="E70" i="27"/>
  <c r="S29" i="27"/>
  <c r="I29" i="27"/>
  <c r="M30" i="27"/>
  <c r="O29" i="27"/>
  <c r="Q59" i="26"/>
  <c r="S59" i="26" s="1"/>
  <c r="S62" i="26" s="1"/>
  <c r="S63" i="26" s="1"/>
  <c r="Q29" i="26"/>
  <c r="G29" i="26"/>
  <c r="C29" i="26"/>
  <c r="M29" i="26"/>
  <c r="E63" i="26"/>
  <c r="W30" i="25"/>
  <c r="W33" i="25" s="1"/>
  <c r="U32" i="25"/>
  <c r="W32" i="25" s="1"/>
  <c r="W35" i="25" s="1"/>
  <c r="W70" i="25" s="1"/>
  <c r="O30" i="25"/>
  <c r="O33" i="25" s="1"/>
  <c r="M32" i="25"/>
  <c r="O32" i="25" s="1"/>
  <c r="O35" i="25" s="1"/>
  <c r="O70" i="25" s="1"/>
  <c r="S29" i="25"/>
  <c r="Q30" i="25" s="1"/>
  <c r="I50" i="25"/>
  <c r="E50" i="25"/>
  <c r="I30" i="25"/>
  <c r="I33" i="25" s="1"/>
  <c r="E29" i="25"/>
  <c r="C30" i="25"/>
  <c r="O50" i="24"/>
  <c r="S50" i="24"/>
  <c r="G46" i="24"/>
  <c r="I46" i="24" s="1"/>
  <c r="I49" i="24" s="1"/>
  <c r="I50" i="24" s="1"/>
  <c r="E57" i="24"/>
  <c r="E60" i="24" s="1"/>
  <c r="C59" i="24"/>
  <c r="E59" i="24" s="1"/>
  <c r="E62" i="24" s="1"/>
  <c r="C31" i="24"/>
  <c r="E31" i="24" s="1"/>
  <c r="E34" i="24" s="1"/>
  <c r="E69" i="24" s="1"/>
  <c r="G10" i="1" s="1"/>
  <c r="E28" i="24"/>
  <c r="W44" i="24"/>
  <c r="W47" i="24" s="1"/>
  <c r="I57" i="24"/>
  <c r="I60" i="24" s="1"/>
  <c r="G59" i="24"/>
  <c r="I59" i="24" s="1"/>
  <c r="I62" i="24" s="1"/>
  <c r="G31" i="24"/>
  <c r="I31" i="24" s="1"/>
  <c r="I34" i="24" s="1"/>
  <c r="I69" i="24" s="1"/>
  <c r="I28" i="24"/>
  <c r="O57" i="24"/>
  <c r="O60" i="24" s="1"/>
  <c r="M59" i="24"/>
  <c r="O59" i="24" s="1"/>
  <c r="O62" i="24" s="1"/>
  <c r="S57" i="24"/>
  <c r="S60" i="24" s="1"/>
  <c r="Q59" i="24"/>
  <c r="S59" i="24" s="1"/>
  <c r="S62" i="24" s="1"/>
  <c r="W57" i="24"/>
  <c r="W60" i="24" s="1"/>
  <c r="U59" i="24"/>
  <c r="W59" i="24" s="1"/>
  <c r="W62" i="24" s="1"/>
  <c r="U29" i="24"/>
  <c r="Q29" i="24"/>
  <c r="M29" i="24"/>
  <c r="Q14" i="11"/>
  <c r="O15" i="11" s="1"/>
  <c r="M14" i="11"/>
  <c r="K15" i="11" s="1"/>
  <c r="I14" i="11"/>
  <c r="G15" i="11" s="1"/>
  <c r="C16" i="11"/>
  <c r="E16" i="11" s="1"/>
  <c r="E19" i="11" s="1"/>
  <c r="E26" i="11" s="1"/>
  <c r="E14" i="11"/>
  <c r="C15" i="11" s="1"/>
  <c r="J97" i="1"/>
  <c r="J96" i="1"/>
  <c r="J95" i="1"/>
  <c r="J80" i="1"/>
  <c r="J79" i="1"/>
  <c r="J78" i="1"/>
  <c r="J76" i="1"/>
  <c r="J56" i="1"/>
  <c r="J42" i="1"/>
  <c r="J40" i="1"/>
  <c r="J38" i="1"/>
  <c r="J20" i="1"/>
  <c r="J19" i="1"/>
  <c r="J18" i="1"/>
  <c r="J73" i="1"/>
  <c r="J72" i="1"/>
  <c r="J71" i="1"/>
  <c r="J69" i="1"/>
  <c r="J49" i="1"/>
  <c r="J31" i="1"/>
  <c r="J14" i="1"/>
  <c r="J13" i="1"/>
  <c r="J12" i="1"/>
  <c r="Q32" i="39" l="1"/>
  <c r="S32" i="39" s="1"/>
  <c r="S35" i="39" s="1"/>
  <c r="S70" i="39" s="1"/>
  <c r="S30" i="39"/>
  <c r="S33" i="39" s="1"/>
  <c r="O68" i="39"/>
  <c r="M32" i="39"/>
  <c r="O32" i="39" s="1"/>
  <c r="O35" i="39" s="1"/>
  <c r="O70" i="39" s="1"/>
  <c r="E30" i="39"/>
  <c r="C32" i="39" s="1"/>
  <c r="E32" i="39" s="1"/>
  <c r="E35" i="39" s="1"/>
  <c r="E70" i="39" s="1"/>
  <c r="E33" i="39"/>
  <c r="I30" i="39"/>
  <c r="E30" i="38"/>
  <c r="C32" i="38" s="1"/>
  <c r="E32" i="38" s="1"/>
  <c r="E35" i="38" s="1"/>
  <c r="E70" i="38" s="1"/>
  <c r="G30" i="37"/>
  <c r="E30" i="37"/>
  <c r="E33" i="37" s="1"/>
  <c r="O30" i="36"/>
  <c r="O33" i="36" s="1"/>
  <c r="I30" i="36"/>
  <c r="I33" i="36" s="1"/>
  <c r="E29" i="36"/>
  <c r="C30" i="36"/>
  <c r="G30" i="35"/>
  <c r="E30" i="35"/>
  <c r="C32" i="35" s="1"/>
  <c r="E32" i="35" s="1"/>
  <c r="E35" i="35" s="1"/>
  <c r="E70" i="35" s="1"/>
  <c r="E33" i="35"/>
  <c r="O68" i="35"/>
  <c r="S68" i="35"/>
  <c r="M32" i="35"/>
  <c r="O32" i="35" s="1"/>
  <c r="O35" i="35" s="1"/>
  <c r="O70" i="35" s="1"/>
  <c r="Q32" i="35"/>
  <c r="S32" i="35" s="1"/>
  <c r="S35" i="35" s="1"/>
  <c r="S70" i="35" s="1"/>
  <c r="E68" i="34"/>
  <c r="C32" i="34"/>
  <c r="E32" i="34" s="1"/>
  <c r="E35" i="34" s="1"/>
  <c r="E70" i="34" s="1"/>
  <c r="O68" i="34"/>
  <c r="M32" i="34"/>
  <c r="O32" i="34" s="1"/>
  <c r="O35" i="34" s="1"/>
  <c r="O70" i="34" s="1"/>
  <c r="G30" i="34"/>
  <c r="S68" i="34"/>
  <c r="Q32" i="34"/>
  <c r="S32" i="34" s="1"/>
  <c r="S35" i="34" s="1"/>
  <c r="S70" i="34" s="1"/>
  <c r="E30" i="33"/>
  <c r="E33" i="33" s="1"/>
  <c r="C32" i="33"/>
  <c r="E32" i="33" s="1"/>
  <c r="E35" i="33" s="1"/>
  <c r="E70" i="33" s="1"/>
  <c r="W68" i="33"/>
  <c r="U32" i="33"/>
  <c r="W32" i="33" s="1"/>
  <c r="W35" i="33" s="1"/>
  <c r="W70" i="33" s="1"/>
  <c r="I29" i="33"/>
  <c r="O29" i="33"/>
  <c r="S29" i="33"/>
  <c r="S30" i="32"/>
  <c r="Q32" i="32" s="1"/>
  <c r="S32" i="32" s="1"/>
  <c r="S35" i="32" s="1"/>
  <c r="S70" i="32" s="1"/>
  <c r="O30" i="32"/>
  <c r="M32" i="32" s="1"/>
  <c r="O32" i="32" s="1"/>
  <c r="O35" i="32" s="1"/>
  <c r="O70" i="32" s="1"/>
  <c r="E30" i="32"/>
  <c r="C32" i="32" s="1"/>
  <c r="E32" i="32" s="1"/>
  <c r="E35" i="32" s="1"/>
  <c r="E70" i="32" s="1"/>
  <c r="I36" i="32"/>
  <c r="I68" i="32"/>
  <c r="I71" i="32" s="1"/>
  <c r="O33" i="32"/>
  <c r="E33" i="32"/>
  <c r="S33" i="32"/>
  <c r="U32" i="32"/>
  <c r="W32" i="32" s="1"/>
  <c r="W35" i="32" s="1"/>
  <c r="W70" i="32" s="1"/>
  <c r="W30" i="32"/>
  <c r="W33" i="32"/>
  <c r="M32" i="31"/>
  <c r="O32" i="31" s="1"/>
  <c r="O35" i="31" s="1"/>
  <c r="O70" i="31" s="1"/>
  <c r="O68" i="31"/>
  <c r="O36" i="31"/>
  <c r="S68" i="31"/>
  <c r="Q32" i="31"/>
  <c r="S32" i="31" s="1"/>
  <c r="S35" i="31" s="1"/>
  <c r="S70" i="31" s="1"/>
  <c r="E30" i="31"/>
  <c r="E33" i="31" s="1"/>
  <c r="I30" i="31"/>
  <c r="C32" i="30"/>
  <c r="E32" i="30" s="1"/>
  <c r="E35" i="30" s="1"/>
  <c r="E70" i="30" s="1"/>
  <c r="E68" i="30"/>
  <c r="C30" i="29"/>
  <c r="I30" i="29"/>
  <c r="I33" i="29" s="1"/>
  <c r="M32" i="28"/>
  <c r="O32" i="28" s="1"/>
  <c r="O35" i="28" s="1"/>
  <c r="O70" i="28" s="1"/>
  <c r="I68" i="28"/>
  <c r="O36" i="28"/>
  <c r="O68" i="28"/>
  <c r="O71" i="28" s="1"/>
  <c r="E30" i="28"/>
  <c r="E33" i="28" s="1"/>
  <c r="G32" i="28"/>
  <c r="I32" i="28" s="1"/>
  <c r="I35" i="28" s="1"/>
  <c r="I70" i="28" s="1"/>
  <c r="O30" i="27"/>
  <c r="M32" i="27"/>
  <c r="O32" i="27" s="1"/>
  <c r="O35" i="27" s="1"/>
  <c r="O70" i="27" s="1"/>
  <c r="G30" i="27"/>
  <c r="Q30" i="27"/>
  <c r="E71" i="27"/>
  <c r="O33" i="27"/>
  <c r="O29" i="26"/>
  <c r="E29" i="26"/>
  <c r="I29" i="26"/>
  <c r="S29" i="26"/>
  <c r="S30" i="25"/>
  <c r="S33" i="25" s="1"/>
  <c r="Q32" i="25"/>
  <c r="S32" i="25" s="1"/>
  <c r="S35" i="25" s="1"/>
  <c r="S70" i="25" s="1"/>
  <c r="E30" i="25"/>
  <c r="C32" i="25"/>
  <c r="E32" i="25" s="1"/>
  <c r="E35" i="25" s="1"/>
  <c r="E70" i="25" s="1"/>
  <c r="E33" i="25"/>
  <c r="G32" i="25"/>
  <c r="I32" i="25" s="1"/>
  <c r="I35" i="25" s="1"/>
  <c r="I70" i="25" s="1"/>
  <c r="O68" i="25"/>
  <c r="O71" i="25" s="1"/>
  <c r="O36" i="25"/>
  <c r="I36" i="25"/>
  <c r="I68" i="25"/>
  <c r="I71" i="25" s="1"/>
  <c r="W36" i="25"/>
  <c r="W68" i="25"/>
  <c r="W71" i="25" s="1"/>
  <c r="O29" i="24"/>
  <c r="S29" i="24"/>
  <c r="Q30" i="24"/>
  <c r="W29" i="24"/>
  <c r="U30" i="24"/>
  <c r="W63" i="24"/>
  <c r="S63" i="24"/>
  <c r="O63" i="24"/>
  <c r="G29" i="24"/>
  <c r="I63" i="24"/>
  <c r="U46" i="24"/>
  <c r="W46" i="24" s="1"/>
  <c r="W49" i="24" s="1"/>
  <c r="W50" i="24" s="1"/>
  <c r="C29" i="24"/>
  <c r="E63" i="24"/>
  <c r="Q15" i="11"/>
  <c r="Q18" i="11" s="1"/>
  <c r="O17" i="11"/>
  <c r="Q17" i="11" s="1"/>
  <c r="M15" i="11"/>
  <c r="K17" i="11" s="1"/>
  <c r="M17" i="11" s="1"/>
  <c r="M18" i="11"/>
  <c r="I15" i="11"/>
  <c r="G17" i="11" s="1"/>
  <c r="I17" i="11" s="1"/>
  <c r="I18" i="11"/>
  <c r="E15" i="11"/>
  <c r="C17" i="11" s="1"/>
  <c r="E17" i="11" s="1"/>
  <c r="E18" i="11"/>
  <c r="E25" i="11" s="1"/>
  <c r="J77" i="1"/>
  <c r="J39" i="1"/>
  <c r="J21" i="1"/>
  <c r="I11" i="1"/>
  <c r="J11" i="1" s="1"/>
  <c r="I50" i="1"/>
  <c r="J50" i="1" s="1"/>
  <c r="J65" i="1" s="1"/>
  <c r="J17" i="1"/>
  <c r="J74" i="1"/>
  <c r="I70" i="1"/>
  <c r="J70" i="1" s="1"/>
  <c r="J91" i="1"/>
  <c r="I15" i="1"/>
  <c r="J15" i="1" s="1"/>
  <c r="I32" i="1"/>
  <c r="J32" i="1" s="1"/>
  <c r="J92" i="1"/>
  <c r="J93" i="1"/>
  <c r="J88" i="1"/>
  <c r="I89" i="1"/>
  <c r="J89" i="1" s="1"/>
  <c r="K30" i="39" l="1"/>
  <c r="K33" i="39" s="1"/>
  <c r="E36" i="39"/>
  <c r="E68" i="39"/>
  <c r="E71" i="39" s="1"/>
  <c r="O71" i="39"/>
  <c r="O36" i="39"/>
  <c r="S36" i="39"/>
  <c r="S68" i="39"/>
  <c r="S71" i="39" s="1"/>
  <c r="E33" i="38"/>
  <c r="E68" i="37"/>
  <c r="C32" i="37"/>
  <c r="E32" i="37" s="1"/>
  <c r="E35" i="37" s="1"/>
  <c r="E70" i="37" s="1"/>
  <c r="I30" i="37"/>
  <c r="I33" i="37" s="1"/>
  <c r="E30" i="36"/>
  <c r="C32" i="36" s="1"/>
  <c r="E32" i="36" s="1"/>
  <c r="E35" i="36" s="1"/>
  <c r="E70" i="36" s="1"/>
  <c r="E33" i="36"/>
  <c r="I68" i="36"/>
  <c r="G32" i="36"/>
  <c r="I32" i="36" s="1"/>
  <c r="I35" i="36" s="1"/>
  <c r="I70" i="36" s="1"/>
  <c r="O68" i="36"/>
  <c r="M32" i="36"/>
  <c r="O32" i="36" s="1"/>
  <c r="O35" i="36" s="1"/>
  <c r="O70" i="36" s="1"/>
  <c r="S71" i="35"/>
  <c r="O36" i="35"/>
  <c r="S36" i="35"/>
  <c r="E68" i="35"/>
  <c r="E71" i="35" s="1"/>
  <c r="E36" i="35"/>
  <c r="I30" i="35"/>
  <c r="I33" i="35" s="1"/>
  <c r="O71" i="35"/>
  <c r="O71" i="34"/>
  <c r="E71" i="34"/>
  <c r="S71" i="34"/>
  <c r="S36" i="34"/>
  <c r="I30" i="34"/>
  <c r="I33" i="34" s="1"/>
  <c r="O36" i="34"/>
  <c r="E36" i="34"/>
  <c r="Q30" i="33"/>
  <c r="M30" i="33"/>
  <c r="G30" i="33"/>
  <c r="W36" i="33"/>
  <c r="W71" i="33"/>
  <c r="E68" i="33"/>
  <c r="E71" i="33" s="1"/>
  <c r="E36" i="33"/>
  <c r="S36" i="32"/>
  <c r="S68" i="32"/>
  <c r="S71" i="32" s="1"/>
  <c r="E36" i="32"/>
  <c r="E68" i="32"/>
  <c r="E71" i="32" s="1"/>
  <c r="O36" i="32"/>
  <c r="O68" i="32"/>
  <c r="O71" i="32" s="1"/>
  <c r="W36" i="32"/>
  <c r="W68" i="32"/>
  <c r="W71" i="32" s="1"/>
  <c r="S36" i="31"/>
  <c r="E68" i="31"/>
  <c r="E71" i="31" s="1"/>
  <c r="S71" i="31"/>
  <c r="O71" i="31"/>
  <c r="K30" i="31"/>
  <c r="K33" i="31" s="1"/>
  <c r="I32" i="31"/>
  <c r="K32" i="31" s="1"/>
  <c r="K35" i="31" s="1"/>
  <c r="K70" i="31" s="1"/>
  <c r="C32" i="31"/>
  <c r="E32" i="31" s="1"/>
  <c r="E35" i="31" s="1"/>
  <c r="E70" i="31" s="1"/>
  <c r="E71" i="30"/>
  <c r="E36" i="30"/>
  <c r="G32" i="29"/>
  <c r="I32" i="29" s="1"/>
  <c r="I35" i="29" s="1"/>
  <c r="I70" i="29" s="1"/>
  <c r="I68" i="29"/>
  <c r="I71" i="29" s="1"/>
  <c r="I36" i="29"/>
  <c r="E30" i="29"/>
  <c r="E33" i="29" s="1"/>
  <c r="C32" i="29"/>
  <c r="E32" i="29" s="1"/>
  <c r="E35" i="29" s="1"/>
  <c r="E70" i="29" s="1"/>
  <c r="E68" i="28"/>
  <c r="C32" i="28"/>
  <c r="E32" i="28" s="1"/>
  <c r="E35" i="28" s="1"/>
  <c r="E70" i="28" s="1"/>
  <c r="I71" i="28"/>
  <c r="I36" i="28"/>
  <c r="O68" i="27"/>
  <c r="O71" i="27" s="1"/>
  <c r="O36" i="27"/>
  <c r="S30" i="27"/>
  <c r="S33" i="27" s="1"/>
  <c r="I30" i="27"/>
  <c r="I33" i="27" s="1"/>
  <c r="G32" i="27"/>
  <c r="I32" i="27" s="1"/>
  <c r="I35" i="27" s="1"/>
  <c r="I70" i="27" s="1"/>
  <c r="Q30" i="26"/>
  <c r="C30" i="26"/>
  <c r="G30" i="26"/>
  <c r="M30" i="26"/>
  <c r="E36" i="25"/>
  <c r="E68" i="25"/>
  <c r="E71" i="25" s="1"/>
  <c r="S68" i="25"/>
  <c r="S71" i="25" s="1"/>
  <c r="S36" i="25"/>
  <c r="I29" i="24"/>
  <c r="G30" i="24"/>
  <c r="E29" i="24"/>
  <c r="W30" i="24"/>
  <c r="U32" i="24" s="1"/>
  <c r="W32" i="24" s="1"/>
  <c r="W35" i="24" s="1"/>
  <c r="W70" i="24" s="1"/>
  <c r="W33" i="24"/>
  <c r="S30" i="24"/>
  <c r="Q32" i="24" s="1"/>
  <c r="S32" i="24" s="1"/>
  <c r="S35" i="24" s="1"/>
  <c r="S70" i="24" s="1"/>
  <c r="S33" i="24"/>
  <c r="M30" i="24"/>
  <c r="Q25" i="11"/>
  <c r="Q27" i="11" s="1"/>
  <c r="Q20" i="11"/>
  <c r="M25" i="11"/>
  <c r="M27" i="11" s="1"/>
  <c r="M20" i="11"/>
  <c r="I25" i="11"/>
  <c r="I27" i="11" s="1"/>
  <c r="I20" i="11"/>
  <c r="E20" i="11"/>
  <c r="J84" i="1"/>
  <c r="J45" i="1"/>
  <c r="J99" i="1"/>
  <c r="K68" i="39" l="1"/>
  <c r="I32" i="39"/>
  <c r="K32" i="39" s="1"/>
  <c r="K35" i="39" s="1"/>
  <c r="K70" i="39" s="1"/>
  <c r="E68" i="38"/>
  <c r="E71" i="38" s="1"/>
  <c r="E36" i="38"/>
  <c r="G32" i="37"/>
  <c r="I32" i="37" s="1"/>
  <c r="I35" i="37" s="1"/>
  <c r="I70" i="37" s="1"/>
  <c r="E36" i="37"/>
  <c r="I68" i="37"/>
  <c r="I71" i="37" s="1"/>
  <c r="I36" i="37"/>
  <c r="E71" i="37"/>
  <c r="O36" i="36"/>
  <c r="O71" i="36"/>
  <c r="I36" i="36"/>
  <c r="I71" i="36"/>
  <c r="E68" i="36"/>
  <c r="E71" i="36" s="1"/>
  <c r="E36" i="36"/>
  <c r="I68" i="35"/>
  <c r="G32" i="35"/>
  <c r="I32" i="35" s="1"/>
  <c r="I35" i="35" s="1"/>
  <c r="I70" i="35" s="1"/>
  <c r="G32" i="34"/>
  <c r="I32" i="34" s="1"/>
  <c r="I35" i="34" s="1"/>
  <c r="I70" i="34" s="1"/>
  <c r="I36" i="34"/>
  <c r="I68" i="34"/>
  <c r="I71" i="34" s="1"/>
  <c r="I30" i="33"/>
  <c r="I33" i="33" s="1"/>
  <c r="G32" i="33"/>
  <c r="I32" i="33" s="1"/>
  <c r="I35" i="33" s="1"/>
  <c r="I70" i="33" s="1"/>
  <c r="O30" i="33"/>
  <c r="O33" i="33" s="1"/>
  <c r="M32" i="33"/>
  <c r="O32" i="33" s="1"/>
  <c r="O35" i="33" s="1"/>
  <c r="O70" i="33" s="1"/>
  <c r="S30" i="33"/>
  <c r="S33" i="33" s="1"/>
  <c r="E36" i="31"/>
  <c r="K68" i="31"/>
  <c r="K71" i="31" s="1"/>
  <c r="K36" i="31"/>
  <c r="E68" i="29"/>
  <c r="E71" i="29" s="1"/>
  <c r="E36" i="29"/>
  <c r="E36" i="28"/>
  <c r="E71" i="28"/>
  <c r="S68" i="27"/>
  <c r="S71" i="27" s="1"/>
  <c r="S36" i="27"/>
  <c r="I68" i="27"/>
  <c r="I71" i="27" s="1"/>
  <c r="I36" i="27"/>
  <c r="Q32" i="27"/>
  <c r="S32" i="27" s="1"/>
  <c r="S35" i="27" s="1"/>
  <c r="S70" i="27" s="1"/>
  <c r="O30" i="26"/>
  <c r="O33" i="26" s="1"/>
  <c r="I30" i="26"/>
  <c r="I33" i="26" s="1"/>
  <c r="G32" i="26"/>
  <c r="I32" i="26" s="1"/>
  <c r="I35" i="26" s="1"/>
  <c r="I70" i="26" s="1"/>
  <c r="E30" i="26"/>
  <c r="E33" i="26" s="1"/>
  <c r="C32" i="26"/>
  <c r="E32" i="26" s="1"/>
  <c r="E35" i="26" s="1"/>
  <c r="E70" i="26" s="1"/>
  <c r="S30" i="26"/>
  <c r="S33" i="26" s="1"/>
  <c r="O30" i="24"/>
  <c r="O33" i="24" s="1"/>
  <c r="S36" i="24"/>
  <c r="S68" i="24"/>
  <c r="S71" i="24" s="1"/>
  <c r="W36" i="24"/>
  <c r="W68" i="24"/>
  <c r="W71" i="24" s="1"/>
  <c r="C30" i="24"/>
  <c r="I30" i="24"/>
  <c r="G32" i="24" s="1"/>
  <c r="I32" i="24" s="1"/>
  <c r="I35" i="24" s="1"/>
  <c r="I70" i="24" s="1"/>
  <c r="I33" i="24"/>
  <c r="K71" i="39" l="1"/>
  <c r="K36" i="39"/>
  <c r="I36" i="35"/>
  <c r="I71" i="35"/>
  <c r="S68" i="33"/>
  <c r="Q32" i="33"/>
  <c r="S32" i="33" s="1"/>
  <c r="S35" i="33" s="1"/>
  <c r="S70" i="33" s="1"/>
  <c r="O68" i="33"/>
  <c r="O71" i="33" s="1"/>
  <c r="O36" i="33"/>
  <c r="I68" i="33"/>
  <c r="I71" i="33" s="1"/>
  <c r="I36" i="33"/>
  <c r="S68" i="26"/>
  <c r="O68" i="26"/>
  <c r="Q32" i="26"/>
  <c r="S32" i="26" s="1"/>
  <c r="S35" i="26" s="1"/>
  <c r="S70" i="26" s="1"/>
  <c r="E68" i="26"/>
  <c r="E71" i="26" s="1"/>
  <c r="E36" i="26"/>
  <c r="I36" i="26"/>
  <c r="I68" i="26"/>
  <c r="I71" i="26" s="1"/>
  <c r="M32" i="26"/>
  <c r="O32" i="26" s="1"/>
  <c r="O35" i="26" s="1"/>
  <c r="O70" i="26" s="1"/>
  <c r="I68" i="24"/>
  <c r="I71" i="24" s="1"/>
  <c r="I36" i="24"/>
  <c r="E30" i="24"/>
  <c r="E33" i="24" s="1"/>
  <c r="C32" i="24"/>
  <c r="E32" i="24" s="1"/>
  <c r="E35" i="24" s="1"/>
  <c r="E70" i="24" s="1"/>
  <c r="H10" i="1" s="1"/>
  <c r="O68" i="24"/>
  <c r="M32" i="24"/>
  <c r="O32" i="24" s="1"/>
  <c r="O35" i="24" s="1"/>
  <c r="O70" i="24" s="1"/>
  <c r="S36" i="33" l="1"/>
  <c r="S71" i="33"/>
  <c r="O36" i="26"/>
  <c r="O71" i="26"/>
  <c r="S71" i="26"/>
  <c r="S36" i="26"/>
  <c r="O71" i="24"/>
  <c r="O36" i="24"/>
  <c r="E68" i="24"/>
  <c r="E36" i="24"/>
  <c r="E27" i="11"/>
  <c r="E71" i="24" l="1"/>
  <c r="F10" i="1"/>
  <c r="I10" i="1" s="1"/>
  <c r="J10" i="1" s="1"/>
  <c r="J27" i="1" s="1"/>
</calcChain>
</file>

<file path=xl/sharedStrings.xml><?xml version="1.0" encoding="utf-8"?>
<sst xmlns="http://schemas.openxmlformats.org/spreadsheetml/2006/main" count="3179" uniqueCount="359">
  <si>
    <t>"Offeror shall enter data in yellow highlighted fields only"</t>
  </si>
  <si>
    <t xml:space="preserve">Solicitation Number: </t>
  </si>
  <si>
    <t>Enter Offeror's Business Name:</t>
  </si>
  <si>
    <t>Enter Offeror's CAGE code:</t>
  </si>
  <si>
    <t>Basic Period (12 months)</t>
  </si>
  <si>
    <t>CLIN</t>
  </si>
  <si>
    <t>Contract Type</t>
  </si>
  <si>
    <t>Description</t>
  </si>
  <si>
    <t>QTY</t>
  </si>
  <si>
    <t>Unit</t>
  </si>
  <si>
    <t>Cost</t>
  </si>
  <si>
    <t>COM</t>
  </si>
  <si>
    <t>Fee</t>
  </si>
  <si>
    <t>Unit Price</t>
  </si>
  <si>
    <t>Extended Price</t>
  </si>
  <si>
    <t>0001</t>
  </si>
  <si>
    <t>FFP</t>
  </si>
  <si>
    <t>0002</t>
  </si>
  <si>
    <t>CPFF</t>
  </si>
  <si>
    <t>LO</t>
  </si>
  <si>
    <t>0003</t>
  </si>
  <si>
    <t>CRNF</t>
  </si>
  <si>
    <t>0004</t>
  </si>
  <si>
    <t>Travel</t>
  </si>
  <si>
    <t>0005</t>
  </si>
  <si>
    <t>0006</t>
  </si>
  <si>
    <t>0007</t>
  </si>
  <si>
    <t>NSP</t>
  </si>
  <si>
    <t>Total Extended Price - Basic Period</t>
  </si>
  <si>
    <t>Option Period I (12 months)</t>
  </si>
  <si>
    <t>1001</t>
  </si>
  <si>
    <t>1002</t>
  </si>
  <si>
    <t>1003</t>
  </si>
  <si>
    <t>1004</t>
  </si>
  <si>
    <t>1005</t>
  </si>
  <si>
    <t>1006</t>
  </si>
  <si>
    <t>1007</t>
  </si>
  <si>
    <t>Total Extended Price - Option Period I</t>
  </si>
  <si>
    <t>Option Period II (12 months)</t>
  </si>
  <si>
    <t>2001</t>
  </si>
  <si>
    <t>2002</t>
  </si>
  <si>
    <t>2003</t>
  </si>
  <si>
    <t>2004</t>
  </si>
  <si>
    <t>2005</t>
  </si>
  <si>
    <t>2006</t>
  </si>
  <si>
    <t>2007</t>
  </si>
  <si>
    <t>Total Extended Price - Option Period II</t>
  </si>
  <si>
    <t>Option Period III (12 months)</t>
  </si>
  <si>
    <t>3001</t>
  </si>
  <si>
    <t>3002</t>
  </si>
  <si>
    <t>3003</t>
  </si>
  <si>
    <t>3004</t>
  </si>
  <si>
    <t>3005</t>
  </si>
  <si>
    <t>3006</t>
  </si>
  <si>
    <t>3007</t>
  </si>
  <si>
    <t>Total Extended Price - Option Period III</t>
  </si>
  <si>
    <t>Option Period IV (12 months)</t>
  </si>
  <si>
    <t>4001</t>
  </si>
  <si>
    <t>4002</t>
  </si>
  <si>
    <t>4003</t>
  </si>
  <si>
    <t>4004</t>
  </si>
  <si>
    <t>4005</t>
  </si>
  <si>
    <t>4006</t>
  </si>
  <si>
    <t>4007</t>
  </si>
  <si>
    <t>Total Extended Price - Option Period IV</t>
  </si>
  <si>
    <t>SOURCE SELECTION INFORMATION--SEE FAR 2.101 and 3.104
FOR OFFICIAL USE ONLY</t>
  </si>
  <si>
    <t xml:space="preserve">Program Management </t>
  </si>
  <si>
    <t>F-16 O-Level Handheld/Pre-load Tester Prototype design and digital development</t>
  </si>
  <si>
    <t>F-15 O-Level Handheld/Pre-load  Tester Prototype design and digital development</t>
  </si>
  <si>
    <t>F-16 I-Level Fault Isolation Tester design and digital development</t>
  </si>
  <si>
    <t>F-15 I-Level Fault Isolation Tester design and digital development</t>
  </si>
  <si>
    <t>A-10 I-Level Fault Isolation Tester design and digital development</t>
  </si>
  <si>
    <t xml:space="preserve">LO </t>
  </si>
  <si>
    <t xml:space="preserve">Design Demonstration (Labor- Not Travel) </t>
  </si>
  <si>
    <t>Government Data Rights</t>
  </si>
  <si>
    <t>Deliver F-16 O-Level Handheld Tester Prototype</t>
  </si>
  <si>
    <t>EA</t>
  </si>
  <si>
    <t>Deliver F-15 O-Level Handheld Tester Prototype</t>
  </si>
  <si>
    <t>Deliver F-16 I-Level Fault Isolation Tester digital design</t>
  </si>
  <si>
    <t>Deliver F-15 I-Level Fault Isolation Tester digital design</t>
  </si>
  <si>
    <t>Deliver A-10 I-Level Fault Isolation Tester digital design</t>
  </si>
  <si>
    <t xml:space="preserve">CDRLs (Data) </t>
  </si>
  <si>
    <t>0008</t>
  </si>
  <si>
    <t>0009</t>
  </si>
  <si>
    <t>0010</t>
  </si>
  <si>
    <t>0011</t>
  </si>
  <si>
    <t>0012</t>
  </si>
  <si>
    <t>0013</t>
  </si>
  <si>
    <t>0014</t>
  </si>
  <si>
    <t>0015</t>
  </si>
  <si>
    <t>0016</t>
  </si>
  <si>
    <t>0017</t>
  </si>
  <si>
    <t>1008</t>
  </si>
  <si>
    <t>1009</t>
  </si>
  <si>
    <t>1010</t>
  </si>
  <si>
    <t>1011</t>
  </si>
  <si>
    <t>1012</t>
  </si>
  <si>
    <t>1013</t>
  </si>
  <si>
    <t>1014</t>
  </si>
  <si>
    <t>F-16 O-Level Handheld/Pre-load Tester Engineering and Manufacturing Development (EMD)</t>
  </si>
  <si>
    <t>F-15 O-Level Handheld/Pre-load Tester EMD</t>
  </si>
  <si>
    <t>A-10 O-Level Handheld/Pre-load Tester EMD</t>
  </si>
  <si>
    <t>F-16 I-Level Fault Isolation Tester EMD</t>
  </si>
  <si>
    <t>F-15 I-Level Fault Isolation Tester EMD</t>
  </si>
  <si>
    <t>A-10 I-Level Fault Isolation Tester EMD</t>
  </si>
  <si>
    <t xml:space="preserve"> F-16 O-Level Handheld/Pre-load Tester Logistical Support</t>
  </si>
  <si>
    <t>Support Government Testing</t>
  </si>
  <si>
    <t>F-16 O-Level Handheld Tester LRIP production</t>
  </si>
  <si>
    <t>Deliver F-16 O-Level Handheld Tester Kits</t>
  </si>
  <si>
    <t>4008</t>
  </si>
  <si>
    <t>4009</t>
  </si>
  <si>
    <t>4010</t>
  </si>
  <si>
    <t>4011</t>
  </si>
  <si>
    <t>3008</t>
  </si>
  <si>
    <t>3009</t>
  </si>
  <si>
    <t>3010</t>
  </si>
  <si>
    <t>3011</t>
  </si>
  <si>
    <t>3012</t>
  </si>
  <si>
    <t>3013</t>
  </si>
  <si>
    <t>3014</t>
  </si>
  <si>
    <t>2008</t>
  </si>
  <si>
    <t>2009</t>
  </si>
  <si>
    <t>2010</t>
  </si>
  <si>
    <t>2011</t>
  </si>
  <si>
    <t>2012</t>
  </si>
  <si>
    <t>2013</t>
  </si>
  <si>
    <t>2014</t>
  </si>
  <si>
    <t>2015</t>
  </si>
  <si>
    <t>2016</t>
  </si>
  <si>
    <t xml:space="preserve"> F-15 O-Level Handheld/Pre-load Tester Logistical Support</t>
  </si>
  <si>
    <t xml:space="preserve"> A-10 O-Level Handheld/Pre-load Tester Logistical Support</t>
  </si>
  <si>
    <t>Deliver F-15 O-Level Handheld Tester Kits (LRIP)</t>
  </si>
  <si>
    <t>Deliver F-15 O-Level Handheld Tester Kits</t>
  </si>
  <si>
    <t>Deliver A-10 O-Level Handheld Tester Kits (LRIP)</t>
  </si>
  <si>
    <t>3015</t>
  </si>
  <si>
    <t xml:space="preserve">NSP </t>
  </si>
  <si>
    <t xml:space="preserve"> F-16 I-Level Fault Isolation Tester Logistical Support</t>
  </si>
  <si>
    <t xml:space="preserve"> F-15 I-Level Fault Isolation Tester Logistical Support</t>
  </si>
  <si>
    <t>Deliver A-10 O-Level Handheld Tester Kits</t>
  </si>
  <si>
    <t>Deliver F-16 I-Level Fault Isolation Tester Kits (LRIP)</t>
  </si>
  <si>
    <t>Deliver F-15 I-Level Fault Isolation Tester Kits (LRIP)</t>
  </si>
  <si>
    <t>Deliver F-16 I-Level Fault Isolation Tester Kits</t>
  </si>
  <si>
    <t>A-10 I-Level Fault Isolation Tester Logistical Support</t>
  </si>
  <si>
    <t>Deliver F-15 I-Level Fault Isolation Tester Kits</t>
  </si>
  <si>
    <t>Deliver A-10 I-Level Fault Isolation Tester Kits (LRIP)</t>
  </si>
  <si>
    <t>Deliver A-10 I-Level Fault Isolation Tester Kits</t>
  </si>
  <si>
    <t>Common Armament Tester - Fighters (CAT-F) Excel Cost Model (RFP Attachment XX)</t>
  </si>
  <si>
    <t xml:space="preserve">Notes:  </t>
  </si>
  <si>
    <t xml:space="preserve">2. Each Firm Fixed Price shall be rounded to the nearest whole dollar. </t>
  </si>
  <si>
    <t>Qty</t>
  </si>
  <si>
    <t>2. The Prime Offeror shall proposed labor rates and add-on factors in the yellow-highlighted cells below.  All proposed labor rates shall be rounded to two (2) decimal places.</t>
  </si>
  <si>
    <t>Proposed Direct Labor Rates</t>
  </si>
  <si>
    <t>Basic</t>
  </si>
  <si>
    <t>OPT I</t>
  </si>
  <si>
    <t>OPT II</t>
  </si>
  <si>
    <t>OPT III</t>
  </si>
  <si>
    <t>OPT IV</t>
  </si>
  <si>
    <t>Labor Category</t>
  </si>
  <si>
    <t>Hourly Rate</t>
  </si>
  <si>
    <t>Proposed Labor Add-on Factors</t>
  </si>
  <si>
    <t>Proposed Add-on Factor (Fringe)</t>
  </si>
  <si>
    <t>Proposed Add-on Factor (Overhead)</t>
  </si>
  <si>
    <t>Proposed Add-on Factor (G&amp;A)</t>
  </si>
  <si>
    <t>Proposed Add-on Factor (COM)</t>
  </si>
  <si>
    <t>Proposed Add-on Factor (Fee)</t>
  </si>
  <si>
    <t>Proposed Material Add-on Factors</t>
  </si>
  <si>
    <t>Proposed Travel Add-on Factors</t>
  </si>
  <si>
    <t xml:space="preserve">1. The format of this worksheet may be revised as required to be consistent with the major subcontractor's approved accounting system. </t>
  </si>
  <si>
    <t>4. The proposed factors will be applied to the total proposed labor hours and material cost.</t>
  </si>
  <si>
    <t xml:space="preserve">6. Each CPFF Cost, COM and Fee shall be rounded to the nearest whole dollar. </t>
  </si>
  <si>
    <t>Proposed Prices (Labor)</t>
  </si>
  <si>
    <t>Hours</t>
  </si>
  <si>
    <t>Rates</t>
  </si>
  <si>
    <t>TOTAL HOURS/COST</t>
  </si>
  <si>
    <t>Base</t>
  </si>
  <si>
    <t>Total Proposed Cost</t>
  </si>
  <si>
    <t>Total Proposed COM</t>
  </si>
  <si>
    <t>Total Proposed Fee</t>
  </si>
  <si>
    <t>Total Proposed Price</t>
  </si>
  <si>
    <t>Proposed Prices (Material)</t>
  </si>
  <si>
    <t>Total Proposed Material Cost</t>
  </si>
  <si>
    <t>Proposed Prices (Other Direct Cost)</t>
  </si>
  <si>
    <t>Total Proposed Other Direct Cost (ODC)</t>
  </si>
  <si>
    <t>Proposed Prices (Labor, Material, and ODC)</t>
  </si>
  <si>
    <t>Labor Category 1: [INSERT LABOR CATEGORY NAME HERE]</t>
  </si>
  <si>
    <t>Labor Category 2: [INSERT LABOR CATEGORY NAME HERE]</t>
  </si>
  <si>
    <t>Labor Category 3: [INSERT LABOR CATEGORY NAME HERE]</t>
  </si>
  <si>
    <t>Labor Category 4: [INSERT LABOR CATEGORY NAME HERE]</t>
  </si>
  <si>
    <t>Labor Category 5: [INSERT LABOR CATEGORY NAME HERE]</t>
  </si>
  <si>
    <t>Labor Category 6: [INSERT LABOR CATEGORY NAME HERE]</t>
  </si>
  <si>
    <t>Labor Category 7: [INSERT LABOR CATEGORY NAME HERE]</t>
  </si>
  <si>
    <t>Labor Category 8: [INSERT LABOR CATEGORY NAME HERE]</t>
  </si>
  <si>
    <t>Labor Category 9: [INSERT LABOR CATEGORY NAME HERE]</t>
  </si>
  <si>
    <t>Labor Category 10: [INSERT LABOR CATEGORY NAME HERE]</t>
  </si>
  <si>
    <t>Labor Category 11: [INSERT LABOR CATEGORY NAME HERE]</t>
  </si>
  <si>
    <t>Labor Category 12: [INSERT LABOR CATEGORY NAME HERE]</t>
  </si>
  <si>
    <t>Labor Category 13: [INSERT LABOR CATEGORY NAME HERE]</t>
  </si>
  <si>
    <t>Basic Period (12 Months)</t>
  </si>
  <si>
    <t>Option Period II (12 Months)</t>
  </si>
  <si>
    <t>Option Period I (12 Months)</t>
  </si>
  <si>
    <t>CLIN 0010</t>
  </si>
  <si>
    <t>CLIN 0011</t>
  </si>
  <si>
    <t>CLIN 0012</t>
  </si>
  <si>
    <t>CLIN 0013</t>
  </si>
  <si>
    <t>CLIN 0016</t>
  </si>
  <si>
    <t>CLIN 1008</t>
  </si>
  <si>
    <t>CLIN 1010</t>
  </si>
  <si>
    <t>CLIN 1013</t>
  </si>
  <si>
    <t>CLIN 2007</t>
  </si>
  <si>
    <t>CLIN 2008</t>
  </si>
  <si>
    <t>CLIN 2010</t>
  </si>
  <si>
    <t>CLIN 2012</t>
  </si>
  <si>
    <t>CLIN 2015</t>
  </si>
  <si>
    <t>Option Period III (12 Months)</t>
  </si>
  <si>
    <t>CLIN 3006</t>
  </si>
  <si>
    <t>CLIN 3007</t>
  </si>
  <si>
    <t>CLIN 3010</t>
  </si>
  <si>
    <t>CLIN 3011</t>
  </si>
  <si>
    <t>CLIN 3014</t>
  </si>
  <si>
    <t>Option Period IV (12 Months)</t>
  </si>
  <si>
    <t>CLIN 4004</t>
  </si>
  <si>
    <t>CLIN 4006</t>
  </si>
  <si>
    <t>CLIN 4010</t>
  </si>
  <si>
    <t>3. The prime offeror shall ensure the cells below are linked correctly to the CLIN cells on worksheet "Cost Format C_CLIN Summary".</t>
  </si>
  <si>
    <t>1. The prime offeror shall enter a proposed unit price per CLIN in the yellow-highlighted cells below.</t>
  </si>
  <si>
    <t>Proposed Unit Price</t>
  </si>
  <si>
    <t>1. The format of this worksheet may be revised as required to be consistent with the contractor's approved accounting system to include, but not limited to, inserting additional labor categories and revising the indirect rate structure.</t>
  </si>
  <si>
    <t>2. The Prime Offeror shall enter the major subcontractor's proposed labor rates and add-on factors in the yellow-highlighted cells below.  All proposed labor rates shall be rounded to two (2) decimal places.</t>
  </si>
  <si>
    <t>Major Subcontractor's Name:</t>
  </si>
  <si>
    <t>Major Subcontractor's Address:</t>
  </si>
  <si>
    <t>Major Subcontractor's CAGE Code:</t>
  </si>
  <si>
    <t>3. The Prime Offeror shall ensure the yellow-highlighted rate cells below are linked correctly from the relevant labor rate and add-on factors in the 'Cost Format B_SUB Rates' worksheet.</t>
  </si>
  <si>
    <t>4. The Prime Offeror shall provide definitions of the labor categories and add-on factors in the 'Cost Format B_PRIME Rate Desc' worksheet.</t>
  </si>
  <si>
    <t>1. The format of this worksheet may be revised as necessary to accommodate additional labor categories as proposed by the Prime Offeror.</t>
  </si>
  <si>
    <t>2. The Prime Offeror shall enter the labor category names in Column B as it pertains to the Prime Offeror's proposed labor for cost-type CLINs.</t>
  </si>
  <si>
    <t>Labor Category and Add-on Factor Descriptions</t>
  </si>
  <si>
    <t>Example Description</t>
  </si>
  <si>
    <t>Example Labor Category</t>
  </si>
  <si>
    <t>Quality Assurance Specialist</t>
  </si>
  <si>
    <t>Ensures compliance with U.S. export regulations. This position will manage the approval and documentation of exports of all components, data, and technical information. They will work closely with the Contracts Administrator and Program Manager to ensure that all international shipments, technical data exchanges, and communications comply with ITAR and EAR requirements. Additionally, they will monitor and enforce export licenses and ensure that proper reporting is conducted.</t>
  </si>
  <si>
    <t>3. The Prime Offeror shall provide definitions of the labor categories and add-on factors in Column C.  An example is provided in cell D10 and E11.</t>
  </si>
  <si>
    <t>1. The format of this worksheet may be revised as necessary to accommodate additional labor categories as proposed by a major subcontractor.</t>
  </si>
  <si>
    <t>2. The Prime Offeror or major subcontractor shall enter the labor category names in Column B as it pertains to the major subcontractor's proposed labor for cost-type CLINs.</t>
  </si>
  <si>
    <t>3. The Prime Offeror or major subcontractor shall provide definitions of the labor categories and add-on factors in Column C.  An example is provided in cell D10 and E11.</t>
  </si>
  <si>
    <t>1011: Support Government Testing - Option Period 1</t>
  </si>
  <si>
    <t>CPIF</t>
  </si>
  <si>
    <t>A-10 O-Level Handheld/Pre-load Tester Prototype design and digital development</t>
  </si>
  <si>
    <t>Deliver A-10 O-Level Handheld  Tester Prototype</t>
  </si>
  <si>
    <t>0001: F-16 O-Level Handheld/Pre-load Tester Prototype Design and Digital Development - Basic Period</t>
  </si>
  <si>
    <t>1001: F-16 O-Level Handheld/Pre-load Tester EMD - Option Period 1</t>
  </si>
  <si>
    <t>2001: F-15 O-Level Handheld/Pre-load Tester EMD - Option Period 2</t>
  </si>
  <si>
    <t>3001: A-10 O-Level Handheld/Pre-load Tester EMD - Option Period 3</t>
  </si>
  <si>
    <t>4001: F-15 I-Level Fault Isolation Tester EMD - Option Period 4</t>
  </si>
  <si>
    <t>CLIN 0007</t>
  </si>
  <si>
    <t>CLIN 0008</t>
  </si>
  <si>
    <t>CLIN 0009</t>
  </si>
  <si>
    <t>CLIN 1007</t>
  </si>
  <si>
    <t>CLIN 1009</t>
  </si>
  <si>
    <t>CLIN 2006</t>
  </si>
  <si>
    <t>CLIN 2009</t>
  </si>
  <si>
    <t>CLIN 2011</t>
  </si>
  <si>
    <t>CLIN 3005</t>
  </si>
  <si>
    <t>CLIN 3008</t>
  </si>
  <si>
    <t>CLIN 3009</t>
  </si>
  <si>
    <t>CLIN 4003</t>
  </si>
  <si>
    <t>CLIN 4005</t>
  </si>
  <si>
    <t>CLIN 4007</t>
  </si>
  <si>
    <t>CLIN 0001: Basic Period (CPFF)</t>
  </si>
  <si>
    <t>CLIN 1001: Option Period 1 (CPFF)</t>
  </si>
  <si>
    <t>Proposed  Add-on Factor (Fringe)</t>
  </si>
  <si>
    <t>Total Proposed Target Cost</t>
  </si>
  <si>
    <t>Total Proposed Target COM</t>
  </si>
  <si>
    <t>Total Proposed Target Fee</t>
  </si>
  <si>
    <t>Total Proposed Target Price</t>
  </si>
  <si>
    <t xml:space="preserve">6. Each CPFF/CPIF Cost, COM and Fee shall be rounded to the nearest whole dollar. </t>
  </si>
  <si>
    <t xml:space="preserve">CLINs 0001 &amp; 1001: CPFF </t>
  </si>
  <si>
    <t>CLINs 2001, 3001, &amp; 4001: CPIF</t>
  </si>
  <si>
    <t xml:space="preserve">CLINs 0002 &amp; 1002: CPFF </t>
  </si>
  <si>
    <t>CLINs 2002, 3002, &amp; 4002: CPIF</t>
  </si>
  <si>
    <t>0002: F-15 O-Level Handheld/Pre-load  Tester Prototype design and digital development - Basic Period</t>
  </si>
  <si>
    <t>1002: F-15 O-Level Handheld/Pre-load Tester EMD - Option Period 1</t>
  </si>
  <si>
    <t>2002: A-10 O-Level Handheld/Pre-load Tester EMD - Option Period 2</t>
  </si>
  <si>
    <t>3002: F-16 I-Level Fault Isolation Tester EMD - Option Period 3</t>
  </si>
  <si>
    <t>4002: A-10 I-Level Fault Isolation Tester EMD - Option Period 4</t>
  </si>
  <si>
    <t>CLIN 0002: Basic Period (CPFF)</t>
  </si>
  <si>
    <t>CLIN 1002: Option Period 1 (CPFF)</t>
  </si>
  <si>
    <t xml:space="preserve">CLINs 0003 &amp; 1003: CPFF </t>
  </si>
  <si>
    <t>CLINs 2003 &amp; 3003: CPIF</t>
  </si>
  <si>
    <t>0003: A-10 O-Level Handheld/Pre-load Tester Prototype design and digital development - Basic Period</t>
  </si>
  <si>
    <t>1003: A-10 O-Level Handheld/Pre-load Tester EMD - Option Period 1</t>
  </si>
  <si>
    <t>2003: F-16 I-Level Fault Isolation Tester EMD - Option Period 2</t>
  </si>
  <si>
    <t>3003: F-15 I-Level Fault Isolation Tester EMD - Option Period 3</t>
  </si>
  <si>
    <t>CLIN 0003: Basic Period (CPFF)</t>
  </si>
  <si>
    <t>CLIN 1003: Option Period 1 (CPFF)</t>
  </si>
  <si>
    <t>CLIN 2003: Option Period 2 (CPIF)</t>
  </si>
  <si>
    <t>CLIN 3003: Option Period 3 (CPIF)</t>
  </si>
  <si>
    <t>CLIN 2002: Option Period 2 (CPIF)</t>
  </si>
  <si>
    <t>CLIN 3002: Option Period 3 (CPIF)</t>
  </si>
  <si>
    <t>CLIN 4002: Option Period 4 (CPIF)</t>
  </si>
  <si>
    <t>CLIN 2001: Option Period 2 (CPIF)</t>
  </si>
  <si>
    <t>CLIN 3001: Option Period 3 (CPIF)</t>
  </si>
  <si>
    <t>CLIN 4001: Option Period 4 (CPIF)</t>
  </si>
  <si>
    <t xml:space="preserve">CLINs 0004 &amp; 1004: CPFF </t>
  </si>
  <si>
    <t>CLINs 2004 &amp; 3004: CPIF</t>
  </si>
  <si>
    <t>0004: F-16 I-Level Fault Isolation Tester design and digital development - Basic Period</t>
  </si>
  <si>
    <t>1004: F-16 I-Level Fault Isolation Tester EMD - Option Period 1</t>
  </si>
  <si>
    <t>2004: F-15 I-Level Fault Isolation Tester EMD - Option Period 2</t>
  </si>
  <si>
    <t>3004: A-10 I-Level Fault Isolation Tester EMD - Option Period 3</t>
  </si>
  <si>
    <t>CLIN 0004: Basic Period (CPFF)</t>
  </si>
  <si>
    <t>CLIN 1004: Option Period 1 (CPFF)</t>
  </si>
  <si>
    <t>CLIN 2004: Option Period 2 (CPIF)</t>
  </si>
  <si>
    <t>CLIN 3004: Option Period 3 (CPIF)</t>
  </si>
  <si>
    <t xml:space="preserve">CLINs 0005 &amp; 1005: CPFF </t>
  </si>
  <si>
    <t>0005: F-15 I-Level Fault Isolation Tester design and digital development - Basic Period</t>
  </si>
  <si>
    <t>1005: F-15 I-Level Fault Isolation Tester EMD - Option Period 1</t>
  </si>
  <si>
    <t>2005: A-10 I-Level Fault Isolation Tester EMD - Option Period 2</t>
  </si>
  <si>
    <t>CLIN 2005: CPIF</t>
  </si>
  <si>
    <t>CLIN 0005: Basic Period (CPFF)</t>
  </si>
  <si>
    <t>CLIN 1005: Option Period 1 (CPFF)</t>
  </si>
  <si>
    <t>CLIN 2005: Option Period 2 (CPIF)</t>
  </si>
  <si>
    <t>0006: A-10 I-Level Fault Isolation Tester design and digital development - Basic Period</t>
  </si>
  <si>
    <t xml:space="preserve">CLINs 0006 &amp; 1006: CPFF </t>
  </si>
  <si>
    <t>1006: A-10 I-Level Fault Isolation Tester EMD - Option Period 1</t>
  </si>
  <si>
    <t>CLIN 0006: Basic Period (CPFF)</t>
  </si>
  <si>
    <t>CLIN 1006: Option Period 1 (CPFF)</t>
  </si>
  <si>
    <t>CLIN 4008: Basic Period</t>
  </si>
  <si>
    <t>0015: Travel - Basic Period</t>
  </si>
  <si>
    <t>CLIN 0015: Basic Period</t>
  </si>
  <si>
    <t>CLIN 1012: Option Period 1</t>
  </si>
  <si>
    <t>2014: Travel - Option Period 2</t>
  </si>
  <si>
    <t>CLIN 2014: Option Period 2</t>
  </si>
  <si>
    <t>3013: Travel - Option Period 3</t>
  </si>
  <si>
    <t>CLIN 3013: Option Period 3</t>
  </si>
  <si>
    <t>4009: Travel - Option Period 4</t>
  </si>
  <si>
    <t>CLIN 4009: Option Period 4</t>
  </si>
  <si>
    <t>1012: Travel - Option Period 1</t>
  </si>
  <si>
    <t>CLIN 0014  – CPFF</t>
  </si>
  <si>
    <t>0014: Design Demonstration - Basic Period</t>
  </si>
  <si>
    <t xml:space="preserve">CLIN 1011: CPFF </t>
  </si>
  <si>
    <t>CLIN 1011: Option Period 1 (CPFF)</t>
  </si>
  <si>
    <t>CLINs 2013, 3012, &amp; 4008: CPIF</t>
  </si>
  <si>
    <t>2013: Support Government Testing - Option Period 2</t>
  </si>
  <si>
    <t>3012: Support Government Testing - Option Period 3</t>
  </si>
  <si>
    <t>4008: Support Government Testing - Option Period 4</t>
  </si>
  <si>
    <t>CLIN 2013: Option Period 2 (CPIF)</t>
  </si>
  <si>
    <t>CLIN 3012: Option Period 3 (CPIF)</t>
  </si>
  <si>
    <t>CLIN 4008: Option Period 4 (CPIF)</t>
  </si>
  <si>
    <t>2. The Prime Offer shall have the major subcontractor propose labor hours, material costs, and other direct costs in the yellow-highlighted cells below.</t>
  </si>
  <si>
    <t>5. Definitions of the labor categories and add-on factors are included in the 'Cost Format B_SUB Rate Desc' worksheet.</t>
  </si>
  <si>
    <t>3. The Prime Offeror shall ensure the rate and add-on factor cells below are linked correctly to the relevant CPFF, CPIF, and CRNF rate cells on the prime's Cost Format A worksheets.</t>
  </si>
  <si>
    <t>3. The Prime Offeror shall ensure the major subcontractor's rate and add-on factor cells below are linked correctly to the relevant CPFF and CPIF rate cells on Cost Format D worksheets for the affected CLINs.</t>
  </si>
  <si>
    <t>4. If there is more than one major subcontractor, the Prime Offeror shall create duplicates of this worksheet in order to accommodate rates and add-on factors from additional major subcontractors.  There shall be a 'Cost Format B_SUB Rates' worksheet added for every major subcontractor.</t>
  </si>
  <si>
    <t>4. If there is more than one major subcontractor, the Prime Offeror shall create duplicates of this worksheet in order to accommodate rates and add-on factors from additional major subcontractors.  There shall be a 'Cost Format B_SUB Rate Desc' worksheet added for every major subcontractor.</t>
  </si>
  <si>
    <t>4. The Prime Offeror shall ensure the labor categories identified below are reflected on the Cost Format A tabs to provide a correlation for proposed labor.</t>
  </si>
  <si>
    <t>5. The Prime Offeror shall ensure the major subcontractor's labor categories identified below are reflected on the Cost Format D tabs to provide a correlation for proposed labor.</t>
  </si>
  <si>
    <t>2. The Prime Offeror shall propose labor hours, material costs, and other direct costs in the yellow-highlighted cells below.</t>
  </si>
  <si>
    <t>3. The Prime Offeror shall ensure the yellow-highlighted rate cells below are linked correctly from the relevant labor rate and add-on factors in the 'Cost Format B_PRIME Rates' worksheet.</t>
  </si>
  <si>
    <t>4. The proposed factors will be applied to the proposed labor hours, material cost, and other direct costs.</t>
  </si>
  <si>
    <t>5. Definitions of the labor categories and add-on factors are included in the 'Cost Format B_PRIME Rate Desc' worksheet.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</si>
</sst>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quot;$&quot;#,##0.00"/>
    <numFmt numFmtId="165" formatCode="0.0000"/>
    <numFmt numFmtId="166" formatCode="_(* #,##0.000_);_(* \(#,##0.000\);_(* &quot;-&quot;??_);_(@_)"/>
  </numFmts>
  <fonts count="17" x14ac:knownFonts="1">
    <font>
      <sz val="11"/>
      <color theme="1"/>
      <name val="Aptos Narrow"/>
      <family val="2"/>
      <scheme val="minor"/>
    </font>
    <font>
      <sz val="11"/>
      <color theme="1"/>
      <name val="Aptos Narrow"/>
      <family val="2"/>
      <scheme val="minor"/>
    </font>
    <font>
      <b/>
      <sz val="12"/>
      <color theme="1"/>
      <name val="Aptos Narrow"/>
      <family val="2"/>
      <scheme val="minor"/>
    </font>
    <font>
      <b/>
      <sz val="9"/>
      <color theme="1"/>
      <name val="Aptos Narrow"/>
      <family val="2"/>
      <scheme val="minor"/>
    </font>
    <font>
      <sz val="9"/>
      <color theme="1"/>
      <name val="Aptos Narrow"/>
      <family val="2"/>
      <scheme val="minor"/>
    </font>
    <font>
      <sz val="8"/>
      <name val="Aptos Narrow"/>
      <family val="2"/>
      <scheme val="minor"/>
    </font>
    <font>
      <b/>
      <sz val="11"/>
      <color theme="1"/>
      <name val="Aptos Narrow"/>
      <family val="2"/>
      <scheme val="minor"/>
    </font>
    <font>
      <sz val="10"/>
      <name val="Arial"/>
    </font>
    <font>
      <sz val="10"/>
      <name val="Arial"/>
      <family val="2"/>
    </font>
    <font>
      <b/>
      <u/>
      <sz val="10"/>
      <name val="Arial"/>
      <family val="2"/>
    </font>
    <font>
      <b/>
      <sz val="12"/>
      <color rgb="FF000000"/>
      <name val="Aptos Narrow"/>
      <family val="2"/>
      <scheme val="minor"/>
    </font>
    <font>
      <sz val="10"/>
      <color rgb="FF000000"/>
      <name val="Aptos Narrow"/>
      <family val="2"/>
      <scheme val="minor"/>
    </font>
    <font>
      <sz val="12"/>
      <color theme="1"/>
      <name val="Aptos Narrow"/>
      <family val="2"/>
      <scheme val="minor"/>
    </font>
    <font>
      <sz val="10"/>
      <color theme="1"/>
      <name val="Aptos Narrow"/>
      <family val="2"/>
      <scheme val="minor"/>
    </font>
    <font>
      <b/>
      <u/>
      <sz val="9"/>
      <color theme="1"/>
      <name val="Aptos Narrow"/>
      <family val="2"/>
      <scheme val="minor"/>
    </font>
    <font>
      <sz val="10"/>
      <name val="Aptos Narrow"/>
      <family val="2"/>
      <scheme val="minor"/>
    </font>
    <font>
      <b/>
      <sz val="10"/>
      <name val="Aptos Narrow"/>
      <family val="2"/>
      <scheme val="minor"/>
    </font>
  </fonts>
  <fills count="8">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1"/>
        <bgColor indexed="64"/>
      </patternFill>
    </fill>
    <fill>
      <patternFill patternType="solid">
        <fgColor theme="7" tint="0.39997558519241921"/>
        <bgColor indexed="64"/>
      </patternFill>
    </fill>
  </fills>
  <borders count="5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style="medium">
        <color rgb="FF000000"/>
      </bottom>
      <diagonal/>
    </border>
    <border>
      <left style="medium">
        <color indexed="64"/>
      </left>
      <right style="medium">
        <color indexed="64"/>
      </right>
      <top/>
      <bottom style="medium">
        <color rgb="FF000000"/>
      </bottom>
      <diagonal/>
    </border>
    <border>
      <left/>
      <right/>
      <top/>
      <bottom style="medium">
        <color rgb="FF000000"/>
      </bottom>
      <diagonal/>
    </border>
    <border>
      <left/>
      <right style="medium">
        <color indexed="64"/>
      </right>
      <top style="medium">
        <color indexed="64"/>
      </top>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style="medium">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diagonal/>
    </border>
    <border>
      <left/>
      <right style="thin">
        <color indexed="64"/>
      </right>
      <top/>
      <bottom/>
      <diagonal/>
    </border>
    <border>
      <left/>
      <right style="thin">
        <color indexed="64"/>
      </right>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right style="medium">
        <color indexed="64"/>
      </right>
      <top/>
      <bottom style="thin">
        <color indexed="64"/>
      </bottom>
      <diagonal/>
    </border>
    <border>
      <left/>
      <right style="thin">
        <color indexed="64"/>
      </right>
      <top style="medium">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bottom style="thin">
        <color indexed="64"/>
      </bottom>
      <diagonal/>
    </border>
  </borders>
  <cellStyleXfs count="5">
    <xf numFmtId="0" fontId="0" fillId="0" borderId="0"/>
    <xf numFmtId="0" fontId="1" fillId="0" borderId="0"/>
    <xf numFmtId="0" fontId="7" fillId="0" borderId="0"/>
    <xf numFmtId="0" fontId="8" fillId="0" borderId="0"/>
    <xf numFmtId="43" fontId="7" fillId="0" borderId="0" applyFont="0" applyFill="0" applyBorder="0" applyAlignment="0" applyProtection="0"/>
  </cellStyleXfs>
  <cellXfs count="193">
    <xf numFmtId="0" fontId="0" fillId="0" borderId="0" xfId="0"/>
    <xf numFmtId="0" fontId="3" fillId="0" borderId="0" xfId="1" applyFont="1" applyAlignment="1">
      <alignment vertical="center"/>
    </xf>
    <xf numFmtId="10" fontId="1" fillId="0" borderId="0" xfId="1" applyNumberFormat="1" applyAlignment="1">
      <alignment horizontal="left" vertical="top" wrapText="1"/>
    </xf>
    <xf numFmtId="164" fontId="1" fillId="0" borderId="6" xfId="1" applyNumberFormat="1" applyBorder="1"/>
    <xf numFmtId="0" fontId="3" fillId="0" borderId="7" xfId="1" applyFont="1" applyBorder="1" applyAlignment="1">
      <alignment vertical="center"/>
    </xf>
    <xf numFmtId="164" fontId="3" fillId="0" borderId="0" xfId="1" applyNumberFormat="1" applyFont="1" applyAlignment="1">
      <alignment horizontal="center" vertical="center"/>
    </xf>
    <xf numFmtId="10" fontId="3" fillId="0" borderId="0" xfId="1" applyNumberFormat="1" applyFont="1" applyAlignment="1">
      <alignment horizontal="center" vertical="center"/>
    </xf>
    <xf numFmtId="164" fontId="3" fillId="0" borderId="6" xfId="1" applyNumberFormat="1" applyFont="1" applyBorder="1" applyAlignment="1">
      <alignment horizontal="right" vertical="center"/>
    </xf>
    <xf numFmtId="164" fontId="3" fillId="0" borderId="1" xfId="1" applyNumberFormat="1" applyFont="1" applyBorder="1" applyAlignment="1">
      <alignment horizontal="center" vertical="center"/>
    </xf>
    <xf numFmtId="164" fontId="3" fillId="0" borderId="8" xfId="1" applyNumberFormat="1" applyFont="1" applyBorder="1" applyAlignment="1">
      <alignment horizontal="center" vertical="center"/>
    </xf>
    <xf numFmtId="164" fontId="3" fillId="0" borderId="3" xfId="1" applyNumberFormat="1" applyFont="1" applyBorder="1" applyAlignment="1">
      <alignment horizontal="center" vertical="center"/>
    </xf>
    <xf numFmtId="164" fontId="3" fillId="0" borderId="9" xfId="1" applyNumberFormat="1" applyFont="1" applyBorder="1" applyAlignment="1">
      <alignment horizontal="center" vertical="center"/>
    </xf>
    <xf numFmtId="164" fontId="3" fillId="0" borderId="4" xfId="1" applyNumberFormat="1" applyFont="1" applyBorder="1" applyAlignment="1">
      <alignment horizontal="center" vertical="center"/>
    </xf>
    <xf numFmtId="0" fontId="3" fillId="0" borderId="10" xfId="1" quotePrefix="1" applyFont="1" applyBorder="1" applyAlignment="1">
      <alignment vertical="center" wrapText="1"/>
    </xf>
    <xf numFmtId="0" fontId="3" fillId="0" borderId="11" xfId="1" applyFont="1" applyBorder="1" applyAlignment="1">
      <alignment horizontal="center" vertical="center" wrapText="1"/>
    </xf>
    <xf numFmtId="0" fontId="3" fillId="0" borderId="12" xfId="1" applyFont="1" applyBorder="1" applyAlignment="1">
      <alignment vertical="center" wrapText="1"/>
    </xf>
    <xf numFmtId="1" fontId="3" fillId="0" borderId="8" xfId="1" applyNumberFormat="1" applyFont="1" applyBorder="1" applyAlignment="1">
      <alignment horizontal="center" vertical="center" wrapText="1"/>
    </xf>
    <xf numFmtId="10" fontId="3" fillId="4" borderId="5" xfId="1" applyNumberFormat="1" applyFont="1" applyFill="1" applyBorder="1" applyAlignment="1">
      <alignment vertical="center" wrapText="1"/>
    </xf>
    <xf numFmtId="10" fontId="3" fillId="4" borderId="13" xfId="1" applyNumberFormat="1" applyFont="1" applyFill="1" applyBorder="1" applyAlignment="1">
      <alignment vertical="center" wrapText="1"/>
    </xf>
    <xf numFmtId="164" fontId="3" fillId="0" borderId="8" xfId="1" applyNumberFormat="1" applyFont="1" applyBorder="1" applyAlignment="1">
      <alignment vertical="center" wrapText="1"/>
    </xf>
    <xf numFmtId="164" fontId="3" fillId="0" borderId="3" xfId="1" applyNumberFormat="1" applyFont="1" applyBorder="1" applyAlignment="1">
      <alignment horizontal="right" vertical="center" wrapText="1"/>
    </xf>
    <xf numFmtId="0" fontId="1" fillId="0" borderId="0" xfId="1"/>
    <xf numFmtId="164" fontId="3" fillId="0" borderId="3" xfId="1" applyNumberFormat="1" applyFont="1" applyBorder="1" applyAlignment="1">
      <alignment vertical="center" wrapText="1"/>
    </xf>
    <xf numFmtId="164" fontId="3" fillId="0" borderId="0" xfId="1" applyNumberFormat="1" applyFont="1" applyAlignment="1">
      <alignment vertical="center"/>
    </xf>
    <xf numFmtId="0" fontId="3" fillId="0" borderId="14" xfId="1" quotePrefix="1" applyFont="1" applyBorder="1" applyAlignment="1">
      <alignment vertical="center" wrapText="1"/>
    </xf>
    <xf numFmtId="0" fontId="3" fillId="0" borderId="15" xfId="1" applyFont="1" applyBorder="1" applyAlignment="1">
      <alignment horizontal="center" vertical="center" wrapText="1"/>
    </xf>
    <xf numFmtId="0" fontId="3" fillId="0" borderId="16" xfId="1" applyFont="1" applyBorder="1" applyAlignment="1">
      <alignment vertical="center" wrapText="1"/>
    </xf>
    <xf numFmtId="164" fontId="4" fillId="0" borderId="0" xfId="1" applyNumberFormat="1" applyFont="1" applyAlignment="1">
      <alignment horizontal="center" vertical="top"/>
    </xf>
    <xf numFmtId="0" fontId="4" fillId="0" borderId="0" xfId="1" applyFont="1" applyAlignment="1">
      <alignment horizontal="left" vertical="top"/>
    </xf>
    <xf numFmtId="10" fontId="1" fillId="0" borderId="0" xfId="1" applyNumberFormat="1"/>
    <xf numFmtId="164" fontId="1" fillId="0" borderId="0" xfId="1" applyNumberFormat="1"/>
    <xf numFmtId="10" fontId="3" fillId="0" borderId="0" xfId="1" applyNumberFormat="1" applyFont="1" applyAlignment="1">
      <alignment vertical="center"/>
    </xf>
    <xf numFmtId="164" fontId="3" fillId="0" borderId="0" xfId="1" applyNumberFormat="1" applyFont="1" applyAlignment="1">
      <alignment horizontal="right" vertical="center"/>
    </xf>
    <xf numFmtId="0" fontId="2" fillId="0" borderId="0" xfId="2" applyFont="1" applyAlignment="1">
      <alignment horizontal="center" vertical="center"/>
    </xf>
    <xf numFmtId="0" fontId="9" fillId="0" borderId="0" xfId="3" applyFont="1"/>
    <xf numFmtId="0" fontId="2" fillId="0" borderId="0" xfId="2" applyFont="1" applyAlignment="1">
      <alignment vertical="center"/>
    </xf>
    <xf numFmtId="0" fontId="6" fillId="0" borderId="0" xfId="2" applyFont="1"/>
    <xf numFmtId="0" fontId="2" fillId="0" borderId="0" xfId="2" applyFont="1" applyAlignment="1">
      <alignment vertical="center" wrapText="1"/>
    </xf>
    <xf numFmtId="0" fontId="2" fillId="0" borderId="0" xfId="2" applyFont="1"/>
    <xf numFmtId="164" fontId="3" fillId="2" borderId="18" xfId="1" applyNumberFormat="1" applyFont="1" applyFill="1" applyBorder="1" applyAlignment="1">
      <alignment vertical="center" wrapText="1"/>
    </xf>
    <xf numFmtId="164" fontId="3" fillId="2" borderId="19" xfId="1" applyNumberFormat="1" applyFont="1" applyFill="1" applyBorder="1" applyAlignment="1">
      <alignment vertical="center" wrapText="1"/>
    </xf>
    <xf numFmtId="0" fontId="11" fillId="0" borderId="0" xfId="2" applyFont="1" applyAlignment="1">
      <alignment horizontal="left" wrapText="1"/>
    </xf>
    <xf numFmtId="1" fontId="12" fillId="0" borderId="0" xfId="2" applyNumberFormat="1" applyFont="1" applyAlignment="1">
      <alignment horizontal="center" vertical="center" wrapText="1"/>
    </xf>
    <xf numFmtId="0" fontId="7" fillId="0" borderId="0" xfId="2"/>
    <xf numFmtId="0" fontId="10" fillId="0" borderId="8" xfId="2" quotePrefix="1" applyFont="1" applyBorder="1" applyAlignment="1">
      <alignment horizontal="center" vertical="center"/>
    </xf>
    <xf numFmtId="0" fontId="10" fillId="0" borderId="20" xfId="2" quotePrefix="1" applyFont="1" applyBorder="1" applyAlignment="1">
      <alignment horizontal="center" vertical="center"/>
    </xf>
    <xf numFmtId="0" fontId="10" fillId="0" borderId="21" xfId="2" quotePrefix="1" applyFont="1" applyBorder="1" applyAlignment="1">
      <alignment horizontal="center" vertical="center"/>
    </xf>
    <xf numFmtId="164" fontId="3" fillId="2" borderId="23" xfId="1" applyNumberFormat="1" applyFont="1" applyFill="1" applyBorder="1" applyAlignment="1">
      <alignment vertical="center" wrapText="1"/>
    </xf>
    <xf numFmtId="164" fontId="3" fillId="2" borderId="25" xfId="1" applyNumberFormat="1" applyFont="1" applyFill="1" applyBorder="1" applyAlignment="1">
      <alignment vertical="center" wrapText="1"/>
    </xf>
    <xf numFmtId="0" fontId="11" fillId="0" borderId="26" xfId="2" applyFont="1" applyBorder="1" applyAlignment="1">
      <alignment horizontal="left"/>
    </xf>
    <xf numFmtId="166" fontId="3" fillId="2" borderId="23" xfId="4" applyNumberFormat="1" applyFont="1" applyFill="1" applyBorder="1" applyAlignment="1">
      <alignment vertical="center" wrapText="1"/>
    </xf>
    <xf numFmtId="0" fontId="11" fillId="0" borderId="26" xfId="2" applyFont="1" applyBorder="1" applyAlignment="1">
      <alignment horizontal="left" wrapText="1"/>
    </xf>
    <xf numFmtId="0" fontId="11" fillId="0" borderId="14" xfId="2" applyFont="1" applyBorder="1" applyAlignment="1">
      <alignment horizontal="left" wrapText="1"/>
    </xf>
    <xf numFmtId="166" fontId="3" fillId="2" borderId="25" xfId="4" applyNumberFormat="1" applyFont="1" applyFill="1" applyBorder="1" applyAlignment="1">
      <alignment vertical="center" wrapText="1"/>
    </xf>
    <xf numFmtId="0" fontId="11" fillId="0" borderId="14" xfId="2" applyFont="1" applyBorder="1" applyAlignment="1">
      <alignment horizontal="left"/>
    </xf>
    <xf numFmtId="1" fontId="12" fillId="5" borderId="0" xfId="2" applyNumberFormat="1" applyFont="1" applyFill="1" applyAlignment="1">
      <alignment horizontal="center" vertical="center" wrapText="1"/>
    </xf>
    <xf numFmtId="0" fontId="10" fillId="0" borderId="28" xfId="2" quotePrefix="1" applyFont="1" applyBorder="1" applyAlignment="1">
      <alignment horizontal="center" vertical="center"/>
    </xf>
    <xf numFmtId="0" fontId="10" fillId="0" borderId="30" xfId="2" quotePrefix="1" applyFont="1" applyBorder="1" applyAlignment="1">
      <alignment horizontal="center" vertical="center"/>
    </xf>
    <xf numFmtId="0" fontId="10" fillId="0" borderId="31" xfId="2" quotePrefix="1" applyFont="1" applyBorder="1" applyAlignment="1">
      <alignment horizontal="center" vertical="center"/>
    </xf>
    <xf numFmtId="0" fontId="13" fillId="0" borderId="32" xfId="2" applyFont="1" applyBorder="1" applyAlignment="1">
      <alignment horizontal="left" vertical="center" wrapText="1"/>
    </xf>
    <xf numFmtId="3" fontId="3" fillId="2" borderId="32" xfId="1" applyNumberFormat="1" applyFont="1" applyFill="1" applyBorder="1" applyAlignment="1">
      <alignment horizontal="right" vertical="center" wrapText="1"/>
    </xf>
    <xf numFmtId="164" fontId="3" fillId="2" borderId="33" xfId="1" applyNumberFormat="1" applyFont="1" applyFill="1" applyBorder="1" applyAlignment="1">
      <alignment vertical="center" wrapText="1"/>
    </xf>
    <xf numFmtId="164" fontId="3" fillId="0" borderId="34" xfId="1" applyNumberFormat="1" applyFont="1" applyBorder="1" applyAlignment="1">
      <alignment vertical="center" wrapText="1"/>
    </xf>
    <xf numFmtId="3" fontId="3" fillId="2" borderId="36" xfId="1" applyNumberFormat="1" applyFont="1" applyFill="1" applyBorder="1" applyAlignment="1">
      <alignment horizontal="right" vertical="center" wrapText="1"/>
    </xf>
    <xf numFmtId="164" fontId="3" fillId="0" borderId="19" xfId="1" applyNumberFormat="1" applyFont="1" applyBorder="1" applyAlignment="1">
      <alignment vertical="center" wrapText="1"/>
    </xf>
    <xf numFmtId="3" fontId="3" fillId="0" borderId="15" xfId="1" applyNumberFormat="1" applyFont="1" applyBorder="1" applyAlignment="1">
      <alignment horizontal="right" vertical="center" wrapText="1"/>
    </xf>
    <xf numFmtId="0" fontId="11" fillId="5" borderId="37" xfId="2" applyFont="1" applyFill="1" applyBorder="1" applyAlignment="1">
      <alignment horizontal="left" wrapText="1"/>
    </xf>
    <xf numFmtId="164" fontId="3" fillId="0" borderId="15" xfId="1" applyNumberFormat="1" applyFont="1" applyBorder="1" applyAlignment="1">
      <alignment vertical="center" wrapText="1"/>
    </xf>
    <xf numFmtId="0" fontId="11" fillId="5" borderId="22" xfId="2" applyFont="1" applyFill="1" applyBorder="1" applyAlignment="1">
      <alignment horizontal="left" wrapText="1"/>
    </xf>
    <xf numFmtId="164" fontId="3" fillId="2" borderId="32" xfId="1" applyNumberFormat="1" applyFont="1" applyFill="1" applyBorder="1" applyAlignment="1">
      <alignment vertical="center" wrapText="1"/>
    </xf>
    <xf numFmtId="166" fontId="3" fillId="2" borderId="38" xfId="4" applyNumberFormat="1" applyFont="1" applyFill="1" applyBorder="1" applyAlignment="1">
      <alignment vertical="center" wrapText="1"/>
    </xf>
    <xf numFmtId="164" fontId="3" fillId="0" borderId="39" xfId="1" applyNumberFormat="1" applyFont="1" applyBorder="1" applyAlignment="1">
      <alignment vertical="center" wrapText="1"/>
    </xf>
    <xf numFmtId="0" fontId="11" fillId="5" borderId="40" xfId="2" applyFont="1" applyFill="1" applyBorder="1" applyAlignment="1">
      <alignment horizontal="left" wrapText="1"/>
    </xf>
    <xf numFmtId="0" fontId="11" fillId="5" borderId="41" xfId="2" applyFont="1" applyFill="1" applyBorder="1" applyAlignment="1">
      <alignment horizontal="left" wrapText="1"/>
    </xf>
    <xf numFmtId="164" fontId="14" fillId="0" borderId="39" xfId="1" applyNumberFormat="1" applyFont="1" applyBorder="1" applyAlignment="1">
      <alignment vertical="center" wrapText="1"/>
    </xf>
    <xf numFmtId="0" fontId="11" fillId="5" borderId="17" xfId="2" applyFont="1" applyFill="1" applyBorder="1" applyAlignment="1">
      <alignment horizontal="left" wrapText="1"/>
    </xf>
    <xf numFmtId="0" fontId="11" fillId="5" borderId="42" xfId="2" applyFont="1" applyFill="1" applyBorder="1" applyAlignment="1">
      <alignment horizontal="left" wrapText="1"/>
    </xf>
    <xf numFmtId="164" fontId="3" fillId="0" borderId="43" xfId="1" applyNumberFormat="1" applyFont="1" applyBorder="1" applyAlignment="1">
      <alignment vertical="center" wrapText="1"/>
    </xf>
    <xf numFmtId="164" fontId="3" fillId="0" borderId="0" xfId="1" applyNumberFormat="1" applyFont="1" applyAlignment="1">
      <alignment vertical="center" wrapText="1"/>
    </xf>
    <xf numFmtId="0" fontId="2" fillId="5" borderId="22" xfId="2" applyFont="1" applyFill="1" applyBorder="1" applyAlignment="1">
      <alignment horizontal="center" vertical="center" wrapText="1"/>
    </xf>
    <xf numFmtId="0" fontId="11" fillId="0" borderId="44" xfId="2" applyFont="1" applyBorder="1" applyAlignment="1">
      <alignment horizontal="left" wrapText="1"/>
    </xf>
    <xf numFmtId="164" fontId="2" fillId="5" borderId="7" xfId="2" applyNumberFormat="1" applyFont="1" applyFill="1" applyBorder="1" applyAlignment="1">
      <alignment horizontal="center" vertical="center"/>
    </xf>
    <xf numFmtId="164" fontId="2" fillId="5" borderId="0" xfId="2" applyNumberFormat="1" applyFont="1" applyFill="1" applyAlignment="1">
      <alignment horizontal="center" vertical="center"/>
    </xf>
    <xf numFmtId="164" fontId="3" fillId="2" borderId="39" xfId="1" applyNumberFormat="1" applyFont="1" applyFill="1" applyBorder="1" applyAlignment="1">
      <alignment vertical="center" wrapText="1"/>
    </xf>
    <xf numFmtId="164" fontId="2" fillId="5" borderId="47" xfId="2" applyNumberFormat="1" applyFont="1" applyFill="1" applyBorder="1" applyAlignment="1">
      <alignment horizontal="center" vertical="center"/>
    </xf>
    <xf numFmtId="164" fontId="2" fillId="5" borderId="48" xfId="2" applyNumberFormat="1" applyFont="1" applyFill="1" applyBorder="1" applyAlignment="1">
      <alignment horizontal="center" vertical="center"/>
    </xf>
    <xf numFmtId="164" fontId="2" fillId="5" borderId="41" xfId="2" applyNumberFormat="1" applyFont="1" applyFill="1" applyBorder="1" applyAlignment="1">
      <alignment horizontal="center" vertical="center"/>
    </xf>
    <xf numFmtId="164" fontId="14" fillId="0" borderId="34" xfId="1" applyNumberFormat="1" applyFont="1" applyBorder="1" applyAlignment="1">
      <alignment vertical="center" wrapText="1"/>
    </xf>
    <xf numFmtId="164" fontId="2" fillId="5" borderId="42" xfId="2" applyNumberFormat="1" applyFont="1" applyFill="1" applyBorder="1" applyAlignment="1">
      <alignment horizontal="center" vertical="center"/>
    </xf>
    <xf numFmtId="1" fontId="12" fillId="5" borderId="45" xfId="2" applyNumberFormat="1" applyFont="1" applyFill="1" applyBorder="1" applyAlignment="1">
      <alignment horizontal="center" vertical="center" wrapText="1"/>
    </xf>
    <xf numFmtId="0" fontId="10" fillId="0" borderId="15" xfId="2" quotePrefix="1" applyFont="1" applyBorder="1" applyAlignment="1">
      <alignment horizontal="center" vertical="center"/>
    </xf>
    <xf numFmtId="1" fontId="12" fillId="5" borderId="41" xfId="2" applyNumberFormat="1" applyFont="1" applyFill="1" applyBorder="1" applyAlignment="1">
      <alignment horizontal="center" vertical="center" wrapText="1"/>
    </xf>
    <xf numFmtId="164" fontId="3" fillId="0" borderId="49" xfId="1" applyNumberFormat="1" applyFont="1" applyBorder="1" applyAlignment="1">
      <alignment vertical="center" wrapText="1"/>
    </xf>
    <xf numFmtId="1" fontId="12" fillId="5" borderId="42" xfId="2" applyNumberFormat="1" applyFont="1" applyFill="1" applyBorder="1" applyAlignment="1">
      <alignment horizontal="center" vertical="center" wrapText="1"/>
    </xf>
    <xf numFmtId="0" fontId="2" fillId="0" borderId="0" xfId="2" applyFont="1" applyFill="1" applyAlignment="1">
      <alignment vertical="center"/>
    </xf>
    <xf numFmtId="164" fontId="2" fillId="6" borderId="5" xfId="2" applyNumberFormat="1" applyFont="1" applyFill="1" applyBorder="1" applyAlignment="1">
      <alignment horizontal="center" vertical="center"/>
    </xf>
    <xf numFmtId="0" fontId="10" fillId="6" borderId="16" xfId="2" quotePrefix="1" applyFont="1" applyFill="1" applyBorder="1" applyAlignment="1">
      <alignment horizontal="center" vertical="center"/>
    </xf>
    <xf numFmtId="0" fontId="10" fillId="6" borderId="0" xfId="2" quotePrefix="1" applyFont="1" applyFill="1" applyBorder="1" applyAlignment="1">
      <alignment horizontal="center" vertical="center"/>
    </xf>
    <xf numFmtId="164" fontId="3" fillId="6" borderId="29" xfId="1" applyNumberFormat="1" applyFont="1" applyFill="1" applyBorder="1" applyAlignment="1">
      <alignment vertical="center" wrapText="1"/>
    </xf>
    <xf numFmtId="164" fontId="3" fillId="6" borderId="35" xfId="1" applyNumberFormat="1" applyFont="1" applyFill="1" applyBorder="1" applyAlignment="1">
      <alignment vertical="center" wrapText="1"/>
    </xf>
    <xf numFmtId="164" fontId="3" fillId="6" borderId="0" xfId="1" applyNumberFormat="1" applyFont="1" applyFill="1" applyBorder="1" applyAlignment="1">
      <alignment vertical="center" wrapText="1"/>
    </xf>
    <xf numFmtId="0" fontId="10" fillId="6" borderId="37" xfId="2" quotePrefix="1" applyFont="1" applyFill="1" applyBorder="1" applyAlignment="1">
      <alignment horizontal="center" vertical="center"/>
    </xf>
    <xf numFmtId="164" fontId="14" fillId="6" borderId="0" xfId="1" applyNumberFormat="1" applyFont="1" applyFill="1" applyBorder="1" applyAlignment="1">
      <alignment vertical="center" wrapText="1"/>
    </xf>
    <xf numFmtId="164" fontId="3" fillId="6" borderId="16" xfId="1" applyNumberFormat="1" applyFont="1" applyFill="1" applyBorder="1" applyAlignment="1">
      <alignment vertical="center" wrapText="1"/>
    </xf>
    <xf numFmtId="164" fontId="3" fillId="6" borderId="0" xfId="1" applyNumberFormat="1" applyFont="1" applyFill="1" applyAlignment="1">
      <alignment vertical="center" wrapText="1"/>
    </xf>
    <xf numFmtId="0" fontId="2" fillId="6" borderId="0" xfId="2" applyFont="1" applyFill="1" applyAlignment="1">
      <alignment vertical="center" wrapText="1"/>
    </xf>
    <xf numFmtId="164" fontId="2" fillId="6" borderId="13" xfId="2" applyNumberFormat="1" applyFont="1" applyFill="1" applyBorder="1" applyAlignment="1">
      <alignment horizontal="center" vertical="center"/>
    </xf>
    <xf numFmtId="0" fontId="10" fillId="6" borderId="27" xfId="2" quotePrefix="1" applyFont="1" applyFill="1" applyBorder="1" applyAlignment="1">
      <alignment horizontal="center" vertical="center"/>
    </xf>
    <xf numFmtId="164" fontId="3" fillId="6" borderId="46" xfId="1" applyNumberFormat="1" applyFont="1" applyFill="1" applyBorder="1" applyAlignment="1">
      <alignment vertical="center" wrapText="1"/>
    </xf>
    <xf numFmtId="164" fontId="14" fillId="6" borderId="29" xfId="1" applyNumberFormat="1" applyFont="1" applyFill="1" applyBorder="1" applyAlignment="1">
      <alignment vertical="center" wrapText="1"/>
    </xf>
    <xf numFmtId="0" fontId="2" fillId="6" borderId="0" xfId="2" applyFont="1" applyFill="1" applyAlignment="1">
      <alignment vertical="center"/>
    </xf>
    <xf numFmtId="0" fontId="10" fillId="6" borderId="15" xfId="2" quotePrefix="1" applyFont="1" applyFill="1" applyBorder="1" applyAlignment="1">
      <alignment horizontal="center" vertical="center"/>
    </xf>
    <xf numFmtId="164" fontId="2" fillId="5" borderId="14" xfId="2" applyNumberFormat="1" applyFont="1" applyFill="1" applyBorder="1" applyAlignment="1">
      <alignment horizontal="center" vertical="center"/>
    </xf>
    <xf numFmtId="0" fontId="11" fillId="0" borderId="4" xfId="2" applyFont="1" applyBorder="1" applyAlignment="1">
      <alignment horizontal="center" wrapText="1"/>
    </xf>
    <xf numFmtId="0" fontId="10" fillId="6" borderId="50" xfId="2" quotePrefix="1" applyFont="1" applyFill="1" applyBorder="1" applyAlignment="1">
      <alignment horizontal="center" vertical="center"/>
    </xf>
    <xf numFmtId="164" fontId="2" fillId="5" borderId="2" xfId="2" applyNumberFormat="1" applyFont="1" applyFill="1" applyBorder="1" applyAlignment="1">
      <alignment horizontal="centerContinuous" vertical="center"/>
    </xf>
    <xf numFmtId="164" fontId="2" fillId="5" borderId="3" xfId="2" applyNumberFormat="1" applyFont="1" applyFill="1" applyBorder="1" applyAlignment="1">
      <alignment horizontal="centerContinuous" vertical="center"/>
    </xf>
    <xf numFmtId="1" fontId="12" fillId="0" borderId="17" xfId="2" applyNumberFormat="1" applyFont="1" applyBorder="1" applyAlignment="1">
      <alignment horizontal="center" vertical="center" wrapText="1"/>
    </xf>
    <xf numFmtId="164" fontId="2" fillId="5" borderId="1" xfId="2" applyNumberFormat="1" applyFont="1" applyFill="1" applyBorder="1" applyAlignment="1">
      <alignment horizontal="centerContinuous" vertical="center"/>
    </xf>
    <xf numFmtId="164" fontId="2" fillId="5" borderId="8" xfId="2" applyNumberFormat="1" applyFont="1" applyFill="1" applyBorder="1" applyAlignment="1">
      <alignment horizontal="center" vertical="center"/>
    </xf>
    <xf numFmtId="0" fontId="10" fillId="5" borderId="8" xfId="2" quotePrefix="1" applyFont="1" applyFill="1" applyBorder="1" applyAlignment="1">
      <alignment horizontal="left" vertical="center"/>
    </xf>
    <xf numFmtId="164" fontId="2" fillId="6" borderId="2" xfId="2" applyNumberFormat="1" applyFont="1" applyFill="1" applyBorder="1" applyAlignment="1">
      <alignment vertical="center"/>
    </xf>
    <xf numFmtId="164" fontId="3" fillId="6" borderId="51" xfId="1" applyNumberFormat="1" applyFont="1" applyFill="1" applyBorder="1" applyAlignment="1">
      <alignment vertical="center" wrapText="1"/>
    </xf>
    <xf numFmtId="1" fontId="12" fillId="6" borderId="0" xfId="2" applyNumberFormat="1" applyFont="1" applyFill="1" applyAlignment="1">
      <alignment horizontal="center" vertical="center" wrapText="1"/>
    </xf>
    <xf numFmtId="0" fontId="2" fillId="5" borderId="1" xfId="2" applyFont="1" applyFill="1" applyBorder="1" applyAlignment="1">
      <alignment horizontal="centerContinuous" vertical="center"/>
    </xf>
    <xf numFmtId="0" fontId="2" fillId="5" borderId="2" xfId="2" applyFont="1" applyFill="1" applyBorder="1" applyAlignment="1">
      <alignment horizontal="centerContinuous" vertical="center"/>
    </xf>
    <xf numFmtId="0" fontId="2" fillId="5" borderId="3" xfId="2" applyFont="1" applyFill="1" applyBorder="1" applyAlignment="1">
      <alignment horizontal="centerContinuous" vertical="center"/>
    </xf>
    <xf numFmtId="0" fontId="13" fillId="0" borderId="22" xfId="2" applyFont="1" applyBorder="1" applyAlignment="1">
      <alignment horizontal="left" vertical="center"/>
    </xf>
    <xf numFmtId="0" fontId="13" fillId="0" borderId="24" xfId="2" applyFont="1" applyBorder="1" applyAlignment="1">
      <alignment horizontal="left" vertical="center"/>
    </xf>
    <xf numFmtId="0" fontId="10" fillId="0" borderId="1" xfId="2" quotePrefix="1" applyFont="1" applyBorder="1" applyAlignment="1">
      <alignment vertical="center"/>
    </xf>
    <xf numFmtId="0" fontId="10" fillId="0" borderId="2" xfId="2" quotePrefix="1" applyFont="1" applyBorder="1" applyAlignment="1">
      <alignment vertical="center"/>
    </xf>
    <xf numFmtId="0" fontId="10" fillId="0" borderId="3" xfId="2" quotePrefix="1" applyFont="1" applyBorder="1" applyAlignment="1">
      <alignment vertical="center"/>
    </xf>
    <xf numFmtId="0" fontId="10" fillId="0" borderId="1" xfId="2" quotePrefix="1" applyFont="1" applyBorder="1" applyAlignment="1">
      <alignment horizontal="centerContinuous" vertical="center"/>
    </xf>
    <xf numFmtId="0" fontId="10" fillId="0" borderId="2" xfId="2" quotePrefix="1" applyFont="1" applyBorder="1" applyAlignment="1">
      <alignment horizontal="centerContinuous" vertical="center"/>
    </xf>
    <xf numFmtId="0" fontId="10" fillId="0" borderId="3" xfId="2" quotePrefix="1" applyFont="1" applyBorder="1" applyAlignment="1">
      <alignment horizontal="centerContinuous" vertical="center"/>
    </xf>
    <xf numFmtId="0" fontId="3" fillId="0" borderId="12" xfId="1" applyFont="1" applyBorder="1" applyAlignment="1">
      <alignment vertical="center"/>
    </xf>
    <xf numFmtId="0" fontId="10" fillId="0" borderId="1" xfId="2" quotePrefix="1" applyFont="1" applyBorder="1" applyAlignment="1">
      <alignment horizontal="left" vertical="center"/>
    </xf>
    <xf numFmtId="164" fontId="14" fillId="0" borderId="49" xfId="1" applyNumberFormat="1" applyFont="1" applyBorder="1" applyAlignment="1">
      <alignment vertical="center" wrapText="1"/>
    </xf>
    <xf numFmtId="0" fontId="2" fillId="7" borderId="0" xfId="2" applyFont="1" applyFill="1" applyAlignment="1">
      <alignment vertical="center"/>
    </xf>
    <xf numFmtId="0" fontId="12" fillId="0" borderId="0" xfId="2" applyFont="1" applyAlignment="1">
      <alignment vertical="center" wrapText="1"/>
    </xf>
    <xf numFmtId="0" fontId="2" fillId="2" borderId="0" xfId="2" applyFont="1" applyFill="1" applyAlignment="1">
      <alignment vertical="center"/>
    </xf>
    <xf numFmtId="0" fontId="15" fillId="0" borderId="0" xfId="2" applyFont="1" applyAlignment="1">
      <alignment horizontal="center" vertical="top" wrapText="1"/>
    </xf>
    <xf numFmtId="0" fontId="16" fillId="0" borderId="8" xfId="2" applyFont="1" applyBorder="1" applyAlignment="1">
      <alignment wrapText="1"/>
    </xf>
    <xf numFmtId="0" fontId="15" fillId="0" borderId="52" xfId="2" applyFont="1" applyBorder="1" applyAlignment="1">
      <alignment vertical="top" wrapText="1"/>
    </xf>
    <xf numFmtId="0" fontId="8" fillId="0" borderId="0" xfId="2" applyFont="1" applyAlignment="1">
      <alignment vertical="center"/>
    </xf>
    <xf numFmtId="0" fontId="15" fillId="2" borderId="52" xfId="2" applyFont="1" applyFill="1" applyBorder="1" applyAlignment="1">
      <alignment vertical="top" wrapText="1"/>
    </xf>
    <xf numFmtId="0" fontId="15" fillId="2" borderId="34" xfId="2" applyFont="1" applyFill="1" applyBorder="1" applyAlignment="1">
      <alignment vertical="top" wrapText="1"/>
    </xf>
    <xf numFmtId="0" fontId="15" fillId="2" borderId="34" xfId="2" applyFont="1" applyFill="1" applyBorder="1" applyAlignment="1">
      <alignment horizontal="left" vertical="top" wrapText="1"/>
    </xf>
    <xf numFmtId="0" fontId="2" fillId="0" borderId="0" xfId="2" applyFont="1" applyFill="1" applyAlignment="1">
      <alignment vertical="center" wrapText="1"/>
    </xf>
    <xf numFmtId="0" fontId="2" fillId="5" borderId="4" xfId="2" applyFont="1" applyFill="1" applyBorder="1" applyAlignment="1">
      <alignment vertical="center" wrapText="1"/>
    </xf>
    <xf numFmtId="0" fontId="2" fillId="5" borderId="14" xfId="2" applyFont="1" applyFill="1" applyBorder="1" applyAlignment="1">
      <alignment vertical="center" wrapText="1"/>
    </xf>
    <xf numFmtId="0" fontId="13" fillId="0" borderId="32" xfId="2" applyFont="1" applyBorder="1" applyAlignment="1">
      <alignment horizontal="left" vertical="center"/>
    </xf>
    <xf numFmtId="164" fontId="3" fillId="0" borderId="3" xfId="1" applyNumberFormat="1" applyFont="1" applyFill="1" applyBorder="1" applyAlignment="1">
      <alignment horizontal="right" vertical="center"/>
    </xf>
    <xf numFmtId="0" fontId="6" fillId="0" borderId="0" xfId="2" applyFont="1" applyFill="1"/>
    <xf numFmtId="0" fontId="6" fillId="0" borderId="0" xfId="2" applyFont="1" applyAlignment="1">
      <alignment vertical="center"/>
    </xf>
    <xf numFmtId="0" fontId="1" fillId="0" borderId="7" xfId="1" applyBorder="1" applyAlignment="1">
      <alignment horizontal="center" vertical="top"/>
    </xf>
    <xf numFmtId="0" fontId="1" fillId="0" borderId="0" xfId="1" applyAlignment="1">
      <alignment horizontal="center" vertical="top"/>
    </xf>
    <xf numFmtId="164" fontId="1" fillId="2" borderId="0" xfId="1" applyNumberFormat="1" applyFill="1" applyAlignment="1">
      <alignment horizontal="center" vertical="top" wrapText="1"/>
    </xf>
    <xf numFmtId="0" fontId="3" fillId="3" borderId="1" xfId="1" applyFont="1" applyFill="1" applyBorder="1" applyAlignment="1">
      <alignment horizontal="center" vertical="center"/>
    </xf>
    <xf numFmtId="0" fontId="3" fillId="3" borderId="2" xfId="1" applyFont="1" applyFill="1" applyBorder="1" applyAlignment="1">
      <alignment horizontal="center" vertical="center"/>
    </xf>
    <xf numFmtId="0" fontId="3" fillId="3" borderId="3" xfId="1" applyFont="1" applyFill="1" applyBorder="1" applyAlignment="1">
      <alignment horizontal="center" vertical="center"/>
    </xf>
    <xf numFmtId="0" fontId="2" fillId="2" borderId="1" xfId="1" applyFont="1" applyFill="1" applyBorder="1" applyAlignment="1">
      <alignment horizontal="center"/>
    </xf>
    <xf numFmtId="0" fontId="2" fillId="2" borderId="2" xfId="1" applyFont="1" applyFill="1" applyBorder="1" applyAlignment="1">
      <alignment horizontal="center"/>
    </xf>
    <xf numFmtId="0" fontId="2" fillId="2" borderId="3" xfId="1" applyFont="1" applyFill="1" applyBorder="1" applyAlignment="1">
      <alignment horizontal="center"/>
    </xf>
    <xf numFmtId="0" fontId="2" fillId="0" borderId="1" xfId="1" applyFont="1" applyBorder="1" applyAlignment="1">
      <alignment horizontal="center"/>
    </xf>
    <xf numFmtId="0" fontId="2" fillId="0" borderId="2" xfId="1" applyFont="1" applyBorder="1" applyAlignment="1">
      <alignment horizontal="center"/>
    </xf>
    <xf numFmtId="0" fontId="2" fillId="0" borderId="3" xfId="1" applyFont="1" applyBorder="1" applyAlignment="1">
      <alignment horizontal="center"/>
    </xf>
    <xf numFmtId="0" fontId="2" fillId="0" borderId="1" xfId="1" applyFont="1" applyBorder="1" applyAlignment="1">
      <alignment horizontal="center" vertical="top" wrapText="1"/>
    </xf>
    <xf numFmtId="0" fontId="2" fillId="0" borderId="2" xfId="1" applyFont="1" applyBorder="1" applyAlignment="1">
      <alignment horizontal="center" vertical="top" wrapText="1"/>
    </xf>
    <xf numFmtId="0" fontId="2" fillId="0" borderId="3" xfId="1" applyFont="1" applyBorder="1" applyAlignment="1">
      <alignment horizontal="center" vertical="top" wrapText="1"/>
    </xf>
    <xf numFmtId="0" fontId="1" fillId="0" borderId="4" xfId="1" applyBorder="1" applyAlignment="1">
      <alignment horizontal="center" vertical="top"/>
    </xf>
    <xf numFmtId="0" fontId="1" fillId="0" borderId="5" xfId="1" applyBorder="1" applyAlignment="1">
      <alignment horizontal="center" vertical="top"/>
    </xf>
    <xf numFmtId="164" fontId="1" fillId="2" borderId="5" xfId="1" applyNumberFormat="1" applyFill="1" applyBorder="1" applyAlignment="1">
      <alignment horizontal="center" vertical="top" wrapText="1"/>
    </xf>
    <xf numFmtId="165" fontId="3" fillId="4" borderId="1" xfId="1" applyNumberFormat="1" applyFont="1" applyFill="1" applyBorder="1" applyAlignment="1">
      <alignment horizontal="center" vertical="center" wrapText="1"/>
    </xf>
    <xf numFmtId="165" fontId="3" fillId="4" borderId="2" xfId="1" applyNumberFormat="1" applyFont="1" applyFill="1" applyBorder="1" applyAlignment="1">
      <alignment horizontal="center" vertical="center" wrapText="1"/>
    </xf>
    <xf numFmtId="165" fontId="3" fillId="4" borderId="3" xfId="1" applyNumberFormat="1" applyFont="1" applyFill="1" applyBorder="1" applyAlignment="1">
      <alignment horizontal="center" vertical="center" wrapText="1"/>
    </xf>
    <xf numFmtId="0" fontId="3" fillId="3" borderId="1" xfId="1" applyFont="1" applyFill="1" applyBorder="1" applyAlignment="1">
      <alignment horizontal="center" vertical="center" wrapText="1"/>
    </xf>
    <xf numFmtId="0" fontId="3" fillId="3" borderId="2" xfId="1" applyFont="1" applyFill="1" applyBorder="1" applyAlignment="1">
      <alignment horizontal="center" vertical="center" wrapText="1"/>
    </xf>
    <xf numFmtId="0" fontId="3" fillId="3" borderId="3" xfId="1" applyFont="1" applyFill="1" applyBorder="1" applyAlignment="1">
      <alignment horizontal="center" vertical="center" wrapText="1"/>
    </xf>
    <xf numFmtId="0" fontId="3" fillId="0" borderId="1" xfId="1" applyFont="1" applyBorder="1" applyAlignment="1">
      <alignment horizontal="center" vertical="center" wrapText="1"/>
    </xf>
    <xf numFmtId="0" fontId="3" fillId="0" borderId="2" xfId="1" applyFont="1" applyBorder="1" applyAlignment="1">
      <alignment horizontal="center" vertical="center" wrapText="1"/>
    </xf>
    <xf numFmtId="0" fontId="3" fillId="0" borderId="3" xfId="1" applyFont="1" applyBorder="1" applyAlignment="1">
      <alignment horizontal="center" vertical="center" wrapText="1"/>
    </xf>
    <xf numFmtId="10" fontId="3" fillId="3" borderId="1" xfId="1" applyNumberFormat="1" applyFont="1" applyFill="1" applyBorder="1" applyAlignment="1">
      <alignment horizontal="center" vertical="center"/>
    </xf>
    <xf numFmtId="10" fontId="3" fillId="3" borderId="2" xfId="1" applyNumberFormat="1" applyFont="1" applyFill="1" applyBorder="1" applyAlignment="1">
      <alignment horizontal="center" vertical="center"/>
    </xf>
    <xf numFmtId="10" fontId="3" fillId="3" borderId="3" xfId="1" applyNumberFormat="1" applyFont="1" applyFill="1" applyBorder="1" applyAlignment="1">
      <alignment horizontal="center" vertical="center"/>
    </xf>
    <xf numFmtId="0" fontId="3" fillId="0" borderId="0" xfId="1" applyFont="1" applyAlignment="1">
      <alignment horizontal="center" vertical="center" wrapText="1"/>
    </xf>
    <xf numFmtId="164" fontId="2" fillId="5" borderId="1" xfId="2" applyNumberFormat="1" applyFont="1" applyFill="1" applyBorder="1" applyAlignment="1">
      <alignment horizontal="center" vertical="center"/>
    </xf>
    <xf numFmtId="164" fontId="2" fillId="5" borderId="2" xfId="2" applyNumberFormat="1" applyFont="1" applyFill="1" applyBorder="1" applyAlignment="1">
      <alignment horizontal="center" vertical="center"/>
    </xf>
    <xf numFmtId="164" fontId="2" fillId="5" borderId="3" xfId="2" applyNumberFormat="1" applyFont="1" applyFill="1" applyBorder="1" applyAlignment="1">
      <alignment horizontal="center" vertical="center"/>
    </xf>
    <xf numFmtId="0" fontId="2" fillId="5" borderId="4" xfId="2" applyFont="1" applyFill="1" applyBorder="1" applyAlignment="1">
      <alignment horizontal="center" vertical="center" wrapText="1"/>
    </xf>
    <xf numFmtId="0" fontId="2" fillId="5" borderId="14" xfId="2" applyFont="1" applyFill="1" applyBorder="1" applyAlignment="1">
      <alignment horizontal="center" vertical="center" wrapText="1"/>
    </xf>
    <xf numFmtId="0" fontId="2" fillId="5" borderId="9" xfId="2" applyFont="1" applyFill="1" applyBorder="1" applyAlignment="1">
      <alignment horizontal="center" vertical="center" wrapText="1"/>
    </xf>
    <xf numFmtId="0" fontId="2" fillId="5" borderId="15" xfId="2" applyFont="1" applyFill="1" applyBorder="1" applyAlignment="1">
      <alignment horizontal="center" vertical="center" wrapText="1"/>
    </xf>
  </cellXfs>
  <cellStyles count="5">
    <cellStyle name="Comma 2" xfId="4" xr:uid="{B9966C2E-C92D-4ECF-9297-CC410E91EF5A}"/>
    <cellStyle name="Normal" xfId="0" builtinId="0"/>
    <cellStyle name="Normal 2" xfId="2" xr:uid="{F4F95E54-161D-4F68-AB2B-3E9AD13CA1B4}"/>
    <cellStyle name="Normal 3" xfId="1" xr:uid="{B9F6923D-F048-471E-B906-0C70FD862E34}"/>
    <cellStyle name="Normal 4 5" xfId="3" xr:uid="{01C52841-6AA6-4EBB-B296-7C6AF366D7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CFD17-8F16-4D98-99CD-1056F0B6C085}">
  <dimension ref="A1:K105"/>
  <sheetViews>
    <sheetView tabSelected="1" workbookViewId="0">
      <selection activeCell="A3" sqref="A3:J3"/>
    </sheetView>
  </sheetViews>
  <sheetFormatPr defaultColWidth="15.42578125" defaultRowHeight="12" x14ac:dyDescent="0.25"/>
  <cols>
    <col min="1" max="1" width="5.140625" style="1" customWidth="1"/>
    <col min="2" max="2" width="10.85546875" style="1" customWidth="1"/>
    <col min="3" max="3" width="65.85546875" style="1" customWidth="1"/>
    <col min="4" max="4" width="5.5703125" style="5" customWidth="1"/>
    <col min="5" max="5" width="6" style="5" customWidth="1"/>
    <col min="6" max="6" width="10.7109375" style="5" customWidth="1"/>
    <col min="7" max="9" width="9" style="6" customWidth="1"/>
    <col min="10" max="10" width="14" style="32" customWidth="1"/>
    <col min="11" max="11" width="8.5703125" style="1" customWidth="1"/>
    <col min="12" max="16384" width="15.42578125" style="1"/>
  </cols>
  <sheetData>
    <row r="1" spans="1:11" ht="16.5" thickBot="1" x14ac:dyDescent="0.3">
      <c r="A1" s="161" t="s">
        <v>146</v>
      </c>
      <c r="B1" s="162"/>
      <c r="C1" s="162"/>
      <c r="D1" s="162"/>
      <c r="E1" s="162"/>
      <c r="F1" s="162"/>
      <c r="G1" s="162"/>
      <c r="H1" s="162"/>
      <c r="I1" s="162"/>
      <c r="J1" s="163"/>
    </row>
    <row r="2" spans="1:11" ht="16.5" thickBot="1" x14ac:dyDescent="0.3">
      <c r="A2" s="164" t="s">
        <v>0</v>
      </c>
      <c r="B2" s="165"/>
      <c r="C2" s="165"/>
      <c r="D2" s="165"/>
      <c r="E2" s="165"/>
      <c r="F2" s="165"/>
      <c r="G2" s="165"/>
      <c r="H2" s="165"/>
      <c r="I2" s="165"/>
      <c r="J2" s="166"/>
    </row>
    <row r="3" spans="1:11" ht="18" customHeight="1" thickBot="1" x14ac:dyDescent="0.3">
      <c r="A3" s="167"/>
      <c r="B3" s="168"/>
      <c r="C3" s="168"/>
      <c r="D3" s="168"/>
      <c r="E3" s="168"/>
      <c r="F3" s="168"/>
      <c r="G3" s="168"/>
      <c r="H3" s="168"/>
      <c r="I3" s="168"/>
      <c r="J3" s="169"/>
    </row>
    <row r="4" spans="1:11" ht="18" customHeight="1" x14ac:dyDescent="0.25">
      <c r="A4" s="170" t="s">
        <v>1</v>
      </c>
      <c r="B4" s="171"/>
      <c r="C4" s="171"/>
      <c r="D4" s="172"/>
      <c r="E4" s="172"/>
      <c r="F4" s="172"/>
      <c r="G4" s="172"/>
      <c r="H4" s="172"/>
      <c r="I4" s="2"/>
      <c r="J4" s="3"/>
    </row>
    <row r="5" spans="1:11" ht="18" customHeight="1" x14ac:dyDescent="0.25">
      <c r="A5" s="155" t="s">
        <v>2</v>
      </c>
      <c r="B5" s="156"/>
      <c r="C5" s="156"/>
      <c r="D5" s="157"/>
      <c r="E5" s="157"/>
      <c r="F5" s="157"/>
      <c r="G5" s="157"/>
      <c r="H5" s="157"/>
      <c r="I5" s="2"/>
      <c r="J5" s="3"/>
    </row>
    <row r="6" spans="1:11" ht="18" customHeight="1" x14ac:dyDescent="0.25">
      <c r="A6" s="155" t="s">
        <v>3</v>
      </c>
      <c r="B6" s="156"/>
      <c r="C6" s="156"/>
      <c r="D6" s="157"/>
      <c r="E6" s="157"/>
      <c r="F6" s="157"/>
      <c r="G6" s="157"/>
      <c r="H6" s="157"/>
      <c r="I6" s="2"/>
      <c r="J6" s="3"/>
    </row>
    <row r="7" spans="1:11" ht="12.75" thickBot="1" x14ac:dyDescent="0.3">
      <c r="A7" s="4"/>
      <c r="J7" s="7"/>
    </row>
    <row r="8" spans="1:11" ht="13.5" customHeight="1" thickBot="1" x14ac:dyDescent="0.3">
      <c r="A8" s="158" t="s">
        <v>4</v>
      </c>
      <c r="B8" s="159"/>
      <c r="C8" s="159"/>
      <c r="D8" s="159"/>
      <c r="E8" s="159"/>
      <c r="F8" s="159"/>
      <c r="G8" s="159"/>
      <c r="H8" s="159"/>
      <c r="I8" s="159"/>
      <c r="J8" s="160"/>
    </row>
    <row r="9" spans="1:11" ht="13.5" customHeight="1" thickBot="1" x14ac:dyDescent="0.3">
      <c r="A9" s="8" t="s">
        <v>5</v>
      </c>
      <c r="B9" s="9" t="s">
        <v>6</v>
      </c>
      <c r="C9" s="10" t="s">
        <v>7</v>
      </c>
      <c r="D9" s="11" t="s">
        <v>8</v>
      </c>
      <c r="E9" s="11" t="s">
        <v>9</v>
      </c>
      <c r="F9" s="11" t="s">
        <v>10</v>
      </c>
      <c r="G9" s="11" t="s">
        <v>11</v>
      </c>
      <c r="H9" s="11" t="s">
        <v>12</v>
      </c>
      <c r="I9" s="12" t="s">
        <v>13</v>
      </c>
      <c r="J9" s="11" t="s">
        <v>14</v>
      </c>
    </row>
    <row r="10" spans="1:11" ht="12.75" customHeight="1" thickBot="1" x14ac:dyDescent="0.3">
      <c r="A10" s="13" t="s">
        <v>15</v>
      </c>
      <c r="B10" s="14" t="s">
        <v>18</v>
      </c>
      <c r="C10" s="15" t="s">
        <v>67</v>
      </c>
      <c r="D10" s="16">
        <v>1</v>
      </c>
      <c r="E10" s="16" t="s">
        <v>72</v>
      </c>
      <c r="F10" s="22">
        <f>'Cost Format A_CLIN X001'!E68</f>
        <v>0</v>
      </c>
      <c r="G10" s="19">
        <f>'Cost Format A_CLIN X001'!E69</f>
        <v>0</v>
      </c>
      <c r="H10" s="22">
        <f>'Cost Format A_CLIN X001'!E70</f>
        <v>0</v>
      </c>
      <c r="I10" s="19">
        <f>+SUM(F10:H10)</f>
        <v>0</v>
      </c>
      <c r="J10" s="20">
        <f t="shared" ref="J10:J15" si="0">+D10*I10</f>
        <v>0</v>
      </c>
      <c r="K10" s="21"/>
    </row>
    <row r="11" spans="1:11" ht="12.75" customHeight="1" thickBot="1" x14ac:dyDescent="0.3">
      <c r="A11" s="13" t="s">
        <v>17</v>
      </c>
      <c r="B11" s="14" t="s">
        <v>18</v>
      </c>
      <c r="C11" s="15" t="s">
        <v>68</v>
      </c>
      <c r="D11" s="16">
        <v>1</v>
      </c>
      <c r="E11" s="16" t="s">
        <v>19</v>
      </c>
      <c r="F11" s="22">
        <f>'Cost Format A_CLIN X002'!E68</f>
        <v>0</v>
      </c>
      <c r="G11" s="19">
        <f>'Cost Format A_CLIN X002'!E69</f>
        <v>0</v>
      </c>
      <c r="H11" s="22">
        <f>'Cost Format A_CLIN X002'!E70</f>
        <v>0</v>
      </c>
      <c r="I11" s="19">
        <f>+SUM(F11:H11)</f>
        <v>0</v>
      </c>
      <c r="J11" s="20">
        <f>+D11*I11</f>
        <v>0</v>
      </c>
    </row>
    <row r="12" spans="1:11" ht="12.75" customHeight="1" thickBot="1" x14ac:dyDescent="0.3">
      <c r="A12" s="13" t="s">
        <v>20</v>
      </c>
      <c r="B12" s="14" t="s">
        <v>18</v>
      </c>
      <c r="C12" s="15" t="s">
        <v>246</v>
      </c>
      <c r="D12" s="16">
        <v>1</v>
      </c>
      <c r="E12" s="16" t="s">
        <v>72</v>
      </c>
      <c r="F12" s="22">
        <f>'Cost Format A_CLIN X003'!E68</f>
        <v>0</v>
      </c>
      <c r="G12" s="19">
        <f>'Cost Format A_CLIN X003'!E69</f>
        <v>0</v>
      </c>
      <c r="H12" s="22">
        <f>'Cost Format A_CLIN X003'!E70</f>
        <v>0</v>
      </c>
      <c r="I12" s="19">
        <v>0</v>
      </c>
      <c r="J12" s="20">
        <f t="shared" si="0"/>
        <v>0</v>
      </c>
      <c r="K12" s="21"/>
    </row>
    <row r="13" spans="1:11" ht="12.75" customHeight="1" thickBot="1" x14ac:dyDescent="0.3">
      <c r="A13" s="13" t="s">
        <v>22</v>
      </c>
      <c r="B13" s="14" t="s">
        <v>18</v>
      </c>
      <c r="C13" s="15" t="s">
        <v>69</v>
      </c>
      <c r="D13" s="16">
        <v>1</v>
      </c>
      <c r="E13" s="16" t="s">
        <v>19</v>
      </c>
      <c r="F13" s="22">
        <f>'Cost Format A_CLIN X004'!E68</f>
        <v>0</v>
      </c>
      <c r="G13" s="19">
        <f>'Cost Format A_CLIN X004'!E69</f>
        <v>0</v>
      </c>
      <c r="H13" s="22">
        <f>'Cost Format A_CLIN X004'!E70</f>
        <v>0</v>
      </c>
      <c r="I13" s="19">
        <v>0</v>
      </c>
      <c r="J13" s="20">
        <f t="shared" si="0"/>
        <v>0</v>
      </c>
      <c r="K13" s="23"/>
    </row>
    <row r="14" spans="1:11" ht="12.75" customHeight="1" thickBot="1" x14ac:dyDescent="0.3">
      <c r="A14" s="13" t="s">
        <v>24</v>
      </c>
      <c r="B14" s="14" t="s">
        <v>18</v>
      </c>
      <c r="C14" s="15" t="s">
        <v>70</v>
      </c>
      <c r="D14" s="16">
        <v>1</v>
      </c>
      <c r="E14" s="16" t="s">
        <v>72</v>
      </c>
      <c r="F14" s="22">
        <f>'Cost Format A_CLIN X005'!E68</f>
        <v>0</v>
      </c>
      <c r="G14" s="19">
        <f>'Cost Format A_CLIN X005'!E69</f>
        <v>0</v>
      </c>
      <c r="H14" s="22">
        <f>'Cost Format A_CLIN X005'!E70</f>
        <v>0</v>
      </c>
      <c r="I14" s="19">
        <v>0</v>
      </c>
      <c r="J14" s="20">
        <f t="shared" si="0"/>
        <v>0</v>
      </c>
      <c r="K14" s="23"/>
    </row>
    <row r="15" spans="1:11" ht="12.75" customHeight="1" thickBot="1" x14ac:dyDescent="0.3">
      <c r="A15" s="13" t="s">
        <v>25</v>
      </c>
      <c r="B15" s="14" t="s">
        <v>18</v>
      </c>
      <c r="C15" s="15" t="s">
        <v>71</v>
      </c>
      <c r="D15" s="16">
        <v>1</v>
      </c>
      <c r="E15" s="16" t="s">
        <v>19</v>
      </c>
      <c r="F15" s="22">
        <f>'Cost Format A_CLIN X006'!E68</f>
        <v>0</v>
      </c>
      <c r="G15" s="19">
        <f>'Cost Format A_CLIN X006'!E69</f>
        <v>0</v>
      </c>
      <c r="H15" s="22">
        <f>'Cost Format A_CLIN X006'!E70</f>
        <v>0</v>
      </c>
      <c r="I15" s="22">
        <f t="shared" ref="I15" si="1">+SUM(F15:H15)</f>
        <v>0</v>
      </c>
      <c r="J15" s="20">
        <f t="shared" si="0"/>
        <v>0</v>
      </c>
      <c r="K15" s="23"/>
    </row>
    <row r="16" spans="1:11" ht="12.75" customHeight="1" thickBot="1" x14ac:dyDescent="0.3">
      <c r="A16" s="13" t="s">
        <v>26</v>
      </c>
      <c r="B16" s="25" t="s">
        <v>16</v>
      </c>
      <c r="C16" s="26" t="s">
        <v>75</v>
      </c>
      <c r="D16" s="16">
        <v>4</v>
      </c>
      <c r="E16" s="16" t="s">
        <v>76</v>
      </c>
      <c r="F16" s="17"/>
      <c r="G16" s="17"/>
      <c r="H16" s="18"/>
      <c r="I16" s="22">
        <f>'FFP CLINs'!D9</f>
        <v>0</v>
      </c>
      <c r="J16" s="20">
        <f t="shared" ref="J16" si="2">+D16*I16</f>
        <v>0</v>
      </c>
      <c r="K16" s="23"/>
    </row>
    <row r="17" spans="1:11" ht="12.75" customHeight="1" thickBot="1" x14ac:dyDescent="0.3">
      <c r="A17" s="13" t="s">
        <v>82</v>
      </c>
      <c r="B17" s="14" t="s">
        <v>16</v>
      </c>
      <c r="C17" s="15" t="s">
        <v>77</v>
      </c>
      <c r="D17" s="16">
        <v>4</v>
      </c>
      <c r="E17" s="16" t="s">
        <v>76</v>
      </c>
      <c r="F17" s="17"/>
      <c r="G17" s="17"/>
      <c r="H17" s="18"/>
      <c r="I17" s="19">
        <f>'FFP CLINs'!D13</f>
        <v>0</v>
      </c>
      <c r="J17" s="20">
        <f>+D17*I17</f>
        <v>0</v>
      </c>
    </row>
    <row r="18" spans="1:11" ht="12.75" customHeight="1" thickBot="1" x14ac:dyDescent="0.3">
      <c r="A18" s="13" t="s">
        <v>83</v>
      </c>
      <c r="B18" s="14" t="s">
        <v>16</v>
      </c>
      <c r="C18" s="15" t="s">
        <v>247</v>
      </c>
      <c r="D18" s="16">
        <v>4</v>
      </c>
      <c r="E18" s="16" t="s">
        <v>76</v>
      </c>
      <c r="F18" s="17"/>
      <c r="G18" s="17"/>
      <c r="H18" s="18"/>
      <c r="I18" s="19">
        <f>'FFP CLINs'!D17</f>
        <v>0</v>
      </c>
      <c r="J18" s="20">
        <f t="shared" ref="J18:J21" si="3">+D18*I18</f>
        <v>0</v>
      </c>
      <c r="K18" s="21"/>
    </row>
    <row r="19" spans="1:11" ht="12.75" customHeight="1" thickBot="1" x14ac:dyDescent="0.3">
      <c r="A19" s="13" t="s">
        <v>84</v>
      </c>
      <c r="B19" s="14" t="s">
        <v>16</v>
      </c>
      <c r="C19" s="15" t="s">
        <v>78</v>
      </c>
      <c r="D19" s="16">
        <v>1</v>
      </c>
      <c r="E19" s="16" t="s">
        <v>72</v>
      </c>
      <c r="F19" s="17"/>
      <c r="G19" s="17"/>
      <c r="H19" s="18"/>
      <c r="I19" s="19">
        <f>'FFP CLINs'!D21</f>
        <v>0</v>
      </c>
      <c r="J19" s="20">
        <f t="shared" si="3"/>
        <v>0</v>
      </c>
      <c r="K19" s="23"/>
    </row>
    <row r="20" spans="1:11" ht="12.75" customHeight="1" thickBot="1" x14ac:dyDescent="0.3">
      <c r="A20" s="13" t="s">
        <v>85</v>
      </c>
      <c r="B20" s="14" t="s">
        <v>16</v>
      </c>
      <c r="C20" s="15" t="s">
        <v>79</v>
      </c>
      <c r="D20" s="16">
        <v>1</v>
      </c>
      <c r="E20" s="16" t="s">
        <v>19</v>
      </c>
      <c r="F20" s="17"/>
      <c r="G20" s="17"/>
      <c r="H20" s="18"/>
      <c r="I20" s="19">
        <f>'FFP CLINs'!D25</f>
        <v>0</v>
      </c>
      <c r="J20" s="20">
        <f t="shared" si="3"/>
        <v>0</v>
      </c>
      <c r="K20" s="23"/>
    </row>
    <row r="21" spans="1:11" ht="12.75" customHeight="1" thickBot="1" x14ac:dyDescent="0.3">
      <c r="A21" s="13" t="s">
        <v>86</v>
      </c>
      <c r="B21" s="14" t="s">
        <v>16</v>
      </c>
      <c r="C21" s="15" t="s">
        <v>80</v>
      </c>
      <c r="D21" s="16">
        <v>1</v>
      </c>
      <c r="E21" s="16" t="s">
        <v>72</v>
      </c>
      <c r="F21" s="17"/>
      <c r="G21" s="17"/>
      <c r="H21" s="18"/>
      <c r="I21" s="19">
        <f>'FFP CLINs'!D29</f>
        <v>0</v>
      </c>
      <c r="J21" s="20">
        <f t="shared" si="3"/>
        <v>0</v>
      </c>
      <c r="K21" s="23"/>
    </row>
    <row r="22" spans="1:11" ht="12.75" customHeight="1" thickBot="1" x14ac:dyDescent="0.3">
      <c r="A22" s="13" t="s">
        <v>87</v>
      </c>
      <c r="B22" s="25" t="s">
        <v>16</v>
      </c>
      <c r="C22" s="26" t="s">
        <v>66</v>
      </c>
      <c r="D22" s="16">
        <v>1</v>
      </c>
      <c r="E22" s="16" t="s">
        <v>19</v>
      </c>
      <c r="F22" s="17"/>
      <c r="G22" s="17"/>
      <c r="H22" s="18"/>
      <c r="I22" s="19">
        <f>'FFP CLINs'!D33</f>
        <v>0</v>
      </c>
      <c r="J22" s="20">
        <f t="shared" ref="J22" si="4">+D22*I22</f>
        <v>0</v>
      </c>
      <c r="K22" s="23"/>
    </row>
    <row r="23" spans="1:11" ht="12.75" customHeight="1" thickBot="1" x14ac:dyDescent="0.3">
      <c r="A23" s="13" t="s">
        <v>88</v>
      </c>
      <c r="B23" s="14" t="s">
        <v>18</v>
      </c>
      <c r="C23" s="15" t="s">
        <v>73</v>
      </c>
      <c r="D23" s="16">
        <v>1</v>
      </c>
      <c r="E23" s="16" t="s">
        <v>72</v>
      </c>
      <c r="F23" s="22">
        <f>'Cost Format A_CLIN 1014'!E68</f>
        <v>0</v>
      </c>
      <c r="G23" s="19">
        <f>'Cost Format A_CLIN 1014'!E69</f>
        <v>0</v>
      </c>
      <c r="H23" s="22">
        <f>'Cost Format A_CLIN 1014'!E70</f>
        <v>0</v>
      </c>
      <c r="I23" s="22">
        <f t="shared" ref="I23:I24" si="5">+SUM(F23:H23)</f>
        <v>0</v>
      </c>
      <c r="J23" s="20">
        <f t="shared" ref="J23:J25" si="6">+D23*I23</f>
        <v>0</v>
      </c>
      <c r="K23" s="23"/>
    </row>
    <row r="24" spans="1:11" ht="12.75" customHeight="1" thickBot="1" x14ac:dyDescent="0.3">
      <c r="A24" s="13" t="s">
        <v>89</v>
      </c>
      <c r="B24" s="14" t="s">
        <v>21</v>
      </c>
      <c r="C24" s="15" t="s">
        <v>23</v>
      </c>
      <c r="D24" s="16">
        <v>1</v>
      </c>
      <c r="E24" s="16" t="s">
        <v>19</v>
      </c>
      <c r="F24" s="22">
        <f>'Cost Format A_Travel CLINs'!E25</f>
        <v>0</v>
      </c>
      <c r="G24" s="19">
        <f>'Cost Format A_Travel CLINs'!E26</f>
        <v>0</v>
      </c>
      <c r="H24" s="18"/>
      <c r="I24" s="22">
        <f t="shared" si="5"/>
        <v>0</v>
      </c>
      <c r="J24" s="20">
        <f t="shared" si="6"/>
        <v>0</v>
      </c>
      <c r="K24" s="23"/>
    </row>
    <row r="25" spans="1:11" ht="12.75" customHeight="1" thickBot="1" x14ac:dyDescent="0.3">
      <c r="A25" s="13" t="s">
        <v>90</v>
      </c>
      <c r="B25" s="14" t="s">
        <v>16</v>
      </c>
      <c r="C25" s="15" t="s">
        <v>74</v>
      </c>
      <c r="D25" s="16">
        <v>1</v>
      </c>
      <c r="E25" s="16" t="s">
        <v>72</v>
      </c>
      <c r="F25" s="17"/>
      <c r="G25" s="17"/>
      <c r="H25" s="18"/>
      <c r="I25" s="19">
        <f>'FFP CLINs'!D37</f>
        <v>0</v>
      </c>
      <c r="J25" s="20">
        <f t="shared" si="6"/>
        <v>0</v>
      </c>
      <c r="K25" s="23"/>
    </row>
    <row r="26" spans="1:11" ht="12.75" customHeight="1" thickBot="1" x14ac:dyDescent="0.3">
      <c r="A26" s="13" t="s">
        <v>91</v>
      </c>
      <c r="B26" s="25" t="s">
        <v>27</v>
      </c>
      <c r="C26" s="26" t="s">
        <v>81</v>
      </c>
      <c r="D26" s="16">
        <v>1</v>
      </c>
      <c r="E26" s="16" t="s">
        <v>19</v>
      </c>
      <c r="F26" s="173" t="s">
        <v>27</v>
      </c>
      <c r="G26" s="174"/>
      <c r="H26" s="174"/>
      <c r="I26" s="174"/>
      <c r="J26" s="175"/>
      <c r="K26" s="23"/>
    </row>
    <row r="27" spans="1:11" ht="13.5" customHeight="1" thickBot="1" x14ac:dyDescent="0.3">
      <c r="A27" s="176" t="s">
        <v>28</v>
      </c>
      <c r="B27" s="177"/>
      <c r="C27" s="177"/>
      <c r="D27" s="177"/>
      <c r="E27" s="177"/>
      <c r="F27" s="177"/>
      <c r="G27" s="177"/>
      <c r="H27" s="177"/>
      <c r="I27" s="178"/>
      <c r="J27" s="20">
        <f>SUM(J10:J15)</f>
        <v>0</v>
      </c>
      <c r="K27" s="23"/>
    </row>
    <row r="28" spans="1:11" ht="4.5" customHeight="1" thickBot="1" x14ac:dyDescent="0.3">
      <c r="A28" s="179"/>
      <c r="B28" s="180"/>
      <c r="C28" s="180"/>
      <c r="D28" s="180"/>
      <c r="E28" s="180"/>
      <c r="F28" s="180"/>
      <c r="G28" s="180"/>
      <c r="H28" s="180"/>
      <c r="I28" s="180"/>
      <c r="J28" s="181"/>
      <c r="K28" s="23"/>
    </row>
    <row r="29" spans="1:11" ht="13.5" customHeight="1" thickBot="1" x14ac:dyDescent="0.3">
      <c r="A29" s="158" t="s">
        <v>29</v>
      </c>
      <c r="B29" s="159"/>
      <c r="C29" s="159"/>
      <c r="D29" s="159"/>
      <c r="E29" s="159"/>
      <c r="F29" s="159"/>
      <c r="G29" s="159"/>
      <c r="H29" s="159"/>
      <c r="I29" s="159"/>
      <c r="J29" s="160"/>
    </row>
    <row r="30" spans="1:11" ht="13.5" customHeight="1" thickBot="1" x14ac:dyDescent="0.3">
      <c r="A30" s="8" t="s">
        <v>5</v>
      </c>
      <c r="B30" s="9" t="s">
        <v>6</v>
      </c>
      <c r="C30" s="10" t="s">
        <v>7</v>
      </c>
      <c r="D30" s="11" t="s">
        <v>8</v>
      </c>
      <c r="E30" s="11" t="s">
        <v>9</v>
      </c>
      <c r="F30" s="11" t="s">
        <v>10</v>
      </c>
      <c r="G30" s="11" t="s">
        <v>11</v>
      </c>
      <c r="H30" s="11" t="s">
        <v>12</v>
      </c>
      <c r="I30" s="12" t="s">
        <v>13</v>
      </c>
      <c r="J30" s="11" t="s">
        <v>14</v>
      </c>
      <c r="K30" s="23"/>
    </row>
    <row r="31" spans="1:11" ht="12.75" customHeight="1" thickBot="1" x14ac:dyDescent="0.3">
      <c r="A31" s="13" t="s">
        <v>30</v>
      </c>
      <c r="B31" s="14" t="s">
        <v>18</v>
      </c>
      <c r="C31" s="15" t="s">
        <v>99</v>
      </c>
      <c r="D31" s="16">
        <v>1</v>
      </c>
      <c r="E31" s="16" t="s">
        <v>19</v>
      </c>
      <c r="F31" s="22">
        <f>'Cost Format A_CLIN X001'!I68</f>
        <v>0</v>
      </c>
      <c r="G31" s="19">
        <f>'Cost Format A_CLIN X001'!I69</f>
        <v>0</v>
      </c>
      <c r="H31" s="22">
        <f>'Cost Format A_CLIN X001'!I70</f>
        <v>0</v>
      </c>
      <c r="I31" s="19">
        <f>+SUM(F31:H31)</f>
        <v>0</v>
      </c>
      <c r="J31" s="20">
        <f t="shared" ref="J31:J32" si="7">+D31*I31</f>
        <v>0</v>
      </c>
      <c r="K31" s="21"/>
    </row>
    <row r="32" spans="1:11" ht="12.75" customHeight="1" thickBot="1" x14ac:dyDescent="0.3">
      <c r="A32" s="13" t="s">
        <v>31</v>
      </c>
      <c r="B32" s="14" t="s">
        <v>18</v>
      </c>
      <c r="C32" s="135" t="s">
        <v>100</v>
      </c>
      <c r="D32" s="16">
        <v>1</v>
      </c>
      <c r="E32" s="16" t="s">
        <v>72</v>
      </c>
      <c r="F32" s="22">
        <f>'Cost Format A_CLIN X002'!I68</f>
        <v>0</v>
      </c>
      <c r="G32" s="19">
        <f>'Cost Format A_CLIN X002'!I69</f>
        <v>0</v>
      </c>
      <c r="H32" s="22">
        <f>'Cost Format A_CLIN X002'!I70</f>
        <v>0</v>
      </c>
      <c r="I32" s="19">
        <f t="shared" ref="I32:I36" si="8">+SUM(F32:H32)</f>
        <v>0</v>
      </c>
      <c r="J32" s="20">
        <f t="shared" si="7"/>
        <v>0</v>
      </c>
    </row>
    <row r="33" spans="1:11" ht="12.75" customHeight="1" thickBot="1" x14ac:dyDescent="0.3">
      <c r="A33" s="13" t="s">
        <v>32</v>
      </c>
      <c r="B33" s="14" t="s">
        <v>18</v>
      </c>
      <c r="C33" s="15" t="s">
        <v>101</v>
      </c>
      <c r="D33" s="16">
        <v>1</v>
      </c>
      <c r="E33" s="16" t="s">
        <v>19</v>
      </c>
      <c r="F33" s="22">
        <f>'Cost Format A_CLIN X003'!I68</f>
        <v>0</v>
      </c>
      <c r="G33" s="19">
        <f>'Cost Format A_CLIN X003'!I69</f>
        <v>0</v>
      </c>
      <c r="H33" s="22">
        <f>'Cost Format A_CLIN X003'!I70</f>
        <v>0</v>
      </c>
      <c r="I33" s="19">
        <f t="shared" si="8"/>
        <v>0</v>
      </c>
      <c r="J33" s="20">
        <f t="shared" ref="J33:J37" si="9">+D33*I33</f>
        <v>0</v>
      </c>
      <c r="K33" s="21"/>
    </row>
    <row r="34" spans="1:11" ht="12.75" customHeight="1" thickBot="1" x14ac:dyDescent="0.3">
      <c r="A34" s="13" t="s">
        <v>33</v>
      </c>
      <c r="B34" s="14" t="s">
        <v>18</v>
      </c>
      <c r="C34" s="15" t="s">
        <v>102</v>
      </c>
      <c r="D34" s="16">
        <v>1</v>
      </c>
      <c r="E34" s="16" t="s">
        <v>72</v>
      </c>
      <c r="F34" s="22">
        <f>'Cost Format A_CLIN X004'!I68</f>
        <v>0</v>
      </c>
      <c r="G34" s="19">
        <f>'Cost Format A_CLIN X004'!I69</f>
        <v>0</v>
      </c>
      <c r="H34" s="22">
        <f>'Cost Format A_CLIN X004'!I70</f>
        <v>0</v>
      </c>
      <c r="I34" s="19">
        <f t="shared" si="8"/>
        <v>0</v>
      </c>
      <c r="J34" s="20">
        <f t="shared" si="9"/>
        <v>0</v>
      </c>
      <c r="K34" s="23"/>
    </row>
    <row r="35" spans="1:11" ht="12.75" customHeight="1" thickBot="1" x14ac:dyDescent="0.3">
      <c r="A35" s="13" t="s">
        <v>34</v>
      </c>
      <c r="B35" s="14" t="s">
        <v>18</v>
      </c>
      <c r="C35" s="15" t="s">
        <v>103</v>
      </c>
      <c r="D35" s="16">
        <v>1</v>
      </c>
      <c r="E35" s="16" t="s">
        <v>19</v>
      </c>
      <c r="F35" s="22">
        <f>'Cost Format A_CLIN X005'!I68</f>
        <v>0</v>
      </c>
      <c r="G35" s="19">
        <f>'Cost Format A_CLIN X005'!I69</f>
        <v>0</v>
      </c>
      <c r="H35" s="22">
        <f>'Cost Format A_CLIN X005'!I70</f>
        <v>0</v>
      </c>
      <c r="I35" s="19">
        <f t="shared" si="8"/>
        <v>0</v>
      </c>
      <c r="J35" s="20">
        <f t="shared" si="9"/>
        <v>0</v>
      </c>
      <c r="K35" s="23"/>
    </row>
    <row r="36" spans="1:11" ht="12.75" customHeight="1" thickBot="1" x14ac:dyDescent="0.3">
      <c r="A36" s="13" t="s">
        <v>35</v>
      </c>
      <c r="B36" s="14" t="s">
        <v>18</v>
      </c>
      <c r="C36" s="15" t="s">
        <v>104</v>
      </c>
      <c r="D36" s="16">
        <v>1</v>
      </c>
      <c r="E36" s="16" t="s">
        <v>72</v>
      </c>
      <c r="F36" s="22">
        <f>'Cost Format A_CLIN X006'!I68</f>
        <v>0</v>
      </c>
      <c r="G36" s="19">
        <f>'Cost Format A_CLIN X006'!I69</f>
        <v>0</v>
      </c>
      <c r="H36" s="22">
        <f>'Cost Format A_CLIN X006'!I70</f>
        <v>0</v>
      </c>
      <c r="I36" s="19">
        <f t="shared" si="8"/>
        <v>0</v>
      </c>
      <c r="J36" s="20">
        <f t="shared" si="9"/>
        <v>0</v>
      </c>
      <c r="K36" s="23"/>
    </row>
    <row r="37" spans="1:11" ht="12.75" customHeight="1" thickBot="1" x14ac:dyDescent="0.3">
      <c r="A37" s="24" t="s">
        <v>36</v>
      </c>
      <c r="B37" s="25" t="s">
        <v>16</v>
      </c>
      <c r="C37" s="26" t="s">
        <v>105</v>
      </c>
      <c r="D37" s="16">
        <v>1</v>
      </c>
      <c r="E37" s="16" t="s">
        <v>19</v>
      </c>
      <c r="F37" s="17"/>
      <c r="G37" s="17"/>
      <c r="H37" s="18"/>
      <c r="I37" s="19">
        <f>'FFP CLINs'!H9</f>
        <v>0</v>
      </c>
      <c r="J37" s="20">
        <f t="shared" si="9"/>
        <v>0</v>
      </c>
      <c r="K37" s="23"/>
    </row>
    <row r="38" spans="1:11" ht="12.75" customHeight="1" thickBot="1" x14ac:dyDescent="0.3">
      <c r="A38" s="24" t="s">
        <v>92</v>
      </c>
      <c r="B38" s="14" t="s">
        <v>16</v>
      </c>
      <c r="C38" s="15" t="s">
        <v>107</v>
      </c>
      <c r="D38" s="16">
        <v>10</v>
      </c>
      <c r="E38" s="16" t="s">
        <v>76</v>
      </c>
      <c r="F38" s="17"/>
      <c r="G38" s="17"/>
      <c r="H38" s="18"/>
      <c r="I38" s="19">
        <f>'FFP CLINs'!H13</f>
        <v>0</v>
      </c>
      <c r="J38" s="20">
        <f t="shared" ref="J38:J42" si="10">+D38*I38</f>
        <v>0</v>
      </c>
      <c r="K38" s="21"/>
    </row>
    <row r="39" spans="1:11" ht="12.75" customHeight="1" thickBot="1" x14ac:dyDescent="0.3">
      <c r="A39" s="24" t="s">
        <v>93</v>
      </c>
      <c r="B39" s="14" t="s">
        <v>16</v>
      </c>
      <c r="C39" s="15" t="s">
        <v>108</v>
      </c>
      <c r="D39" s="16">
        <v>83</v>
      </c>
      <c r="E39" s="16" t="s">
        <v>76</v>
      </c>
      <c r="F39" s="17"/>
      <c r="G39" s="17"/>
      <c r="H39" s="18"/>
      <c r="I39" s="19">
        <f>'FFP CLINs'!H17</f>
        <v>0</v>
      </c>
      <c r="J39" s="20">
        <f t="shared" si="10"/>
        <v>0</v>
      </c>
    </row>
    <row r="40" spans="1:11" ht="12.75" customHeight="1" thickBot="1" x14ac:dyDescent="0.3">
      <c r="A40" s="24" t="s">
        <v>94</v>
      </c>
      <c r="B40" s="14" t="s">
        <v>16</v>
      </c>
      <c r="C40" s="15" t="s">
        <v>66</v>
      </c>
      <c r="D40" s="16">
        <v>1</v>
      </c>
      <c r="E40" s="16" t="s">
        <v>72</v>
      </c>
      <c r="F40" s="17"/>
      <c r="G40" s="17"/>
      <c r="H40" s="18"/>
      <c r="I40" s="19">
        <f>'FFP CLINs'!H21</f>
        <v>0</v>
      </c>
      <c r="J40" s="20">
        <f t="shared" si="10"/>
        <v>0</v>
      </c>
      <c r="K40" s="21"/>
    </row>
    <row r="41" spans="1:11" ht="12.75" customHeight="1" thickBot="1" x14ac:dyDescent="0.3">
      <c r="A41" s="24" t="s">
        <v>95</v>
      </c>
      <c r="B41" s="14" t="s">
        <v>18</v>
      </c>
      <c r="C41" s="15" t="s">
        <v>106</v>
      </c>
      <c r="D41" s="16">
        <v>1</v>
      </c>
      <c r="E41" s="16" t="s">
        <v>72</v>
      </c>
      <c r="F41" s="22">
        <f>'Cost Format A_Gov Testing CLINs'!E68</f>
        <v>0</v>
      </c>
      <c r="G41" s="19">
        <f>'Cost Format A_Gov Testing CLINs'!E69</f>
        <v>0</v>
      </c>
      <c r="H41" s="22">
        <f>'Cost Format A_Gov Testing CLINs'!E70</f>
        <v>0</v>
      </c>
      <c r="I41" s="19">
        <f>+SUM(F41:H41)</f>
        <v>0</v>
      </c>
      <c r="J41" s="20">
        <f t="shared" si="10"/>
        <v>0</v>
      </c>
      <c r="K41" s="23"/>
    </row>
    <row r="42" spans="1:11" ht="12.75" customHeight="1" thickBot="1" x14ac:dyDescent="0.3">
      <c r="A42" s="24" t="s">
        <v>96</v>
      </c>
      <c r="B42" s="14" t="s">
        <v>21</v>
      </c>
      <c r="C42" s="15" t="s">
        <v>23</v>
      </c>
      <c r="D42" s="16">
        <v>1</v>
      </c>
      <c r="E42" s="16" t="s">
        <v>19</v>
      </c>
      <c r="F42" s="22">
        <f>'Cost Format A_Travel CLINs'!I25</f>
        <v>0</v>
      </c>
      <c r="G42" s="19">
        <f>'Cost Format A_Travel CLINs'!I26</f>
        <v>0</v>
      </c>
      <c r="H42" s="18"/>
      <c r="I42" s="19">
        <f>+SUM(F42:H42)</f>
        <v>0</v>
      </c>
      <c r="J42" s="20">
        <f t="shared" si="10"/>
        <v>0</v>
      </c>
      <c r="K42" s="23"/>
    </row>
    <row r="43" spans="1:11" ht="12.75" customHeight="1" thickBot="1" x14ac:dyDescent="0.3">
      <c r="A43" s="24" t="s">
        <v>97</v>
      </c>
      <c r="B43" s="14" t="s">
        <v>16</v>
      </c>
      <c r="C43" s="15" t="s">
        <v>74</v>
      </c>
      <c r="D43" s="16">
        <v>1</v>
      </c>
      <c r="E43" s="16" t="s">
        <v>72</v>
      </c>
      <c r="F43" s="17"/>
      <c r="G43" s="17"/>
      <c r="H43" s="18"/>
      <c r="I43" s="19">
        <f>'FFP CLINs'!H25</f>
        <v>0</v>
      </c>
      <c r="J43" s="20">
        <f t="shared" ref="J43" si="11">+D43*I43</f>
        <v>0</v>
      </c>
      <c r="K43" s="23"/>
    </row>
    <row r="44" spans="1:11" ht="12.75" customHeight="1" thickBot="1" x14ac:dyDescent="0.3">
      <c r="A44" s="24" t="s">
        <v>98</v>
      </c>
      <c r="B44" s="25" t="s">
        <v>27</v>
      </c>
      <c r="C44" s="26" t="s">
        <v>81</v>
      </c>
      <c r="D44" s="16">
        <v>1</v>
      </c>
      <c r="E44" s="16" t="s">
        <v>19</v>
      </c>
      <c r="F44" s="173" t="s">
        <v>27</v>
      </c>
      <c r="G44" s="174"/>
      <c r="H44" s="174"/>
      <c r="I44" s="174"/>
      <c r="J44" s="175"/>
      <c r="K44" s="23"/>
    </row>
    <row r="45" spans="1:11" ht="13.5" customHeight="1" thickBot="1" x14ac:dyDescent="0.3">
      <c r="A45" s="176" t="s">
        <v>37</v>
      </c>
      <c r="B45" s="177"/>
      <c r="C45" s="177"/>
      <c r="D45" s="177"/>
      <c r="E45" s="177"/>
      <c r="F45" s="177"/>
      <c r="G45" s="177"/>
      <c r="H45" s="177"/>
      <c r="I45" s="178"/>
      <c r="J45" s="20">
        <f>SUM(J31:J36)</f>
        <v>0</v>
      </c>
      <c r="K45" s="23"/>
    </row>
    <row r="46" spans="1:11" ht="4.5" customHeight="1" thickBot="1" x14ac:dyDescent="0.3">
      <c r="A46" s="179"/>
      <c r="B46" s="180"/>
      <c r="C46" s="180"/>
      <c r="D46" s="180"/>
      <c r="E46" s="180"/>
      <c r="F46" s="180"/>
      <c r="G46" s="180"/>
      <c r="H46" s="180"/>
      <c r="I46" s="180"/>
      <c r="J46" s="181"/>
      <c r="K46" s="23"/>
    </row>
    <row r="47" spans="1:11" ht="13.5" customHeight="1" thickBot="1" x14ac:dyDescent="0.3">
      <c r="A47" s="158" t="s">
        <v>38</v>
      </c>
      <c r="B47" s="159"/>
      <c r="C47" s="159"/>
      <c r="D47" s="159"/>
      <c r="E47" s="159"/>
      <c r="F47" s="159"/>
      <c r="G47" s="159"/>
      <c r="H47" s="159"/>
      <c r="I47" s="159"/>
      <c r="J47" s="160"/>
    </row>
    <row r="48" spans="1:11" ht="13.5" customHeight="1" thickBot="1" x14ac:dyDescent="0.3">
      <c r="A48" s="8" t="s">
        <v>5</v>
      </c>
      <c r="B48" s="9" t="s">
        <v>6</v>
      </c>
      <c r="C48" s="10" t="s">
        <v>7</v>
      </c>
      <c r="D48" s="11" t="s">
        <v>8</v>
      </c>
      <c r="E48" s="11" t="s">
        <v>9</v>
      </c>
      <c r="F48" s="11" t="s">
        <v>10</v>
      </c>
      <c r="G48" s="11" t="s">
        <v>11</v>
      </c>
      <c r="H48" s="11" t="s">
        <v>12</v>
      </c>
      <c r="I48" s="12" t="s">
        <v>13</v>
      </c>
      <c r="J48" s="11" t="s">
        <v>14</v>
      </c>
    </row>
    <row r="49" spans="1:11" ht="12.75" customHeight="1" thickBot="1" x14ac:dyDescent="0.3">
      <c r="A49" s="13" t="s">
        <v>39</v>
      </c>
      <c r="B49" s="14" t="s">
        <v>245</v>
      </c>
      <c r="C49" s="15" t="s">
        <v>100</v>
      </c>
      <c r="D49" s="16">
        <v>1</v>
      </c>
      <c r="E49" s="16" t="s">
        <v>72</v>
      </c>
      <c r="F49" s="22">
        <f>'Cost Format A_CLIN X001'!O68</f>
        <v>0</v>
      </c>
      <c r="G49" s="19">
        <f>'Cost Format A_CLIN X001'!O69</f>
        <v>0</v>
      </c>
      <c r="H49" s="22">
        <f>'Cost Format A_CLIN X001'!O70</f>
        <v>0</v>
      </c>
      <c r="I49" s="19">
        <f>+SUM(F49:H49)</f>
        <v>0</v>
      </c>
      <c r="J49" s="20">
        <f t="shared" ref="J49:J50" si="12">+D49*I49</f>
        <v>0</v>
      </c>
      <c r="K49" s="21"/>
    </row>
    <row r="50" spans="1:11" ht="12.75" customHeight="1" thickBot="1" x14ac:dyDescent="0.3">
      <c r="A50" s="13" t="s">
        <v>40</v>
      </c>
      <c r="B50" s="14" t="s">
        <v>245</v>
      </c>
      <c r="C50" s="15" t="s">
        <v>101</v>
      </c>
      <c r="D50" s="16">
        <v>1</v>
      </c>
      <c r="E50" s="16" t="s">
        <v>72</v>
      </c>
      <c r="F50" s="22">
        <f>'Cost Format A_CLIN X002'!O68</f>
        <v>0</v>
      </c>
      <c r="G50" s="19">
        <f>'Cost Format A_CLIN X002'!O69</f>
        <v>0</v>
      </c>
      <c r="H50" s="22">
        <f>'Cost Format A_CLIN X002'!O70</f>
        <v>0</v>
      </c>
      <c r="I50" s="19">
        <f>+SUM(F50:H50)</f>
        <v>0</v>
      </c>
      <c r="J50" s="20">
        <f t="shared" si="12"/>
        <v>0</v>
      </c>
    </row>
    <row r="51" spans="1:11" ht="12.75" customHeight="1" thickBot="1" x14ac:dyDescent="0.3">
      <c r="A51" s="13" t="s">
        <v>41</v>
      </c>
      <c r="B51" s="14" t="s">
        <v>245</v>
      </c>
      <c r="C51" s="15" t="s">
        <v>102</v>
      </c>
      <c r="D51" s="16">
        <v>1</v>
      </c>
      <c r="E51" s="16" t="s">
        <v>72</v>
      </c>
      <c r="F51" s="22">
        <f>'Cost Format A_CLIN X003'!O68</f>
        <v>0</v>
      </c>
      <c r="G51" s="19">
        <f>'Cost Format A_CLIN X003'!O69</f>
        <v>0</v>
      </c>
      <c r="H51" s="22">
        <f>'Cost Format A_CLIN X003'!O70</f>
        <v>0</v>
      </c>
      <c r="I51" s="19">
        <f>+SUM(F51:H51)</f>
        <v>0</v>
      </c>
      <c r="J51" s="20">
        <f t="shared" ref="J51:J55" si="13">+D51*I51</f>
        <v>0</v>
      </c>
      <c r="K51" s="21"/>
    </row>
    <row r="52" spans="1:11" ht="12.75" customHeight="1" thickBot="1" x14ac:dyDescent="0.3">
      <c r="A52" s="13" t="s">
        <v>42</v>
      </c>
      <c r="B52" s="14" t="s">
        <v>245</v>
      </c>
      <c r="C52" s="15" t="s">
        <v>103</v>
      </c>
      <c r="D52" s="16">
        <v>1</v>
      </c>
      <c r="E52" s="16" t="s">
        <v>72</v>
      </c>
      <c r="F52" s="22">
        <f>'Cost Format A_CLIN X004'!O68</f>
        <v>0</v>
      </c>
      <c r="G52" s="19">
        <f>'Cost Format A_CLIN X004'!O69</f>
        <v>0</v>
      </c>
      <c r="H52" s="22">
        <f>'Cost Format A_CLIN X004'!O70</f>
        <v>0</v>
      </c>
      <c r="I52" s="19">
        <f>+SUM(F52:H52)</f>
        <v>0</v>
      </c>
      <c r="J52" s="20">
        <f t="shared" si="13"/>
        <v>0</v>
      </c>
      <c r="K52" s="23"/>
    </row>
    <row r="53" spans="1:11" ht="12.75" customHeight="1" thickBot="1" x14ac:dyDescent="0.3">
      <c r="A53" s="13" t="s">
        <v>43</v>
      </c>
      <c r="B53" s="14" t="s">
        <v>245</v>
      </c>
      <c r="C53" s="15" t="s">
        <v>104</v>
      </c>
      <c r="D53" s="16">
        <v>1</v>
      </c>
      <c r="E53" s="16" t="s">
        <v>72</v>
      </c>
      <c r="F53" s="22">
        <f>'Cost Format A_CLIN X005'!O68</f>
        <v>0</v>
      </c>
      <c r="G53" s="19">
        <f>'Cost Format A_CLIN X005'!O69</f>
        <v>0</v>
      </c>
      <c r="H53" s="22">
        <f>'Cost Format A_CLIN X005'!O70</f>
        <v>0</v>
      </c>
      <c r="I53" s="19">
        <f>+SUM(F53:H53)</f>
        <v>0</v>
      </c>
      <c r="J53" s="20">
        <f t="shared" si="13"/>
        <v>0</v>
      </c>
      <c r="K53" s="23"/>
    </row>
    <row r="54" spans="1:11" ht="12.75" customHeight="1" thickBot="1" x14ac:dyDescent="0.3">
      <c r="A54" s="13" t="s">
        <v>44</v>
      </c>
      <c r="B54" s="14" t="s">
        <v>16</v>
      </c>
      <c r="C54" s="15" t="s">
        <v>129</v>
      </c>
      <c r="D54" s="16">
        <v>1</v>
      </c>
      <c r="E54" s="16" t="s">
        <v>72</v>
      </c>
      <c r="F54" s="17"/>
      <c r="G54" s="17"/>
      <c r="H54" s="18"/>
      <c r="I54" s="19">
        <f>'FFP CLINs'!L9</f>
        <v>0</v>
      </c>
      <c r="J54" s="20">
        <f t="shared" si="13"/>
        <v>0</v>
      </c>
      <c r="K54" s="23"/>
    </row>
    <row r="55" spans="1:11" ht="12.75" customHeight="1" thickBot="1" x14ac:dyDescent="0.3">
      <c r="A55" s="13" t="s">
        <v>45</v>
      </c>
      <c r="B55" s="25" t="s">
        <v>16</v>
      </c>
      <c r="C55" s="26" t="s">
        <v>130</v>
      </c>
      <c r="D55" s="16">
        <v>1</v>
      </c>
      <c r="E55" s="16" t="s">
        <v>72</v>
      </c>
      <c r="F55" s="17"/>
      <c r="G55" s="17"/>
      <c r="H55" s="18"/>
      <c r="I55" s="19">
        <f>'FFP CLINs'!L13</f>
        <v>0</v>
      </c>
      <c r="J55" s="20">
        <f t="shared" si="13"/>
        <v>0</v>
      </c>
      <c r="K55" s="23"/>
    </row>
    <row r="56" spans="1:11" ht="12.75" customHeight="1" thickBot="1" x14ac:dyDescent="0.3">
      <c r="A56" s="13" t="s">
        <v>120</v>
      </c>
      <c r="B56" s="14" t="s">
        <v>16</v>
      </c>
      <c r="C56" s="15" t="s">
        <v>108</v>
      </c>
      <c r="D56" s="16">
        <v>210</v>
      </c>
      <c r="E56" s="16" t="s">
        <v>76</v>
      </c>
      <c r="F56" s="17"/>
      <c r="G56" s="17"/>
      <c r="H56" s="18"/>
      <c r="I56" s="19">
        <f>'FFP CLINs'!L17</f>
        <v>0</v>
      </c>
      <c r="J56" s="20">
        <f t="shared" ref="J56:J59" si="14">+D56*I56</f>
        <v>0</v>
      </c>
      <c r="K56" s="21"/>
    </row>
    <row r="57" spans="1:11" ht="12.75" customHeight="1" thickBot="1" x14ac:dyDescent="0.3">
      <c r="A57" s="13" t="s">
        <v>121</v>
      </c>
      <c r="B57" s="14" t="s">
        <v>16</v>
      </c>
      <c r="C57" s="15" t="s">
        <v>131</v>
      </c>
      <c r="D57" s="16">
        <v>10</v>
      </c>
      <c r="E57" s="16" t="s">
        <v>76</v>
      </c>
      <c r="F57" s="17"/>
      <c r="G57" s="17"/>
      <c r="H57" s="18"/>
      <c r="I57" s="19">
        <f>'FFP CLINs'!L21</f>
        <v>0</v>
      </c>
      <c r="J57" s="20">
        <f t="shared" si="14"/>
        <v>0</v>
      </c>
    </row>
    <row r="58" spans="1:11" ht="12.75" customHeight="1" thickBot="1" x14ac:dyDescent="0.3">
      <c r="A58" s="13" t="s">
        <v>122</v>
      </c>
      <c r="B58" s="14" t="s">
        <v>16</v>
      </c>
      <c r="C58" s="15" t="s">
        <v>132</v>
      </c>
      <c r="D58" s="16">
        <v>162</v>
      </c>
      <c r="E58" s="16" t="s">
        <v>76</v>
      </c>
      <c r="F58" s="17"/>
      <c r="G58" s="17"/>
      <c r="H58" s="18"/>
      <c r="I58" s="19">
        <f>'FFP CLINs'!L25</f>
        <v>0</v>
      </c>
      <c r="J58" s="20">
        <f t="shared" ref="J58" si="15">+D58*I58</f>
        <v>0</v>
      </c>
      <c r="K58" s="21"/>
    </row>
    <row r="59" spans="1:11" ht="12.75" customHeight="1" thickBot="1" x14ac:dyDescent="0.3">
      <c r="A59" s="13" t="s">
        <v>123</v>
      </c>
      <c r="B59" s="14" t="s">
        <v>16</v>
      </c>
      <c r="C59" s="15" t="s">
        <v>133</v>
      </c>
      <c r="D59" s="16">
        <v>4</v>
      </c>
      <c r="E59" s="16" t="s">
        <v>76</v>
      </c>
      <c r="F59" s="17"/>
      <c r="G59" s="17"/>
      <c r="H59" s="18"/>
      <c r="I59" s="19">
        <f>'FFP CLINs'!L29</f>
        <v>0</v>
      </c>
      <c r="J59" s="20">
        <f t="shared" si="14"/>
        <v>0</v>
      </c>
      <c r="K59" s="23"/>
    </row>
    <row r="60" spans="1:11" ht="12.75" customHeight="1" thickBot="1" x14ac:dyDescent="0.3">
      <c r="A60" s="13" t="s">
        <v>124</v>
      </c>
      <c r="B60" s="14" t="s">
        <v>16</v>
      </c>
      <c r="C60" s="15" t="s">
        <v>66</v>
      </c>
      <c r="D60" s="16">
        <v>1</v>
      </c>
      <c r="E60" s="16" t="s">
        <v>72</v>
      </c>
      <c r="F60" s="17"/>
      <c r="G60" s="17"/>
      <c r="H60" s="18"/>
      <c r="I60" s="19">
        <f>'FFP CLINs'!L33</f>
        <v>0</v>
      </c>
      <c r="J60" s="20">
        <f t="shared" ref="J60:J63" si="16">+D60*I60</f>
        <v>0</v>
      </c>
      <c r="K60" s="23"/>
    </row>
    <row r="61" spans="1:11" ht="12.75" customHeight="1" thickBot="1" x14ac:dyDescent="0.3">
      <c r="A61" s="13" t="s">
        <v>125</v>
      </c>
      <c r="B61" s="14" t="s">
        <v>245</v>
      </c>
      <c r="C61" s="15" t="s">
        <v>106</v>
      </c>
      <c r="D61" s="16">
        <v>1</v>
      </c>
      <c r="E61" s="16" t="s">
        <v>72</v>
      </c>
      <c r="F61" s="22">
        <f>'Cost Format A_Gov Testing CLINs'!K68</f>
        <v>0</v>
      </c>
      <c r="G61" s="19">
        <f>'Cost Format A_Gov Testing CLINs'!K69</f>
        <v>0</v>
      </c>
      <c r="H61" s="22">
        <f>'Cost Format A_Gov Testing CLINs'!K70</f>
        <v>0</v>
      </c>
      <c r="I61" s="19">
        <f>+SUM(F61:H61)</f>
        <v>0</v>
      </c>
      <c r="J61" s="20">
        <f t="shared" si="16"/>
        <v>0</v>
      </c>
      <c r="K61" s="23"/>
    </row>
    <row r="62" spans="1:11" ht="12.75" customHeight="1" thickBot="1" x14ac:dyDescent="0.3">
      <c r="A62" s="13" t="s">
        <v>126</v>
      </c>
      <c r="B62" s="25" t="s">
        <v>21</v>
      </c>
      <c r="C62" s="26" t="s">
        <v>23</v>
      </c>
      <c r="D62" s="16">
        <v>1</v>
      </c>
      <c r="E62" s="16" t="s">
        <v>72</v>
      </c>
      <c r="F62" s="22">
        <f>'Cost Format A_Travel CLINs'!M25</f>
        <v>0</v>
      </c>
      <c r="G62" s="19">
        <f>'Cost Format A_Travel CLINs'!M26</f>
        <v>0</v>
      </c>
      <c r="H62" s="18"/>
      <c r="I62" s="19">
        <f>+SUM(F62:H62)</f>
        <v>0</v>
      </c>
      <c r="J62" s="20">
        <f t="shared" si="16"/>
        <v>0</v>
      </c>
      <c r="K62" s="23"/>
    </row>
    <row r="63" spans="1:11" ht="12.75" customHeight="1" thickBot="1" x14ac:dyDescent="0.3">
      <c r="A63" s="13" t="s">
        <v>127</v>
      </c>
      <c r="B63" s="14" t="s">
        <v>16</v>
      </c>
      <c r="C63" s="15" t="s">
        <v>74</v>
      </c>
      <c r="D63" s="16">
        <v>1</v>
      </c>
      <c r="E63" s="16" t="s">
        <v>72</v>
      </c>
      <c r="F63" s="17"/>
      <c r="G63" s="17"/>
      <c r="H63" s="18"/>
      <c r="I63" s="19">
        <f>'FFP CLINs'!L37</f>
        <v>0</v>
      </c>
      <c r="J63" s="20">
        <f t="shared" si="16"/>
        <v>0</v>
      </c>
      <c r="K63" s="23"/>
    </row>
    <row r="64" spans="1:11" ht="12.75" customHeight="1" thickBot="1" x14ac:dyDescent="0.3">
      <c r="A64" s="13" t="s">
        <v>128</v>
      </c>
      <c r="B64" s="25" t="s">
        <v>27</v>
      </c>
      <c r="C64" s="26" t="s">
        <v>81</v>
      </c>
      <c r="D64" s="16">
        <v>1</v>
      </c>
      <c r="E64" s="16" t="s">
        <v>72</v>
      </c>
      <c r="F64" s="173" t="s">
        <v>27</v>
      </c>
      <c r="G64" s="174"/>
      <c r="H64" s="174"/>
      <c r="I64" s="174"/>
      <c r="J64" s="175"/>
      <c r="K64" s="23"/>
    </row>
    <row r="65" spans="1:11" ht="13.5" customHeight="1" thickBot="1" x14ac:dyDescent="0.3">
      <c r="A65" s="176" t="s">
        <v>46</v>
      </c>
      <c r="B65" s="177"/>
      <c r="C65" s="177"/>
      <c r="D65" s="177"/>
      <c r="E65" s="177"/>
      <c r="F65" s="177"/>
      <c r="G65" s="177"/>
      <c r="H65" s="177"/>
      <c r="I65" s="178"/>
      <c r="J65" s="20">
        <f>SUM(J49:J54)</f>
        <v>0</v>
      </c>
      <c r="K65" s="23"/>
    </row>
    <row r="66" spans="1:11" ht="4.5" customHeight="1" thickBot="1" x14ac:dyDescent="0.3">
      <c r="A66" s="179"/>
      <c r="B66" s="180"/>
      <c r="C66" s="180"/>
      <c r="D66" s="180"/>
      <c r="E66" s="180"/>
      <c r="F66" s="180"/>
      <c r="G66" s="180"/>
      <c r="H66" s="180"/>
      <c r="I66" s="180"/>
      <c r="J66" s="181"/>
      <c r="K66" s="23"/>
    </row>
    <row r="67" spans="1:11" ht="13.5" customHeight="1" thickBot="1" x14ac:dyDescent="0.3">
      <c r="A67" s="158" t="s">
        <v>47</v>
      </c>
      <c r="B67" s="159"/>
      <c r="C67" s="159"/>
      <c r="D67" s="159"/>
      <c r="E67" s="159"/>
      <c r="F67" s="159"/>
      <c r="G67" s="159"/>
      <c r="H67" s="159"/>
      <c r="I67" s="159"/>
      <c r="J67" s="160"/>
    </row>
    <row r="68" spans="1:11" ht="13.5" customHeight="1" thickBot="1" x14ac:dyDescent="0.3">
      <c r="A68" s="8" t="s">
        <v>5</v>
      </c>
      <c r="B68" s="9" t="s">
        <v>6</v>
      </c>
      <c r="C68" s="10" t="s">
        <v>7</v>
      </c>
      <c r="D68" s="11" t="s">
        <v>8</v>
      </c>
      <c r="E68" s="11" t="s">
        <v>9</v>
      </c>
      <c r="F68" s="11" t="s">
        <v>10</v>
      </c>
      <c r="G68" s="11" t="s">
        <v>11</v>
      </c>
      <c r="H68" s="11" t="s">
        <v>12</v>
      </c>
      <c r="I68" s="12" t="s">
        <v>13</v>
      </c>
      <c r="J68" s="11" t="s">
        <v>14</v>
      </c>
    </row>
    <row r="69" spans="1:11" ht="12.75" customHeight="1" thickBot="1" x14ac:dyDescent="0.3">
      <c r="A69" s="13" t="s">
        <v>48</v>
      </c>
      <c r="B69" s="14" t="s">
        <v>245</v>
      </c>
      <c r="C69" s="15" t="s">
        <v>101</v>
      </c>
      <c r="D69" s="16">
        <v>1</v>
      </c>
      <c r="E69" s="16" t="s">
        <v>72</v>
      </c>
      <c r="F69" s="22">
        <f>'Cost Format A_CLIN X001'!S68</f>
        <v>0</v>
      </c>
      <c r="G69" s="19">
        <f>'Cost Format A_CLIN X001'!S69</f>
        <v>0</v>
      </c>
      <c r="H69" s="22">
        <f>'Cost Format A_CLIN X001'!S70</f>
        <v>0</v>
      </c>
      <c r="I69" s="19">
        <f>+SUM(F69:H69)</f>
        <v>0</v>
      </c>
      <c r="J69" s="20">
        <f t="shared" ref="J69:J74" si="17">+D69*I69</f>
        <v>0</v>
      </c>
      <c r="K69" s="21"/>
    </row>
    <row r="70" spans="1:11" ht="12.75" customHeight="1" thickBot="1" x14ac:dyDescent="0.3">
      <c r="A70" s="13" t="s">
        <v>49</v>
      </c>
      <c r="B70" s="14" t="s">
        <v>245</v>
      </c>
      <c r="C70" s="15" t="s">
        <v>102</v>
      </c>
      <c r="D70" s="16">
        <v>1</v>
      </c>
      <c r="E70" s="16" t="s">
        <v>72</v>
      </c>
      <c r="F70" s="22">
        <f>'Cost Format A_CLIN X002'!S68</f>
        <v>0</v>
      </c>
      <c r="G70" s="19">
        <f>'Cost Format A_CLIN X002'!S69</f>
        <v>0</v>
      </c>
      <c r="H70" s="22">
        <f>'Cost Format A_CLIN X002'!S70</f>
        <v>0</v>
      </c>
      <c r="I70" s="19">
        <f>+SUM(F70:H70)</f>
        <v>0</v>
      </c>
      <c r="J70" s="20">
        <f t="shared" si="17"/>
        <v>0</v>
      </c>
    </row>
    <row r="71" spans="1:11" ht="12.75" customHeight="1" thickBot="1" x14ac:dyDescent="0.3">
      <c r="A71" s="13" t="s">
        <v>50</v>
      </c>
      <c r="B71" s="14" t="s">
        <v>245</v>
      </c>
      <c r="C71" s="15" t="s">
        <v>103</v>
      </c>
      <c r="D71" s="16">
        <v>1</v>
      </c>
      <c r="E71" s="16" t="s">
        <v>72</v>
      </c>
      <c r="F71" s="22">
        <f>'Cost Format A_CLIN X003'!S68</f>
        <v>0</v>
      </c>
      <c r="G71" s="19">
        <f>'Cost Format A_CLIN X003'!S69</f>
        <v>0</v>
      </c>
      <c r="H71" s="22">
        <f>'Cost Format A_CLIN X003'!S70</f>
        <v>0</v>
      </c>
      <c r="I71" s="19">
        <f>+SUM(F71:H71)</f>
        <v>0</v>
      </c>
      <c r="J71" s="20">
        <f t="shared" si="17"/>
        <v>0</v>
      </c>
      <c r="K71" s="21"/>
    </row>
    <row r="72" spans="1:11" ht="12.75" customHeight="1" thickBot="1" x14ac:dyDescent="0.3">
      <c r="A72" s="13" t="s">
        <v>51</v>
      </c>
      <c r="B72" s="14" t="s">
        <v>245</v>
      </c>
      <c r="C72" s="15" t="s">
        <v>104</v>
      </c>
      <c r="D72" s="16">
        <v>1</v>
      </c>
      <c r="E72" s="16" t="s">
        <v>72</v>
      </c>
      <c r="F72" s="22">
        <f>'Cost Format A_CLIN X004'!S68</f>
        <v>0</v>
      </c>
      <c r="G72" s="19">
        <f>'Cost Format A_CLIN X004'!S69</f>
        <v>0</v>
      </c>
      <c r="H72" s="22">
        <f>'Cost Format A_CLIN X004'!S70</f>
        <v>0</v>
      </c>
      <c r="I72" s="19">
        <f>+SUM(F72:H72)</f>
        <v>0</v>
      </c>
      <c r="J72" s="20">
        <f t="shared" si="17"/>
        <v>0</v>
      </c>
      <c r="K72" s="23"/>
    </row>
    <row r="73" spans="1:11" ht="12.75" customHeight="1" thickBot="1" x14ac:dyDescent="0.3">
      <c r="A73" s="13" t="s">
        <v>52</v>
      </c>
      <c r="B73" s="14" t="s">
        <v>16</v>
      </c>
      <c r="C73" s="15" t="s">
        <v>136</v>
      </c>
      <c r="D73" s="16">
        <v>1</v>
      </c>
      <c r="E73" s="16" t="s">
        <v>72</v>
      </c>
      <c r="F73" s="17"/>
      <c r="G73" s="17"/>
      <c r="H73" s="18"/>
      <c r="I73" s="19">
        <f>'FFP CLINs'!P9</f>
        <v>0</v>
      </c>
      <c r="J73" s="20">
        <f t="shared" si="17"/>
        <v>0</v>
      </c>
      <c r="K73" s="23"/>
    </row>
    <row r="74" spans="1:11" ht="12.75" customHeight="1" thickBot="1" x14ac:dyDescent="0.3">
      <c r="A74" s="13" t="s">
        <v>53</v>
      </c>
      <c r="B74" s="14" t="s">
        <v>16</v>
      </c>
      <c r="C74" s="15" t="s">
        <v>137</v>
      </c>
      <c r="D74" s="16">
        <v>1</v>
      </c>
      <c r="E74" s="16" t="s">
        <v>72</v>
      </c>
      <c r="F74" s="17"/>
      <c r="G74" s="17"/>
      <c r="H74" s="18"/>
      <c r="I74" s="19">
        <f>'FFP CLINs'!P13</f>
        <v>0</v>
      </c>
      <c r="J74" s="20">
        <f t="shared" si="17"/>
        <v>0</v>
      </c>
      <c r="K74" s="23"/>
    </row>
    <row r="75" spans="1:11" ht="12.75" customHeight="1" thickBot="1" x14ac:dyDescent="0.3">
      <c r="A75" s="13" t="s">
        <v>54</v>
      </c>
      <c r="B75" s="25" t="s">
        <v>16</v>
      </c>
      <c r="C75" s="26" t="s">
        <v>138</v>
      </c>
      <c r="D75" s="16">
        <v>64</v>
      </c>
      <c r="E75" s="16" t="s">
        <v>76</v>
      </c>
      <c r="F75" s="17"/>
      <c r="G75" s="17"/>
      <c r="H75" s="18"/>
      <c r="I75" s="19">
        <f>'FFP CLINs'!P17</f>
        <v>0</v>
      </c>
      <c r="J75" s="20">
        <f t="shared" ref="J75" si="18">+D75*I75</f>
        <v>0</v>
      </c>
      <c r="K75" s="23"/>
    </row>
    <row r="76" spans="1:11" ht="12.75" customHeight="1" thickBot="1" x14ac:dyDescent="0.3">
      <c r="A76" s="13" t="s">
        <v>113</v>
      </c>
      <c r="B76" s="14" t="s">
        <v>16</v>
      </c>
      <c r="C76" s="15" t="s">
        <v>139</v>
      </c>
      <c r="D76" s="16">
        <v>5</v>
      </c>
      <c r="E76" s="16" t="s">
        <v>76</v>
      </c>
      <c r="F76" s="17"/>
      <c r="G76" s="17"/>
      <c r="H76" s="18"/>
      <c r="I76" s="19">
        <f>'FFP CLINs'!P21</f>
        <v>0</v>
      </c>
      <c r="J76" s="20">
        <f t="shared" ref="J76:J80" si="19">+D76*I76</f>
        <v>0</v>
      </c>
      <c r="K76" s="21"/>
    </row>
    <row r="77" spans="1:11" ht="12.75" customHeight="1" thickBot="1" x14ac:dyDescent="0.3">
      <c r="A77" s="13" t="s">
        <v>114</v>
      </c>
      <c r="B77" s="14" t="s">
        <v>16</v>
      </c>
      <c r="C77" s="15" t="s">
        <v>140</v>
      </c>
      <c r="D77" s="16">
        <v>5</v>
      </c>
      <c r="E77" s="16" t="s">
        <v>76</v>
      </c>
      <c r="F77" s="17"/>
      <c r="G77" s="17"/>
      <c r="H77" s="18"/>
      <c r="I77" s="19">
        <f>'FFP CLINs'!P25</f>
        <v>0</v>
      </c>
      <c r="J77" s="20">
        <f t="shared" si="19"/>
        <v>0</v>
      </c>
    </row>
    <row r="78" spans="1:11" ht="12.75" customHeight="1" thickBot="1" x14ac:dyDescent="0.3">
      <c r="A78" s="13" t="s">
        <v>115</v>
      </c>
      <c r="B78" s="14" t="s">
        <v>16</v>
      </c>
      <c r="C78" s="15" t="s">
        <v>141</v>
      </c>
      <c r="D78" s="16">
        <v>138</v>
      </c>
      <c r="E78" s="16" t="s">
        <v>76</v>
      </c>
      <c r="F78" s="17"/>
      <c r="G78" s="17"/>
      <c r="H78" s="18"/>
      <c r="I78" s="19">
        <f>'FFP CLINs'!P29</f>
        <v>0</v>
      </c>
      <c r="J78" s="20">
        <f t="shared" si="19"/>
        <v>0</v>
      </c>
      <c r="K78" s="21"/>
    </row>
    <row r="79" spans="1:11" ht="12.75" customHeight="1" thickBot="1" x14ac:dyDescent="0.3">
      <c r="A79" s="13" t="s">
        <v>116</v>
      </c>
      <c r="B79" s="14" t="s">
        <v>16</v>
      </c>
      <c r="C79" s="15" t="s">
        <v>66</v>
      </c>
      <c r="D79" s="16">
        <v>1</v>
      </c>
      <c r="E79" s="16" t="s">
        <v>72</v>
      </c>
      <c r="F79" s="17"/>
      <c r="G79" s="17"/>
      <c r="H79" s="18"/>
      <c r="I79" s="19">
        <f>'FFP CLINs'!P33</f>
        <v>0</v>
      </c>
      <c r="J79" s="20">
        <f t="shared" si="19"/>
        <v>0</v>
      </c>
      <c r="K79" s="23"/>
    </row>
    <row r="80" spans="1:11" ht="12.75" customHeight="1" thickBot="1" x14ac:dyDescent="0.3">
      <c r="A80" s="13" t="s">
        <v>117</v>
      </c>
      <c r="B80" s="14" t="s">
        <v>245</v>
      </c>
      <c r="C80" s="15" t="s">
        <v>106</v>
      </c>
      <c r="D80" s="16">
        <v>1</v>
      </c>
      <c r="E80" s="16" t="s">
        <v>72</v>
      </c>
      <c r="F80" s="22">
        <f>'Cost Format A_Gov Testing CLINs'!O68</f>
        <v>0</v>
      </c>
      <c r="G80" s="19">
        <f>'Cost Format A_Gov Testing CLINs'!O69</f>
        <v>0</v>
      </c>
      <c r="H80" s="22">
        <f>'Cost Format A_Gov Testing CLINs'!O70</f>
        <v>0</v>
      </c>
      <c r="I80" s="19">
        <f>+SUM(F80:H80)</f>
        <v>0</v>
      </c>
      <c r="J80" s="20">
        <f t="shared" si="19"/>
        <v>0</v>
      </c>
      <c r="K80" s="23"/>
    </row>
    <row r="81" spans="1:11" ht="12.75" customHeight="1" thickBot="1" x14ac:dyDescent="0.3">
      <c r="A81" s="13" t="s">
        <v>118</v>
      </c>
      <c r="B81" s="14" t="s">
        <v>21</v>
      </c>
      <c r="C81" s="15" t="s">
        <v>23</v>
      </c>
      <c r="D81" s="16">
        <v>1</v>
      </c>
      <c r="E81" s="16" t="s">
        <v>72</v>
      </c>
      <c r="F81" s="22">
        <f>'Cost Format A_Travel CLINs'!Q25</f>
        <v>0</v>
      </c>
      <c r="G81" s="19">
        <f>'Cost Format A_Travel CLINs'!Q26</f>
        <v>0</v>
      </c>
      <c r="H81" s="18"/>
      <c r="I81" s="19">
        <f>+SUM(F81:H81)</f>
        <v>0</v>
      </c>
      <c r="J81" s="20">
        <f t="shared" ref="J81" si="20">+D81*I81</f>
        <v>0</v>
      </c>
      <c r="K81" s="23"/>
    </row>
    <row r="82" spans="1:11" ht="12.75" customHeight="1" thickBot="1" x14ac:dyDescent="0.3">
      <c r="A82" s="13" t="s">
        <v>119</v>
      </c>
      <c r="B82" s="25" t="s">
        <v>16</v>
      </c>
      <c r="C82" s="26" t="s">
        <v>74</v>
      </c>
      <c r="D82" s="16">
        <v>1</v>
      </c>
      <c r="E82" s="16" t="s">
        <v>72</v>
      </c>
      <c r="F82" s="17"/>
      <c r="G82" s="17"/>
      <c r="H82" s="18"/>
      <c r="I82" s="19">
        <f>'FFP CLINs'!P37</f>
        <v>0</v>
      </c>
      <c r="J82" s="20">
        <f t="shared" ref="J82" si="21">+D82*I82</f>
        <v>0</v>
      </c>
      <c r="K82" s="23"/>
    </row>
    <row r="83" spans="1:11" ht="12.75" customHeight="1" thickBot="1" x14ac:dyDescent="0.3">
      <c r="A83" s="13" t="s">
        <v>134</v>
      </c>
      <c r="B83" s="25" t="s">
        <v>135</v>
      </c>
      <c r="C83" s="26" t="s">
        <v>81</v>
      </c>
      <c r="D83" s="16">
        <v>1</v>
      </c>
      <c r="E83" s="16" t="s">
        <v>72</v>
      </c>
      <c r="F83" s="173" t="s">
        <v>27</v>
      </c>
      <c r="G83" s="174"/>
      <c r="H83" s="174"/>
      <c r="I83" s="174"/>
      <c r="J83" s="175"/>
      <c r="K83" s="23"/>
    </row>
    <row r="84" spans="1:11" ht="13.5" customHeight="1" thickBot="1" x14ac:dyDescent="0.3">
      <c r="A84" s="176" t="s">
        <v>55</v>
      </c>
      <c r="B84" s="177"/>
      <c r="C84" s="177"/>
      <c r="D84" s="177"/>
      <c r="E84" s="177"/>
      <c r="F84" s="177"/>
      <c r="G84" s="177"/>
      <c r="H84" s="177"/>
      <c r="I84" s="178"/>
      <c r="J84" s="20">
        <f>SUM(J69:J74)</f>
        <v>0</v>
      </c>
      <c r="K84" s="23"/>
    </row>
    <row r="85" spans="1:11" ht="4.5" customHeight="1" thickBot="1" x14ac:dyDescent="0.3">
      <c r="A85" s="179"/>
      <c r="B85" s="180"/>
      <c r="C85" s="180"/>
      <c r="D85" s="180"/>
      <c r="E85" s="180"/>
      <c r="F85" s="180"/>
      <c r="G85" s="180"/>
      <c r="H85" s="180"/>
      <c r="I85" s="180"/>
      <c r="J85" s="181"/>
      <c r="K85" s="23"/>
    </row>
    <row r="86" spans="1:11" ht="13.5" customHeight="1" thickBot="1" x14ac:dyDescent="0.3">
      <c r="A86" s="158" t="s">
        <v>56</v>
      </c>
      <c r="B86" s="159"/>
      <c r="C86" s="159"/>
      <c r="D86" s="159"/>
      <c r="E86" s="159"/>
      <c r="F86" s="159"/>
      <c r="G86" s="159"/>
      <c r="H86" s="159"/>
      <c r="I86" s="159"/>
      <c r="J86" s="160"/>
    </row>
    <row r="87" spans="1:11" ht="13.5" customHeight="1" thickBot="1" x14ac:dyDescent="0.3">
      <c r="A87" s="8" t="s">
        <v>5</v>
      </c>
      <c r="B87" s="9" t="s">
        <v>6</v>
      </c>
      <c r="C87" s="10" t="s">
        <v>7</v>
      </c>
      <c r="D87" s="11" t="s">
        <v>8</v>
      </c>
      <c r="E87" s="11" t="s">
        <v>9</v>
      </c>
      <c r="F87" s="11" t="s">
        <v>10</v>
      </c>
      <c r="G87" s="11" t="s">
        <v>11</v>
      </c>
      <c r="H87" s="11" t="s">
        <v>12</v>
      </c>
      <c r="I87" s="12" t="s">
        <v>13</v>
      </c>
      <c r="J87" s="11" t="s">
        <v>14</v>
      </c>
    </row>
    <row r="88" spans="1:11" ht="12.75" customHeight="1" thickBot="1" x14ac:dyDescent="0.3">
      <c r="A88" s="13" t="s">
        <v>57</v>
      </c>
      <c r="B88" s="14" t="s">
        <v>245</v>
      </c>
      <c r="C88" s="135" t="s">
        <v>103</v>
      </c>
      <c r="D88" s="16">
        <v>1</v>
      </c>
      <c r="E88" s="16" t="s">
        <v>72</v>
      </c>
      <c r="F88" s="22">
        <f>'Cost Format A_CLIN X001'!W68</f>
        <v>0</v>
      </c>
      <c r="G88" s="19">
        <f>'Cost Format A_CLIN X001'!W69</f>
        <v>0</v>
      </c>
      <c r="H88" s="22">
        <f>'Cost Format A_CLIN X001'!W70</f>
        <v>0</v>
      </c>
      <c r="I88" s="19">
        <f>+SUM(F88:H88)</f>
        <v>0</v>
      </c>
      <c r="J88" s="20">
        <f t="shared" ref="J88:J93" si="22">+D88*I88</f>
        <v>0</v>
      </c>
      <c r="K88" s="21"/>
    </row>
    <row r="89" spans="1:11" ht="12.75" customHeight="1" thickBot="1" x14ac:dyDescent="0.3">
      <c r="A89" s="13" t="s">
        <v>58</v>
      </c>
      <c r="B89" s="14" t="s">
        <v>245</v>
      </c>
      <c r="C89" s="15" t="s">
        <v>104</v>
      </c>
      <c r="D89" s="16">
        <v>1</v>
      </c>
      <c r="E89" s="16" t="s">
        <v>72</v>
      </c>
      <c r="F89" s="22">
        <f>'Cost Format A_CLIN X002'!W68</f>
        <v>0</v>
      </c>
      <c r="G89" s="19">
        <f>'Cost Format A_CLIN X002'!W69</f>
        <v>0</v>
      </c>
      <c r="H89" s="22">
        <f>'Cost Format A_CLIN X002'!W70</f>
        <v>0</v>
      </c>
      <c r="I89" s="19">
        <f>+SUM(F89:H89)</f>
        <v>0</v>
      </c>
      <c r="J89" s="20">
        <f t="shared" si="22"/>
        <v>0</v>
      </c>
    </row>
    <row r="90" spans="1:11" ht="12.75" customHeight="1" thickBot="1" x14ac:dyDescent="0.3">
      <c r="A90" s="13" t="s">
        <v>59</v>
      </c>
      <c r="B90" s="14" t="s">
        <v>16</v>
      </c>
      <c r="C90" s="15" t="s">
        <v>142</v>
      </c>
      <c r="D90" s="16">
        <v>1</v>
      </c>
      <c r="E90" s="16" t="s">
        <v>72</v>
      </c>
      <c r="F90" s="17"/>
      <c r="G90" s="17"/>
      <c r="H90" s="18"/>
      <c r="I90" s="19">
        <f>'FFP CLINs'!T9</f>
        <v>0</v>
      </c>
      <c r="J90" s="20">
        <f t="shared" ref="J90" si="23">+D90*I90</f>
        <v>0</v>
      </c>
      <c r="K90" s="21"/>
    </row>
    <row r="91" spans="1:11" ht="12.75" customHeight="1" thickBot="1" x14ac:dyDescent="0.3">
      <c r="A91" s="13" t="s">
        <v>60</v>
      </c>
      <c r="B91" s="14" t="s">
        <v>16</v>
      </c>
      <c r="C91" s="15" t="s">
        <v>143</v>
      </c>
      <c r="D91" s="16">
        <v>75</v>
      </c>
      <c r="E91" s="16" t="s">
        <v>76</v>
      </c>
      <c r="F91" s="17"/>
      <c r="G91" s="17"/>
      <c r="H91" s="18"/>
      <c r="I91" s="19">
        <f>'FFP CLINs'!T13</f>
        <v>0</v>
      </c>
      <c r="J91" s="20">
        <f t="shared" si="22"/>
        <v>0</v>
      </c>
      <c r="K91" s="23"/>
    </row>
    <row r="92" spans="1:11" ht="12.75" customHeight="1" thickBot="1" x14ac:dyDescent="0.3">
      <c r="A92" s="13" t="s">
        <v>61</v>
      </c>
      <c r="B92" s="14" t="s">
        <v>16</v>
      </c>
      <c r="C92" s="15" t="s">
        <v>144</v>
      </c>
      <c r="D92" s="16">
        <v>2</v>
      </c>
      <c r="E92" s="16" t="s">
        <v>76</v>
      </c>
      <c r="F92" s="17"/>
      <c r="G92" s="17"/>
      <c r="H92" s="18"/>
      <c r="I92" s="19">
        <f>'FFP CLINs'!T17</f>
        <v>0</v>
      </c>
      <c r="J92" s="20">
        <f t="shared" si="22"/>
        <v>0</v>
      </c>
      <c r="K92" s="23"/>
    </row>
    <row r="93" spans="1:11" ht="12.75" customHeight="1" thickBot="1" x14ac:dyDescent="0.3">
      <c r="A93" s="13" t="s">
        <v>62</v>
      </c>
      <c r="B93" s="14" t="s">
        <v>16</v>
      </c>
      <c r="C93" s="15" t="s">
        <v>145</v>
      </c>
      <c r="D93" s="16">
        <v>40</v>
      </c>
      <c r="E93" s="16" t="s">
        <v>76</v>
      </c>
      <c r="F93" s="17"/>
      <c r="G93" s="17"/>
      <c r="H93" s="18"/>
      <c r="I93" s="19">
        <f>'FFP CLINs'!T21</f>
        <v>0</v>
      </c>
      <c r="J93" s="20">
        <f t="shared" si="22"/>
        <v>0</v>
      </c>
      <c r="K93" s="23"/>
    </row>
    <row r="94" spans="1:11" ht="12.75" customHeight="1" thickBot="1" x14ac:dyDescent="0.3">
      <c r="A94" s="13" t="s">
        <v>63</v>
      </c>
      <c r="B94" s="14" t="s">
        <v>16</v>
      </c>
      <c r="C94" s="26" t="s">
        <v>66</v>
      </c>
      <c r="D94" s="16">
        <v>1</v>
      </c>
      <c r="E94" s="16" t="s">
        <v>72</v>
      </c>
      <c r="F94" s="17"/>
      <c r="G94" s="17"/>
      <c r="H94" s="18"/>
      <c r="I94" s="19">
        <f>'FFP CLINs'!T25</f>
        <v>0</v>
      </c>
      <c r="J94" s="20">
        <f t="shared" ref="J94" si="24">+D94*I94</f>
        <v>0</v>
      </c>
      <c r="K94" s="23"/>
    </row>
    <row r="95" spans="1:11" ht="12.75" customHeight="1" thickBot="1" x14ac:dyDescent="0.3">
      <c r="A95" s="13" t="s">
        <v>109</v>
      </c>
      <c r="B95" s="14" t="s">
        <v>245</v>
      </c>
      <c r="C95" s="15" t="s">
        <v>106</v>
      </c>
      <c r="D95" s="16">
        <v>1</v>
      </c>
      <c r="E95" s="16" t="s">
        <v>72</v>
      </c>
      <c r="F95" s="22">
        <f>'Cost Format A_Gov Testing CLINs'!S68</f>
        <v>0</v>
      </c>
      <c r="G95" s="19">
        <f>'Cost Format A_Gov Testing CLINs'!S69</f>
        <v>0</v>
      </c>
      <c r="H95" s="22">
        <f>'Cost Format A_Gov Testing CLINs'!S70</f>
        <v>0</v>
      </c>
      <c r="I95" s="19">
        <f>+SUM(F95:H95)</f>
        <v>0</v>
      </c>
      <c r="J95" s="20">
        <f t="shared" ref="J95:J97" si="25">+D95*I95</f>
        <v>0</v>
      </c>
      <c r="K95" s="21"/>
    </row>
    <row r="96" spans="1:11" ht="12.75" customHeight="1" thickBot="1" x14ac:dyDescent="0.3">
      <c r="A96" s="13" t="s">
        <v>110</v>
      </c>
      <c r="B96" s="14" t="s">
        <v>21</v>
      </c>
      <c r="C96" s="15" t="s">
        <v>23</v>
      </c>
      <c r="D96" s="16">
        <v>1</v>
      </c>
      <c r="E96" s="16" t="s">
        <v>72</v>
      </c>
      <c r="F96" s="22">
        <f>'Cost Format A_Travel CLINs'!U25</f>
        <v>0</v>
      </c>
      <c r="G96" s="19">
        <f>'Cost Format A_Travel CLINs'!U26</f>
        <v>0</v>
      </c>
      <c r="H96" s="18"/>
      <c r="I96" s="19">
        <f>+SUM(F96:H96)</f>
        <v>0</v>
      </c>
      <c r="J96" s="20">
        <f t="shared" si="25"/>
        <v>0</v>
      </c>
    </row>
    <row r="97" spans="1:11" ht="12.75" customHeight="1" thickBot="1" x14ac:dyDescent="0.3">
      <c r="A97" s="13" t="s">
        <v>111</v>
      </c>
      <c r="B97" s="14" t="s">
        <v>16</v>
      </c>
      <c r="C97" s="15" t="s">
        <v>74</v>
      </c>
      <c r="D97" s="16">
        <v>1</v>
      </c>
      <c r="E97" s="16" t="s">
        <v>72</v>
      </c>
      <c r="F97" s="17"/>
      <c r="G97" s="17"/>
      <c r="H97" s="18"/>
      <c r="I97" s="19">
        <f>'FFP CLINs'!T29</f>
        <v>0</v>
      </c>
      <c r="J97" s="20">
        <f t="shared" si="25"/>
        <v>0</v>
      </c>
      <c r="K97" s="21"/>
    </row>
    <row r="98" spans="1:11" ht="12.75" customHeight="1" thickBot="1" x14ac:dyDescent="0.3">
      <c r="A98" s="13" t="s">
        <v>112</v>
      </c>
      <c r="B98" s="14" t="s">
        <v>27</v>
      </c>
      <c r="C98" s="15" t="s">
        <v>81</v>
      </c>
      <c r="D98" s="16">
        <v>1</v>
      </c>
      <c r="E98" s="16" t="s">
        <v>72</v>
      </c>
      <c r="F98" s="173" t="s">
        <v>27</v>
      </c>
      <c r="G98" s="174"/>
      <c r="H98" s="174"/>
      <c r="I98" s="174"/>
      <c r="J98" s="175"/>
      <c r="K98" s="23"/>
    </row>
    <row r="99" spans="1:11" ht="13.5" customHeight="1" thickBot="1" x14ac:dyDescent="0.3">
      <c r="A99" s="176" t="s">
        <v>64</v>
      </c>
      <c r="B99" s="177"/>
      <c r="C99" s="177"/>
      <c r="D99" s="177"/>
      <c r="E99" s="177"/>
      <c r="F99" s="177"/>
      <c r="G99" s="177"/>
      <c r="H99" s="177"/>
      <c r="I99" s="178"/>
      <c r="J99" s="20">
        <f>SUM(J88:J93)</f>
        <v>0</v>
      </c>
      <c r="K99" s="23"/>
    </row>
    <row r="100" spans="1:11" ht="4.5" customHeight="1" thickBot="1" x14ac:dyDescent="0.3">
      <c r="A100" s="179"/>
      <c r="B100" s="180"/>
      <c r="C100" s="180"/>
      <c r="D100" s="180"/>
      <c r="E100" s="180"/>
      <c r="F100" s="180"/>
      <c r="G100" s="180"/>
      <c r="H100" s="180"/>
      <c r="I100" s="180"/>
      <c r="J100" s="181"/>
      <c r="K100" s="23"/>
    </row>
    <row r="101" spans="1:11" ht="15.75" thickBot="1" x14ac:dyDescent="0.3">
      <c r="B101" s="28"/>
      <c r="C101" s="28"/>
      <c r="D101" s="27"/>
      <c r="E101" s="27"/>
      <c r="F101" s="182" t="s">
        <v>178</v>
      </c>
      <c r="G101" s="183"/>
      <c r="H101" s="183"/>
      <c r="I101" s="184"/>
      <c r="J101" s="152">
        <f>J27+J45+J65+J84+J99</f>
        <v>0</v>
      </c>
      <c r="K101" s="21"/>
    </row>
    <row r="102" spans="1:11" ht="15" x14ac:dyDescent="0.25">
      <c r="D102" s="27"/>
      <c r="E102" s="27"/>
      <c r="F102" s="21"/>
      <c r="G102" s="29"/>
      <c r="H102" s="29"/>
      <c r="I102" s="29"/>
      <c r="J102" s="30"/>
      <c r="K102" s="21"/>
    </row>
    <row r="103" spans="1:11" x14ac:dyDescent="0.25">
      <c r="D103" s="23"/>
      <c r="E103" s="23"/>
      <c r="F103" s="1"/>
      <c r="G103" s="31"/>
      <c r="H103" s="31"/>
      <c r="I103" s="31"/>
      <c r="J103" s="23"/>
    </row>
    <row r="104" spans="1:11" ht="12" customHeight="1" x14ac:dyDescent="0.25">
      <c r="A104" s="185" t="s">
        <v>65</v>
      </c>
      <c r="B104" s="185"/>
      <c r="C104" s="185"/>
      <c r="D104" s="185"/>
      <c r="E104" s="185"/>
      <c r="F104" s="185"/>
      <c r="G104" s="185"/>
      <c r="H104" s="185"/>
      <c r="I104" s="185"/>
      <c r="J104" s="185"/>
    </row>
    <row r="105" spans="1:11" x14ac:dyDescent="0.25">
      <c r="A105" s="185"/>
      <c r="B105" s="185"/>
      <c r="C105" s="185"/>
      <c r="D105" s="185"/>
      <c r="E105" s="185"/>
      <c r="F105" s="185"/>
      <c r="G105" s="185"/>
      <c r="H105" s="185"/>
      <c r="I105" s="185"/>
      <c r="J105" s="185"/>
    </row>
  </sheetData>
  <mergeCells count="31">
    <mergeCell ref="A46:J46"/>
    <mergeCell ref="A47:J47"/>
    <mergeCell ref="F101:I101"/>
    <mergeCell ref="A104:J105"/>
    <mergeCell ref="A100:J100"/>
    <mergeCell ref="F26:J26"/>
    <mergeCell ref="F44:J44"/>
    <mergeCell ref="F64:J64"/>
    <mergeCell ref="A86:J86"/>
    <mergeCell ref="A99:I99"/>
    <mergeCell ref="A85:J85"/>
    <mergeCell ref="F83:J83"/>
    <mergeCell ref="A66:J66"/>
    <mergeCell ref="A67:J67"/>
    <mergeCell ref="F98:J98"/>
    <mergeCell ref="A65:I65"/>
    <mergeCell ref="A27:I27"/>
    <mergeCell ref="A28:J28"/>
    <mergeCell ref="A29:J29"/>
    <mergeCell ref="A45:I45"/>
    <mergeCell ref="A84:I84"/>
    <mergeCell ref="A1:J1"/>
    <mergeCell ref="A2:J2"/>
    <mergeCell ref="A3:J3"/>
    <mergeCell ref="A4:C4"/>
    <mergeCell ref="D4:H4"/>
    <mergeCell ref="A5:C5"/>
    <mergeCell ref="D5:H5"/>
    <mergeCell ref="A6:C6"/>
    <mergeCell ref="D6:H6"/>
    <mergeCell ref="A8:J8"/>
  </mergeCells>
  <phoneticPr fontId="5"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76A67-0AFE-4EE8-BBF7-E634506E2852}">
  <sheetPr>
    <tabColor theme="9" tint="0.79998168889431442"/>
  </sheetPr>
  <dimension ref="A1:Z38"/>
  <sheetViews>
    <sheetView workbookViewId="0">
      <selection activeCell="H31" sqref="H31"/>
    </sheetView>
  </sheetViews>
  <sheetFormatPr defaultColWidth="15.85546875" defaultRowHeight="15.75" x14ac:dyDescent="0.25"/>
  <cols>
    <col min="1" max="1" width="3.42578125" style="33" customWidth="1"/>
    <col min="2" max="2" width="8.140625" style="37" customWidth="1"/>
    <col min="3" max="3" width="6.5703125" style="35" customWidth="1"/>
    <col min="4" max="4" width="20.5703125" style="35" customWidth="1"/>
    <col min="5" max="5" width="3" style="35" customWidth="1"/>
    <col min="6" max="6" width="6.5703125" style="35" customWidth="1"/>
    <col min="7" max="7" width="5" style="35" bestFit="1" customWidth="1"/>
    <col min="8" max="8" width="19.5703125" style="35" customWidth="1"/>
    <col min="9" max="9" width="3" style="35" customWidth="1"/>
    <col min="10" max="10" width="6.5703125" style="35" customWidth="1"/>
    <col min="11" max="11" width="5" style="35" bestFit="1" customWidth="1"/>
    <col min="12" max="12" width="20.7109375" style="35" customWidth="1"/>
    <col min="13" max="13" width="3" style="35" customWidth="1"/>
    <col min="14" max="14" width="6.5703125" style="35" customWidth="1"/>
    <col min="15" max="15" width="5" style="35" bestFit="1" customWidth="1"/>
    <col min="16" max="16" width="20" style="35" customWidth="1"/>
    <col min="17" max="17" width="2.42578125" style="35" customWidth="1"/>
    <col min="18" max="18" width="4.42578125" style="35" bestFit="1" customWidth="1"/>
    <col min="19" max="19" width="6.5703125" style="35" customWidth="1"/>
    <col min="20" max="20" width="20.140625" style="35" customWidth="1"/>
    <col min="21" max="21" width="2.42578125" style="35" customWidth="1"/>
    <col min="22" max="22" width="1.7109375" style="35" customWidth="1"/>
    <col min="23" max="24" width="6.5703125" style="35" customWidth="1"/>
    <col min="25" max="25" width="15.85546875" style="35"/>
    <col min="26" max="26" width="1.7109375" style="35" customWidth="1"/>
    <col min="27" max="16384" width="15.85546875" style="35"/>
  </cols>
  <sheetData>
    <row r="1" spans="1:26" x14ac:dyDescent="0.2">
      <c r="B1" s="34" t="s">
        <v>147</v>
      </c>
    </row>
    <row r="2" spans="1:26" x14ac:dyDescent="0.25">
      <c r="A2" s="36"/>
      <c r="B2" s="36" t="s">
        <v>224</v>
      </c>
      <c r="P2" s="148"/>
      <c r="Q2" s="94"/>
      <c r="R2" s="94"/>
      <c r="S2" s="94"/>
      <c r="T2" s="94"/>
      <c r="U2" s="94"/>
      <c r="V2" s="94"/>
      <c r="W2" s="94"/>
      <c r="X2" s="94"/>
    </row>
    <row r="3" spans="1:26" x14ac:dyDescent="0.25">
      <c r="A3" s="36"/>
      <c r="B3" s="36" t="s">
        <v>148</v>
      </c>
      <c r="P3" s="94"/>
      <c r="Q3" s="94"/>
      <c r="R3" s="94"/>
      <c r="S3" s="94"/>
      <c r="T3" s="94"/>
      <c r="U3" s="94"/>
      <c r="V3" s="94"/>
      <c r="W3" s="94"/>
      <c r="X3" s="94"/>
    </row>
    <row r="4" spans="1:26" x14ac:dyDescent="0.25">
      <c r="A4" s="36"/>
      <c r="B4" s="36" t="s">
        <v>223</v>
      </c>
    </row>
    <row r="5" spans="1:26" ht="16.5" thickBot="1" x14ac:dyDescent="0.3"/>
    <row r="6" spans="1:26" ht="16.5" customHeight="1" thickBot="1" x14ac:dyDescent="0.3">
      <c r="A6" s="38"/>
      <c r="B6" s="124" t="s">
        <v>197</v>
      </c>
      <c r="C6" s="125"/>
      <c r="D6" s="126"/>
      <c r="E6" s="114"/>
      <c r="F6" s="124" t="s">
        <v>199</v>
      </c>
      <c r="G6" s="125"/>
      <c r="H6" s="126"/>
      <c r="I6" s="114"/>
      <c r="J6" s="124" t="s">
        <v>198</v>
      </c>
      <c r="K6" s="125"/>
      <c r="L6" s="126"/>
      <c r="M6" s="114"/>
      <c r="N6" s="124" t="s">
        <v>213</v>
      </c>
      <c r="O6" s="125"/>
      <c r="P6" s="126"/>
      <c r="Q6" s="114"/>
      <c r="R6" s="124" t="s">
        <v>219</v>
      </c>
      <c r="S6" s="125"/>
      <c r="T6" s="126"/>
      <c r="U6" s="114"/>
    </row>
    <row r="7" spans="1:26" ht="16.5" thickBot="1" x14ac:dyDescent="0.3">
      <c r="A7" s="38"/>
      <c r="B7" s="118" t="s">
        <v>253</v>
      </c>
      <c r="C7" s="115"/>
      <c r="D7" s="116"/>
      <c r="E7" s="114"/>
      <c r="F7" s="118" t="s">
        <v>256</v>
      </c>
      <c r="G7" s="115"/>
      <c r="H7" s="116"/>
      <c r="I7" s="114"/>
      <c r="J7" s="118" t="s">
        <v>258</v>
      </c>
      <c r="K7" s="115"/>
      <c r="L7" s="116"/>
      <c r="M7" s="114"/>
      <c r="N7" s="118" t="s">
        <v>261</v>
      </c>
      <c r="O7" s="115"/>
      <c r="P7" s="116"/>
      <c r="Q7" s="114"/>
      <c r="R7" s="118" t="s">
        <v>264</v>
      </c>
      <c r="S7" s="115"/>
      <c r="T7" s="116"/>
      <c r="U7" s="114"/>
    </row>
    <row r="8" spans="1:26" ht="16.5" thickBot="1" x14ac:dyDescent="0.3">
      <c r="A8" s="38"/>
      <c r="B8" s="119" t="s">
        <v>149</v>
      </c>
      <c r="C8" s="119" t="s">
        <v>9</v>
      </c>
      <c r="D8" s="120" t="s">
        <v>225</v>
      </c>
      <c r="E8" s="114"/>
      <c r="F8" s="119" t="s">
        <v>149</v>
      </c>
      <c r="G8" s="119" t="s">
        <v>9</v>
      </c>
      <c r="H8" s="120" t="s">
        <v>225</v>
      </c>
      <c r="I8" s="114"/>
      <c r="J8" s="119" t="s">
        <v>149</v>
      </c>
      <c r="K8" s="119" t="s">
        <v>9</v>
      </c>
      <c r="L8" s="120" t="s">
        <v>225</v>
      </c>
      <c r="M8" s="114"/>
      <c r="N8" s="119" t="s">
        <v>149</v>
      </c>
      <c r="O8" s="119" t="s">
        <v>9</v>
      </c>
      <c r="P8" s="120" t="s">
        <v>225</v>
      </c>
      <c r="Q8" s="114"/>
      <c r="R8" s="119" t="s">
        <v>149</v>
      </c>
      <c r="S8" s="119" t="s">
        <v>9</v>
      </c>
      <c r="T8" s="120" t="s">
        <v>225</v>
      </c>
      <c r="U8" s="114"/>
      <c r="V8" s="42"/>
      <c r="W8" s="42"/>
      <c r="Z8" s="42"/>
    </row>
    <row r="9" spans="1:26" ht="16.5" thickBot="1" x14ac:dyDescent="0.3">
      <c r="A9" s="38"/>
      <c r="B9" s="117">
        <f>'Cost Format C_CLIN Summary'!D16</f>
        <v>4</v>
      </c>
      <c r="C9" s="117" t="str">
        <f>'Cost Format C_CLIN Summary'!E16</f>
        <v>EA</v>
      </c>
      <c r="D9" s="40"/>
      <c r="E9" s="122"/>
      <c r="F9" s="117">
        <f>'Cost Format C_CLIN Summary'!D37</f>
        <v>1</v>
      </c>
      <c r="G9" s="117" t="str">
        <f>'Cost Format C_CLIN Summary'!E37</f>
        <v>LO</v>
      </c>
      <c r="H9" s="40"/>
      <c r="I9" s="122"/>
      <c r="J9" s="117">
        <f>'Cost Format C_CLIN Summary'!D54</f>
        <v>1</v>
      </c>
      <c r="K9" s="117" t="str">
        <f>'Cost Format C_CLIN Summary'!E54</f>
        <v xml:space="preserve">LO </v>
      </c>
      <c r="L9" s="40"/>
      <c r="M9" s="122"/>
      <c r="N9" s="117">
        <f>'Cost Format C_CLIN Summary'!D73</f>
        <v>1</v>
      </c>
      <c r="O9" s="117" t="str">
        <f>'Cost Format C_CLIN Summary'!E73</f>
        <v xml:space="preserve">LO </v>
      </c>
      <c r="P9" s="40"/>
      <c r="Q9" s="122"/>
      <c r="R9" s="117">
        <f>'Cost Format C_CLIN Summary'!D90</f>
        <v>1</v>
      </c>
      <c r="S9" s="117" t="str">
        <f>'Cost Format C_CLIN Summary'!E90</f>
        <v xml:space="preserve">LO </v>
      </c>
      <c r="T9" s="40"/>
      <c r="U9" s="122"/>
      <c r="V9" s="37"/>
      <c r="Z9" s="37"/>
    </row>
    <row r="10" spans="1:26" ht="16.5" thickBot="1" x14ac:dyDescent="0.3">
      <c r="A10" s="38"/>
      <c r="B10" s="123"/>
      <c r="C10" s="123"/>
      <c r="D10" s="123"/>
      <c r="E10" s="123"/>
      <c r="F10" s="123"/>
      <c r="G10" s="123"/>
      <c r="H10" s="123"/>
      <c r="I10" s="123"/>
      <c r="J10" s="123"/>
      <c r="K10" s="123"/>
      <c r="L10" s="123"/>
      <c r="M10" s="123"/>
      <c r="N10" s="123"/>
      <c r="O10" s="123"/>
      <c r="P10" s="123"/>
      <c r="Q10" s="123"/>
      <c r="R10" s="123"/>
      <c r="S10" s="123"/>
      <c r="T10" s="123"/>
      <c r="U10" s="123"/>
      <c r="V10" s="37"/>
      <c r="Z10" s="37"/>
    </row>
    <row r="11" spans="1:26" ht="16.5" thickBot="1" x14ac:dyDescent="0.3">
      <c r="A11" s="38"/>
      <c r="B11" s="118" t="s">
        <v>254</v>
      </c>
      <c r="C11" s="115"/>
      <c r="D11" s="116"/>
      <c r="E11" s="121"/>
      <c r="F11" s="118" t="s">
        <v>205</v>
      </c>
      <c r="G11" s="115"/>
      <c r="H11" s="116"/>
      <c r="I11" s="121"/>
      <c r="J11" s="118" t="s">
        <v>208</v>
      </c>
      <c r="K11" s="115"/>
      <c r="L11" s="116"/>
      <c r="M11" s="121"/>
      <c r="N11" s="118" t="s">
        <v>214</v>
      </c>
      <c r="O11" s="115"/>
      <c r="P11" s="116"/>
      <c r="Q11" s="121"/>
      <c r="R11" s="118" t="s">
        <v>220</v>
      </c>
      <c r="S11" s="115"/>
      <c r="T11" s="116"/>
      <c r="U11" s="121"/>
      <c r="V11" s="37"/>
      <c r="Z11" s="37"/>
    </row>
    <row r="12" spans="1:26" ht="16.5" thickBot="1" x14ac:dyDescent="0.3">
      <c r="A12" s="38"/>
      <c r="B12" s="119" t="s">
        <v>149</v>
      </c>
      <c r="C12" s="119" t="s">
        <v>9</v>
      </c>
      <c r="D12" s="120" t="s">
        <v>225</v>
      </c>
      <c r="E12" s="114"/>
      <c r="F12" s="119" t="s">
        <v>149</v>
      </c>
      <c r="G12" s="119" t="s">
        <v>9</v>
      </c>
      <c r="H12" s="120" t="s">
        <v>225</v>
      </c>
      <c r="I12" s="114"/>
      <c r="J12" s="119" t="s">
        <v>149</v>
      </c>
      <c r="K12" s="119" t="s">
        <v>9</v>
      </c>
      <c r="L12" s="120" t="s">
        <v>225</v>
      </c>
      <c r="M12" s="114"/>
      <c r="N12" s="119" t="s">
        <v>149</v>
      </c>
      <c r="O12" s="119" t="s">
        <v>9</v>
      </c>
      <c r="P12" s="120" t="s">
        <v>225</v>
      </c>
      <c r="Q12" s="114"/>
      <c r="R12" s="119" t="s">
        <v>149</v>
      </c>
      <c r="S12" s="119" t="s">
        <v>9</v>
      </c>
      <c r="T12" s="120" t="s">
        <v>225</v>
      </c>
      <c r="U12" s="114"/>
      <c r="V12" s="37"/>
      <c r="Z12" s="37"/>
    </row>
    <row r="13" spans="1:26" ht="16.5" thickBot="1" x14ac:dyDescent="0.3">
      <c r="A13" s="38"/>
      <c r="B13" s="117">
        <f>'Cost Format C_CLIN Summary'!D17</f>
        <v>4</v>
      </c>
      <c r="C13" s="117" t="str">
        <f>'Cost Format C_CLIN Summary'!E17</f>
        <v>EA</v>
      </c>
      <c r="D13" s="40"/>
      <c r="E13" s="122"/>
      <c r="F13" s="117">
        <f>'Cost Format C_CLIN Summary'!D38</f>
        <v>10</v>
      </c>
      <c r="G13" s="117" t="str">
        <f>'Cost Format C_CLIN Summary'!E38</f>
        <v>EA</v>
      </c>
      <c r="H13" s="40"/>
      <c r="I13" s="122"/>
      <c r="J13" s="117">
        <f>'Cost Format C_CLIN Summary'!D55</f>
        <v>1</v>
      </c>
      <c r="K13" s="117" t="str">
        <f>'Cost Format C_CLIN Summary'!E55</f>
        <v xml:space="preserve">LO </v>
      </c>
      <c r="L13" s="40"/>
      <c r="M13" s="122"/>
      <c r="N13" s="117">
        <f>'Cost Format C_CLIN Summary'!D74</f>
        <v>1</v>
      </c>
      <c r="O13" s="117" t="str">
        <f>'Cost Format C_CLIN Summary'!E74</f>
        <v xml:space="preserve">LO </v>
      </c>
      <c r="P13" s="40"/>
      <c r="Q13" s="122"/>
      <c r="R13" s="117">
        <f>'Cost Format C_CLIN Summary'!D91</f>
        <v>75</v>
      </c>
      <c r="S13" s="117" t="str">
        <f>'Cost Format C_CLIN Summary'!E91</f>
        <v>EA</v>
      </c>
      <c r="T13" s="40"/>
      <c r="U13" s="122"/>
      <c r="V13" s="37"/>
      <c r="Z13" s="37"/>
    </row>
    <row r="14" spans="1:26" ht="16.5" thickBot="1" x14ac:dyDescent="0.3">
      <c r="A14" s="38"/>
      <c r="B14" s="123"/>
      <c r="C14" s="123"/>
      <c r="D14" s="123"/>
      <c r="E14" s="123"/>
      <c r="F14" s="123"/>
      <c r="G14" s="123"/>
      <c r="H14" s="123"/>
      <c r="I14" s="123"/>
      <c r="J14" s="123"/>
      <c r="K14" s="123"/>
      <c r="L14" s="123"/>
      <c r="M14" s="123"/>
      <c r="N14" s="123"/>
      <c r="O14" s="123"/>
      <c r="P14" s="123"/>
      <c r="Q14" s="123"/>
      <c r="R14" s="123"/>
      <c r="S14" s="123"/>
      <c r="T14" s="123"/>
      <c r="U14" s="123"/>
      <c r="V14" s="37"/>
      <c r="Z14" s="37"/>
    </row>
    <row r="15" spans="1:26" ht="16.5" thickBot="1" x14ac:dyDescent="0.3">
      <c r="A15" s="38"/>
      <c r="B15" s="118" t="s">
        <v>255</v>
      </c>
      <c r="C15" s="115"/>
      <c r="D15" s="116"/>
      <c r="E15" s="121"/>
      <c r="F15" s="118" t="s">
        <v>257</v>
      </c>
      <c r="G15" s="115"/>
      <c r="H15" s="116"/>
      <c r="I15" s="121"/>
      <c r="J15" s="118" t="s">
        <v>209</v>
      </c>
      <c r="K15" s="115"/>
      <c r="L15" s="116"/>
      <c r="M15" s="121"/>
      <c r="N15" s="118" t="s">
        <v>215</v>
      </c>
      <c r="O15" s="115"/>
      <c r="P15" s="116"/>
      <c r="Q15" s="121"/>
      <c r="R15" s="118" t="s">
        <v>265</v>
      </c>
      <c r="S15" s="115"/>
      <c r="T15" s="116"/>
      <c r="U15" s="121"/>
      <c r="V15" s="37"/>
      <c r="Z15" s="37"/>
    </row>
    <row r="16" spans="1:26" ht="16.5" thickBot="1" x14ac:dyDescent="0.3">
      <c r="A16" s="38"/>
      <c r="B16" s="119" t="s">
        <v>149</v>
      </c>
      <c r="C16" s="119" t="s">
        <v>9</v>
      </c>
      <c r="D16" s="120" t="s">
        <v>225</v>
      </c>
      <c r="E16" s="114"/>
      <c r="F16" s="119" t="s">
        <v>149</v>
      </c>
      <c r="G16" s="119" t="s">
        <v>9</v>
      </c>
      <c r="H16" s="120" t="s">
        <v>225</v>
      </c>
      <c r="I16" s="114"/>
      <c r="J16" s="119" t="s">
        <v>149</v>
      </c>
      <c r="K16" s="119" t="s">
        <v>9</v>
      </c>
      <c r="L16" s="120" t="s">
        <v>225</v>
      </c>
      <c r="M16" s="114"/>
      <c r="N16" s="119" t="s">
        <v>149</v>
      </c>
      <c r="O16" s="119" t="s">
        <v>9</v>
      </c>
      <c r="P16" s="120" t="s">
        <v>225</v>
      </c>
      <c r="Q16" s="114"/>
      <c r="R16" s="119" t="s">
        <v>149</v>
      </c>
      <c r="S16" s="119" t="s">
        <v>9</v>
      </c>
      <c r="T16" s="120" t="s">
        <v>225</v>
      </c>
      <c r="U16" s="114"/>
      <c r="V16" s="37"/>
      <c r="Z16" s="37"/>
    </row>
    <row r="17" spans="1:26" ht="16.5" thickBot="1" x14ac:dyDescent="0.3">
      <c r="A17" s="38"/>
      <c r="B17" s="117">
        <f>'Cost Format C_CLIN Summary'!D18</f>
        <v>4</v>
      </c>
      <c r="C17" s="117" t="str">
        <f>'Cost Format C_CLIN Summary'!E18</f>
        <v>EA</v>
      </c>
      <c r="D17" s="40"/>
      <c r="E17" s="122"/>
      <c r="F17" s="117">
        <f>'Cost Format C_CLIN Summary'!D39</f>
        <v>83</v>
      </c>
      <c r="G17" s="117" t="str">
        <f>'Cost Format C_CLIN Summary'!E39</f>
        <v>EA</v>
      </c>
      <c r="H17" s="40"/>
      <c r="I17" s="122"/>
      <c r="J17" s="117">
        <f>'Cost Format C_CLIN Summary'!D56</f>
        <v>210</v>
      </c>
      <c r="K17" s="117" t="str">
        <f>'Cost Format C_CLIN Summary'!E56</f>
        <v>EA</v>
      </c>
      <c r="L17" s="40"/>
      <c r="M17" s="122"/>
      <c r="N17" s="117">
        <f>'Cost Format C_CLIN Summary'!D75</f>
        <v>64</v>
      </c>
      <c r="O17" s="117" t="str">
        <f>'Cost Format C_CLIN Summary'!E75</f>
        <v>EA</v>
      </c>
      <c r="P17" s="40"/>
      <c r="Q17" s="122"/>
      <c r="R17" s="117">
        <f>'Cost Format C_CLIN Summary'!D92</f>
        <v>2</v>
      </c>
      <c r="S17" s="117" t="str">
        <f>'Cost Format C_CLIN Summary'!E92</f>
        <v>EA</v>
      </c>
      <c r="T17" s="40"/>
      <c r="U17" s="122"/>
      <c r="V17" s="37"/>
      <c r="Z17" s="37"/>
    </row>
    <row r="18" spans="1:26" ht="16.5" thickBot="1" x14ac:dyDescent="0.3">
      <c r="A18" s="38"/>
      <c r="B18" s="123"/>
      <c r="C18" s="123"/>
      <c r="D18" s="123"/>
      <c r="E18" s="123"/>
      <c r="F18" s="123"/>
      <c r="G18" s="123"/>
      <c r="H18" s="123"/>
      <c r="I18" s="123"/>
      <c r="J18" s="123"/>
      <c r="K18" s="123"/>
      <c r="L18" s="123"/>
      <c r="M18" s="123"/>
      <c r="N18" s="123"/>
      <c r="O18" s="123"/>
      <c r="P18" s="123"/>
      <c r="Q18" s="123"/>
      <c r="R18" s="123"/>
      <c r="S18" s="123"/>
      <c r="T18" s="123"/>
      <c r="U18" s="123"/>
      <c r="V18" s="37"/>
      <c r="Z18" s="37"/>
    </row>
    <row r="19" spans="1:26" ht="16.5" thickBot="1" x14ac:dyDescent="0.3">
      <c r="A19" s="38"/>
      <c r="B19" s="118" t="s">
        <v>200</v>
      </c>
      <c r="C19" s="115"/>
      <c r="D19" s="116"/>
      <c r="E19" s="121"/>
      <c r="F19" s="118" t="s">
        <v>206</v>
      </c>
      <c r="G19" s="115"/>
      <c r="H19" s="116"/>
      <c r="I19" s="121"/>
      <c r="J19" s="118" t="s">
        <v>259</v>
      </c>
      <c r="K19" s="115"/>
      <c r="L19" s="116"/>
      <c r="M19" s="121"/>
      <c r="N19" s="118" t="s">
        <v>262</v>
      </c>
      <c r="O19" s="115"/>
      <c r="P19" s="116"/>
      <c r="Q19" s="121"/>
      <c r="R19" s="118" t="s">
        <v>221</v>
      </c>
      <c r="S19" s="115"/>
      <c r="T19" s="116"/>
      <c r="U19" s="121"/>
      <c r="V19" s="37"/>
      <c r="Z19" s="37"/>
    </row>
    <row r="20" spans="1:26" ht="16.5" thickBot="1" x14ac:dyDescent="0.3">
      <c r="A20" s="38"/>
      <c r="B20" s="119" t="s">
        <v>149</v>
      </c>
      <c r="C20" s="119" t="s">
        <v>9</v>
      </c>
      <c r="D20" s="120" t="s">
        <v>225</v>
      </c>
      <c r="E20" s="114"/>
      <c r="F20" s="119" t="s">
        <v>149</v>
      </c>
      <c r="G20" s="119" t="s">
        <v>9</v>
      </c>
      <c r="H20" s="120" t="s">
        <v>225</v>
      </c>
      <c r="I20" s="114"/>
      <c r="J20" s="119" t="s">
        <v>149</v>
      </c>
      <c r="K20" s="119" t="s">
        <v>9</v>
      </c>
      <c r="L20" s="120" t="s">
        <v>225</v>
      </c>
      <c r="M20" s="114"/>
      <c r="N20" s="119" t="s">
        <v>149</v>
      </c>
      <c r="O20" s="119" t="s">
        <v>9</v>
      </c>
      <c r="P20" s="120" t="s">
        <v>225</v>
      </c>
      <c r="Q20" s="114"/>
      <c r="R20" s="119" t="s">
        <v>149</v>
      </c>
      <c r="S20" s="119" t="s">
        <v>9</v>
      </c>
      <c r="T20" s="120" t="s">
        <v>225</v>
      </c>
      <c r="U20" s="114"/>
      <c r="V20" s="37"/>
      <c r="Z20" s="37"/>
    </row>
    <row r="21" spans="1:26" ht="16.5" thickBot="1" x14ac:dyDescent="0.3">
      <c r="A21" s="38"/>
      <c r="B21" s="117">
        <f>'Cost Format C_CLIN Summary'!D19</f>
        <v>1</v>
      </c>
      <c r="C21" s="117" t="str">
        <f>'Cost Format C_CLIN Summary'!E19</f>
        <v xml:space="preserve">LO </v>
      </c>
      <c r="D21" s="40"/>
      <c r="E21" s="122"/>
      <c r="F21" s="117">
        <f>'Cost Format C_CLIN Summary'!D40</f>
        <v>1</v>
      </c>
      <c r="G21" s="117" t="str">
        <f>'Cost Format C_CLIN Summary'!E40</f>
        <v xml:space="preserve">LO </v>
      </c>
      <c r="H21" s="40"/>
      <c r="I21" s="122"/>
      <c r="J21" s="117">
        <f>'Cost Format C_CLIN Summary'!D57</f>
        <v>10</v>
      </c>
      <c r="K21" s="117" t="str">
        <f>'Cost Format C_CLIN Summary'!E57</f>
        <v>EA</v>
      </c>
      <c r="L21" s="40"/>
      <c r="M21" s="122"/>
      <c r="N21" s="117">
        <f>'Cost Format C_CLIN Summary'!D76</f>
        <v>5</v>
      </c>
      <c r="O21" s="117" t="str">
        <f>'Cost Format C_CLIN Summary'!E76</f>
        <v>EA</v>
      </c>
      <c r="P21" s="40"/>
      <c r="Q21" s="122"/>
      <c r="R21" s="117">
        <f>'Cost Format C_CLIN Summary'!D93</f>
        <v>40</v>
      </c>
      <c r="S21" s="117" t="str">
        <f>'Cost Format C_CLIN Summary'!E93</f>
        <v>EA</v>
      </c>
      <c r="T21" s="40"/>
      <c r="U21" s="122"/>
      <c r="V21" s="37"/>
      <c r="Z21" s="37"/>
    </row>
    <row r="22" spans="1:26" ht="16.5" thickBot="1" x14ac:dyDescent="0.3">
      <c r="A22" s="38"/>
      <c r="B22" s="123"/>
      <c r="C22" s="123"/>
      <c r="D22" s="123"/>
      <c r="E22" s="123"/>
      <c r="F22" s="123"/>
      <c r="G22" s="123"/>
      <c r="H22" s="123"/>
      <c r="I22" s="123"/>
      <c r="J22" s="123"/>
      <c r="K22" s="123"/>
      <c r="L22" s="123"/>
      <c r="M22" s="123"/>
      <c r="N22" s="123"/>
      <c r="O22" s="123"/>
      <c r="P22" s="123"/>
      <c r="Q22" s="123"/>
      <c r="R22" s="123"/>
      <c r="S22" s="123"/>
      <c r="T22" s="123"/>
      <c r="U22" s="123"/>
      <c r="V22" s="37"/>
      <c r="Z22" s="37"/>
    </row>
    <row r="23" spans="1:26" ht="16.5" thickBot="1" x14ac:dyDescent="0.3">
      <c r="A23" s="38"/>
      <c r="B23" s="118" t="s">
        <v>201</v>
      </c>
      <c r="C23" s="115"/>
      <c r="D23" s="116"/>
      <c r="E23" s="121"/>
      <c r="F23" s="118" t="s">
        <v>207</v>
      </c>
      <c r="G23" s="115"/>
      <c r="H23" s="116"/>
      <c r="I23" s="121"/>
      <c r="J23" s="118" t="s">
        <v>210</v>
      </c>
      <c r="K23" s="115"/>
      <c r="L23" s="116"/>
      <c r="M23" s="121"/>
      <c r="N23" s="118" t="s">
        <v>263</v>
      </c>
      <c r="O23" s="115"/>
      <c r="P23" s="116"/>
      <c r="Q23" s="121"/>
      <c r="R23" s="118" t="s">
        <v>266</v>
      </c>
      <c r="S23" s="115"/>
      <c r="T23" s="116"/>
      <c r="U23" s="121"/>
      <c r="V23" s="37"/>
      <c r="Z23" s="37"/>
    </row>
    <row r="24" spans="1:26" ht="16.5" thickBot="1" x14ac:dyDescent="0.3">
      <c r="B24" s="119" t="s">
        <v>149</v>
      </c>
      <c r="C24" s="119" t="s">
        <v>9</v>
      </c>
      <c r="D24" s="120" t="s">
        <v>225</v>
      </c>
      <c r="E24" s="114"/>
      <c r="F24" s="119" t="s">
        <v>149</v>
      </c>
      <c r="G24" s="119" t="s">
        <v>9</v>
      </c>
      <c r="H24" s="120" t="s">
        <v>225</v>
      </c>
      <c r="I24" s="114"/>
      <c r="J24" s="119" t="s">
        <v>149</v>
      </c>
      <c r="K24" s="119" t="s">
        <v>9</v>
      </c>
      <c r="L24" s="120" t="s">
        <v>225</v>
      </c>
      <c r="M24" s="114"/>
      <c r="N24" s="119" t="s">
        <v>149</v>
      </c>
      <c r="O24" s="119" t="s">
        <v>9</v>
      </c>
      <c r="P24" s="120" t="s">
        <v>225</v>
      </c>
      <c r="Q24" s="114"/>
      <c r="R24" s="119" t="s">
        <v>149</v>
      </c>
      <c r="S24" s="119" t="s">
        <v>9</v>
      </c>
      <c r="T24" s="120" t="s">
        <v>225</v>
      </c>
      <c r="U24" s="114"/>
    </row>
    <row r="25" spans="1:26" ht="16.5" thickBot="1" x14ac:dyDescent="0.3">
      <c r="B25" s="117">
        <f>'Cost Format C_CLIN Summary'!D20</f>
        <v>1</v>
      </c>
      <c r="C25" s="117" t="str">
        <f>'Cost Format C_CLIN Summary'!E20</f>
        <v>LO</v>
      </c>
      <c r="D25" s="40"/>
      <c r="E25" s="122"/>
      <c r="F25" s="117">
        <f>'Cost Format C_CLIN Summary'!D43</f>
        <v>1</v>
      </c>
      <c r="G25" s="117" t="str">
        <f>'Cost Format C_CLIN Summary'!E43</f>
        <v xml:space="preserve">LO </v>
      </c>
      <c r="H25" s="40"/>
      <c r="I25" s="122"/>
      <c r="J25" s="117">
        <f>'Cost Format C_CLIN Summary'!D58</f>
        <v>162</v>
      </c>
      <c r="K25" s="117" t="str">
        <f>'Cost Format C_CLIN Summary'!E58</f>
        <v>EA</v>
      </c>
      <c r="L25" s="40"/>
      <c r="M25" s="122"/>
      <c r="N25" s="117">
        <f>'Cost Format C_CLIN Summary'!D77</f>
        <v>5</v>
      </c>
      <c r="O25" s="117" t="str">
        <f>'Cost Format C_CLIN Summary'!E77</f>
        <v>EA</v>
      </c>
      <c r="P25" s="40"/>
      <c r="Q25" s="122"/>
      <c r="R25" s="117">
        <f>'Cost Format C_CLIN Summary'!D94</f>
        <v>1</v>
      </c>
      <c r="S25" s="117" t="str">
        <f>'Cost Format C_CLIN Summary'!E94</f>
        <v xml:space="preserve">LO </v>
      </c>
      <c r="T25" s="40"/>
      <c r="U25" s="122"/>
    </row>
    <row r="26" spans="1:26" ht="16.5" thickBot="1" x14ac:dyDescent="0.3">
      <c r="A26" s="38"/>
      <c r="B26" s="123"/>
      <c r="C26" s="123"/>
      <c r="D26" s="123"/>
      <c r="E26" s="123"/>
      <c r="F26" s="123"/>
      <c r="G26" s="123"/>
      <c r="H26" s="123"/>
      <c r="I26" s="123"/>
      <c r="J26" s="123"/>
      <c r="K26" s="123"/>
      <c r="L26" s="123"/>
      <c r="M26" s="123"/>
      <c r="N26" s="123"/>
      <c r="O26" s="123"/>
      <c r="P26" s="123"/>
      <c r="Q26" s="123"/>
      <c r="R26" s="123"/>
      <c r="S26" s="123"/>
      <c r="T26" s="123"/>
      <c r="U26" s="123"/>
      <c r="V26" s="37"/>
      <c r="Z26" s="37"/>
    </row>
    <row r="27" spans="1:26" ht="16.5" thickBot="1" x14ac:dyDescent="0.3">
      <c r="B27" s="118" t="s">
        <v>202</v>
      </c>
      <c r="C27" s="115"/>
      <c r="D27" s="116"/>
      <c r="E27" s="121"/>
      <c r="I27" s="123"/>
      <c r="J27" s="118" t="s">
        <v>260</v>
      </c>
      <c r="K27" s="115"/>
      <c r="L27" s="116"/>
      <c r="M27" s="121"/>
      <c r="N27" s="118" t="s">
        <v>216</v>
      </c>
      <c r="O27" s="115"/>
      <c r="P27" s="116"/>
      <c r="Q27" s="121"/>
      <c r="R27" s="118" t="s">
        <v>222</v>
      </c>
      <c r="S27" s="115"/>
      <c r="T27" s="116"/>
      <c r="U27" s="121"/>
    </row>
    <row r="28" spans="1:26" ht="16.5" thickBot="1" x14ac:dyDescent="0.3">
      <c r="B28" s="119" t="s">
        <v>149</v>
      </c>
      <c r="C28" s="119" t="s">
        <v>9</v>
      </c>
      <c r="D28" s="120" t="s">
        <v>225</v>
      </c>
      <c r="E28" s="114"/>
      <c r="I28" s="123"/>
      <c r="J28" s="119" t="s">
        <v>149</v>
      </c>
      <c r="K28" s="119" t="s">
        <v>9</v>
      </c>
      <c r="L28" s="120" t="s">
        <v>225</v>
      </c>
      <c r="M28" s="114"/>
      <c r="N28" s="119" t="s">
        <v>149</v>
      </c>
      <c r="O28" s="119" t="s">
        <v>9</v>
      </c>
      <c r="P28" s="120" t="s">
        <v>225</v>
      </c>
      <c r="Q28" s="114"/>
      <c r="R28" s="119" t="s">
        <v>149</v>
      </c>
      <c r="S28" s="119" t="s">
        <v>9</v>
      </c>
      <c r="T28" s="120" t="s">
        <v>225</v>
      </c>
      <c r="U28" s="114"/>
    </row>
    <row r="29" spans="1:26" ht="16.5" thickBot="1" x14ac:dyDescent="0.3">
      <c r="B29" s="117">
        <f>'Cost Format C_CLIN Summary'!D21</f>
        <v>1</v>
      </c>
      <c r="C29" s="117" t="str">
        <f>'Cost Format C_CLIN Summary'!E21</f>
        <v xml:space="preserve">LO </v>
      </c>
      <c r="D29" s="40"/>
      <c r="E29" s="122"/>
      <c r="I29" s="123"/>
      <c r="J29" s="117">
        <f>'Cost Format C_CLIN Summary'!D59</f>
        <v>4</v>
      </c>
      <c r="K29" s="117" t="str">
        <f>'Cost Format C_CLIN Summary'!E59</f>
        <v>EA</v>
      </c>
      <c r="L29" s="40"/>
      <c r="M29" s="122"/>
      <c r="N29" s="117">
        <f>'Cost Format C_CLIN Summary'!D78</f>
        <v>138</v>
      </c>
      <c r="O29" s="117" t="str">
        <f>'Cost Format C_CLIN Summary'!E78</f>
        <v>EA</v>
      </c>
      <c r="P29" s="40"/>
      <c r="Q29" s="122"/>
      <c r="R29" s="117">
        <f>'Cost Format C_CLIN Summary'!D97</f>
        <v>1</v>
      </c>
      <c r="S29" s="117" t="str">
        <f>'Cost Format C_CLIN Summary'!E97</f>
        <v xml:space="preserve">LO </v>
      </c>
      <c r="T29" s="40"/>
      <c r="U29" s="122"/>
    </row>
    <row r="30" spans="1:26" ht="16.5" thickBot="1" x14ac:dyDescent="0.3">
      <c r="A30" s="38"/>
      <c r="B30" s="123"/>
      <c r="C30" s="123"/>
      <c r="D30" s="123"/>
      <c r="E30" s="123"/>
      <c r="G30" s="37"/>
      <c r="I30" s="123"/>
      <c r="J30" s="123"/>
      <c r="K30" s="123"/>
      <c r="L30" s="123"/>
      <c r="M30" s="123"/>
      <c r="N30" s="123"/>
      <c r="O30" s="123"/>
      <c r="P30" s="123"/>
      <c r="Q30" s="123"/>
      <c r="R30" s="123"/>
      <c r="S30" s="123"/>
      <c r="T30" s="123"/>
      <c r="U30" s="123"/>
      <c r="V30" s="37"/>
      <c r="Z30" s="37"/>
    </row>
    <row r="31" spans="1:26" ht="16.5" thickBot="1" x14ac:dyDescent="0.3">
      <c r="B31" s="118" t="s">
        <v>203</v>
      </c>
      <c r="C31" s="115"/>
      <c r="D31" s="116"/>
      <c r="E31" s="121"/>
      <c r="I31" s="123"/>
      <c r="J31" s="118" t="s">
        <v>211</v>
      </c>
      <c r="K31" s="115"/>
      <c r="L31" s="116"/>
      <c r="M31" s="121"/>
      <c r="N31" s="118" t="s">
        <v>217</v>
      </c>
      <c r="O31" s="115"/>
      <c r="P31" s="116"/>
      <c r="Q31" s="121"/>
    </row>
    <row r="32" spans="1:26" ht="16.5" thickBot="1" x14ac:dyDescent="0.3">
      <c r="B32" s="119" t="s">
        <v>149</v>
      </c>
      <c r="C32" s="119" t="s">
        <v>9</v>
      </c>
      <c r="D32" s="120" t="s">
        <v>225</v>
      </c>
      <c r="E32" s="114"/>
      <c r="I32" s="123"/>
      <c r="J32" s="119" t="s">
        <v>149</v>
      </c>
      <c r="K32" s="119" t="s">
        <v>9</v>
      </c>
      <c r="L32" s="120" t="s">
        <v>225</v>
      </c>
      <c r="M32" s="114"/>
      <c r="N32" s="119" t="s">
        <v>149</v>
      </c>
      <c r="O32" s="119" t="s">
        <v>9</v>
      </c>
      <c r="P32" s="120" t="s">
        <v>225</v>
      </c>
      <c r="Q32" s="114"/>
    </row>
    <row r="33" spans="1:26" ht="16.5" thickBot="1" x14ac:dyDescent="0.3">
      <c r="B33" s="117">
        <f>'Cost Format C_CLIN Summary'!D22</f>
        <v>1</v>
      </c>
      <c r="C33" s="117" t="str">
        <f>'Cost Format C_CLIN Summary'!E22</f>
        <v>LO</v>
      </c>
      <c r="D33" s="40"/>
      <c r="E33" s="122"/>
      <c r="I33" s="123"/>
      <c r="J33" s="117">
        <f>'Cost Format C_CLIN Summary'!D60</f>
        <v>1</v>
      </c>
      <c r="K33" s="117" t="str">
        <f>'Cost Format C_CLIN Summary'!E60</f>
        <v xml:space="preserve">LO </v>
      </c>
      <c r="L33" s="40"/>
      <c r="M33" s="122"/>
      <c r="N33" s="117">
        <f>'Cost Format C_CLIN Summary'!D79</f>
        <v>1</v>
      </c>
      <c r="O33" s="117" t="str">
        <f>'Cost Format C_CLIN Summary'!E79</f>
        <v xml:space="preserve">LO </v>
      </c>
      <c r="P33" s="40"/>
      <c r="Q33" s="122"/>
    </row>
    <row r="34" spans="1:26" ht="16.5" thickBot="1" x14ac:dyDescent="0.3">
      <c r="A34" s="38"/>
      <c r="B34" s="123"/>
      <c r="C34" s="123"/>
      <c r="D34" s="123"/>
      <c r="E34" s="123"/>
      <c r="G34" s="37"/>
      <c r="H34" s="37"/>
      <c r="I34" s="123"/>
      <c r="J34" s="123"/>
      <c r="K34" s="123"/>
      <c r="L34" s="123"/>
      <c r="M34" s="123"/>
      <c r="N34" s="123"/>
      <c r="O34" s="123"/>
      <c r="P34" s="123"/>
      <c r="Q34" s="123"/>
      <c r="R34" s="37"/>
      <c r="V34" s="37"/>
      <c r="Z34" s="37"/>
    </row>
    <row r="35" spans="1:26" ht="16.5" thickBot="1" x14ac:dyDescent="0.3">
      <c r="B35" s="118" t="s">
        <v>204</v>
      </c>
      <c r="C35" s="115"/>
      <c r="D35" s="116"/>
      <c r="E35" s="121"/>
      <c r="I35" s="123"/>
      <c r="J35" s="118" t="s">
        <v>212</v>
      </c>
      <c r="K35" s="115"/>
      <c r="L35" s="116"/>
      <c r="M35" s="121"/>
      <c r="N35" s="118" t="s">
        <v>218</v>
      </c>
      <c r="O35" s="115"/>
      <c r="P35" s="116"/>
      <c r="Q35" s="121"/>
    </row>
    <row r="36" spans="1:26" ht="16.5" thickBot="1" x14ac:dyDescent="0.3">
      <c r="B36" s="119" t="s">
        <v>149</v>
      </c>
      <c r="C36" s="119" t="s">
        <v>9</v>
      </c>
      <c r="D36" s="120" t="s">
        <v>225</v>
      </c>
      <c r="E36" s="114"/>
      <c r="I36" s="123"/>
      <c r="J36" s="119" t="s">
        <v>149</v>
      </c>
      <c r="K36" s="119" t="s">
        <v>9</v>
      </c>
      <c r="L36" s="120" t="s">
        <v>225</v>
      </c>
      <c r="M36" s="114"/>
      <c r="N36" s="119" t="s">
        <v>149</v>
      </c>
      <c r="O36" s="119" t="s">
        <v>9</v>
      </c>
      <c r="P36" s="120" t="s">
        <v>225</v>
      </c>
      <c r="Q36" s="114"/>
    </row>
    <row r="37" spans="1:26" ht="16.5" thickBot="1" x14ac:dyDescent="0.3">
      <c r="B37" s="117">
        <f>'Cost Format C_CLIN Summary'!D25</f>
        <v>1</v>
      </c>
      <c r="C37" s="117" t="str">
        <f>'Cost Format C_CLIN Summary'!E25</f>
        <v xml:space="preserve">LO </v>
      </c>
      <c r="D37" s="40"/>
      <c r="E37" s="122"/>
      <c r="I37" s="123"/>
      <c r="J37" s="117">
        <f>'Cost Format C_CLIN Summary'!D63</f>
        <v>1</v>
      </c>
      <c r="K37" s="117" t="str">
        <f>'Cost Format C_CLIN Summary'!E63</f>
        <v xml:space="preserve">LO </v>
      </c>
      <c r="L37" s="40"/>
      <c r="M37" s="122"/>
      <c r="N37" s="117">
        <f>'Cost Format C_CLIN Summary'!D82</f>
        <v>1</v>
      </c>
      <c r="O37" s="117" t="str">
        <f>'Cost Format C_CLIN Summary'!E82</f>
        <v xml:space="preserve">LO </v>
      </c>
      <c r="P37" s="40"/>
      <c r="Q37" s="122"/>
    </row>
    <row r="38" spans="1:26" x14ac:dyDescent="0.25">
      <c r="A38" s="38"/>
      <c r="B38" s="123"/>
      <c r="C38" s="123"/>
      <c r="D38" s="123"/>
      <c r="E38" s="123"/>
      <c r="G38" s="37"/>
      <c r="H38" s="37"/>
      <c r="I38" s="123"/>
      <c r="J38" s="123"/>
      <c r="K38" s="123"/>
      <c r="L38" s="123"/>
      <c r="M38" s="123"/>
      <c r="N38" s="123"/>
      <c r="O38" s="123"/>
      <c r="P38" s="123"/>
      <c r="Q38" s="123"/>
      <c r="R38" s="37"/>
      <c r="V38" s="37"/>
      <c r="Z38" s="3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A752F-4986-4651-B6FC-CFBC8488B4AA}">
  <sheetPr>
    <tabColor theme="9" tint="0.79998168889431442"/>
  </sheetPr>
  <dimension ref="A1:W71"/>
  <sheetViews>
    <sheetView workbookViewId="0">
      <selection activeCell="B2" sqref="B2:G7"/>
    </sheetView>
  </sheetViews>
  <sheetFormatPr defaultColWidth="15.85546875" defaultRowHeight="15.75" x14ac:dyDescent="0.25"/>
  <cols>
    <col min="1" max="1" width="3.42578125" style="33" customWidth="1"/>
    <col min="2" max="2" width="49.140625" style="37" customWidth="1"/>
    <col min="3" max="3" width="32.85546875" style="35" customWidth="1"/>
    <col min="4" max="4" width="28.85546875" style="35" customWidth="1"/>
    <col min="5" max="5" width="40.140625" style="35" customWidth="1"/>
    <col min="6" max="6" width="3.140625" style="35" customWidth="1"/>
    <col min="7" max="7" width="28.28515625" style="35" customWidth="1"/>
    <col min="8" max="8" width="25.42578125" style="35" customWidth="1"/>
    <col min="9" max="9" width="35.42578125" style="35" customWidth="1"/>
    <col min="10" max="11" width="3.140625" style="35" customWidth="1"/>
    <col min="12" max="12" width="45" style="35" bestFit="1" customWidth="1"/>
    <col min="13" max="13" width="28.28515625" style="35" customWidth="1"/>
    <col min="14" max="14" width="25.42578125" style="35" customWidth="1"/>
    <col min="15" max="15" width="35.42578125" style="35" customWidth="1"/>
    <col min="16" max="16" width="3.140625" style="35" customWidth="1"/>
    <col min="17" max="17" width="28.28515625" style="35" customWidth="1"/>
    <col min="18" max="18" width="25.42578125" style="35" customWidth="1"/>
    <col min="19" max="19" width="35.42578125" style="35" customWidth="1"/>
    <col min="20" max="20" width="3.140625" style="35" customWidth="1"/>
    <col min="21" max="21" width="28.28515625" style="35" customWidth="1"/>
    <col min="22" max="22" width="25.42578125" style="35" customWidth="1"/>
    <col min="23" max="23" width="35.42578125" style="35" customWidth="1"/>
    <col min="24" max="16384" width="15.85546875" style="35"/>
  </cols>
  <sheetData>
    <row r="1" spans="1:23" x14ac:dyDescent="0.2">
      <c r="B1" s="34" t="s">
        <v>147</v>
      </c>
    </row>
    <row r="2" spans="1:23" x14ac:dyDescent="0.25">
      <c r="A2" s="36"/>
      <c r="B2" s="153" t="s">
        <v>167</v>
      </c>
      <c r="C2" s="94"/>
      <c r="D2" s="94"/>
      <c r="E2" s="94"/>
      <c r="F2" s="94"/>
      <c r="G2" s="94"/>
      <c r="H2" s="94"/>
      <c r="I2" s="94"/>
      <c r="J2" s="94"/>
      <c r="K2" s="94"/>
      <c r="L2" s="94"/>
      <c r="M2" s="94"/>
      <c r="N2" s="94"/>
      <c r="O2" s="94"/>
      <c r="P2" s="94"/>
      <c r="Q2" s="94"/>
      <c r="R2" s="94"/>
      <c r="S2" s="94"/>
      <c r="T2" s="94"/>
      <c r="U2" s="94"/>
      <c r="V2" s="94"/>
      <c r="W2" s="94"/>
    </row>
    <row r="3" spans="1:23" x14ac:dyDescent="0.25">
      <c r="A3" s="36"/>
      <c r="B3" s="153" t="s">
        <v>355</v>
      </c>
      <c r="C3" s="94"/>
      <c r="D3" s="94"/>
      <c r="E3" s="94"/>
      <c r="F3" s="94"/>
      <c r="G3" s="94"/>
      <c r="H3" s="94"/>
      <c r="I3" s="94"/>
      <c r="J3" s="94"/>
      <c r="K3" s="94"/>
      <c r="L3" s="94"/>
      <c r="M3" s="94"/>
      <c r="N3" s="94"/>
      <c r="O3" s="94"/>
      <c r="P3" s="94"/>
      <c r="Q3" s="94"/>
      <c r="R3" s="94"/>
      <c r="S3" s="94"/>
      <c r="T3" s="94"/>
      <c r="U3" s="94"/>
      <c r="V3" s="94"/>
      <c r="W3" s="94"/>
    </row>
    <row r="4" spans="1:23" x14ac:dyDescent="0.25">
      <c r="A4" s="36"/>
      <c r="B4" s="153" t="s">
        <v>356</v>
      </c>
      <c r="C4" s="94"/>
      <c r="D4" s="94"/>
      <c r="E4" s="94"/>
      <c r="F4" s="94"/>
      <c r="G4" s="94"/>
      <c r="H4" s="94"/>
      <c r="I4" s="94"/>
      <c r="J4" s="94"/>
      <c r="K4" s="94"/>
      <c r="L4" s="94"/>
      <c r="M4" s="94"/>
      <c r="N4" s="94"/>
      <c r="O4" s="94"/>
      <c r="P4" s="94"/>
      <c r="Q4" s="94"/>
      <c r="R4" s="94"/>
      <c r="S4" s="94"/>
      <c r="T4" s="94"/>
      <c r="U4" s="94"/>
      <c r="V4" s="94"/>
      <c r="W4" s="94"/>
    </row>
    <row r="5" spans="1:23" x14ac:dyDescent="0.25">
      <c r="A5" s="36"/>
      <c r="B5" s="153" t="s">
        <v>357</v>
      </c>
      <c r="C5" s="94"/>
      <c r="D5" s="94"/>
      <c r="E5" s="94"/>
      <c r="F5" s="94"/>
      <c r="G5" s="94"/>
      <c r="H5" s="94"/>
      <c r="I5" s="94"/>
      <c r="J5" s="94"/>
      <c r="K5" s="94"/>
      <c r="L5" s="94"/>
      <c r="M5" s="94"/>
      <c r="N5" s="94"/>
      <c r="O5" s="94"/>
      <c r="P5" s="94"/>
      <c r="Q5" s="94"/>
      <c r="R5" s="94"/>
      <c r="S5" s="94"/>
      <c r="T5" s="94"/>
      <c r="U5" s="94"/>
      <c r="V5" s="94"/>
      <c r="W5" s="94"/>
    </row>
    <row r="6" spans="1:23" x14ac:dyDescent="0.25">
      <c r="A6" s="36"/>
      <c r="B6" s="153" t="s">
        <v>358</v>
      </c>
      <c r="C6" s="94"/>
      <c r="D6" s="94"/>
      <c r="E6" s="94"/>
      <c r="F6" s="94"/>
      <c r="G6" s="94"/>
      <c r="H6" s="94"/>
      <c r="I6" s="94"/>
      <c r="J6" s="94"/>
      <c r="K6" s="94"/>
      <c r="L6" s="94"/>
      <c r="M6" s="94"/>
      <c r="N6" s="94"/>
      <c r="O6" s="94"/>
      <c r="P6" s="94"/>
      <c r="Q6" s="94"/>
      <c r="R6" s="94"/>
      <c r="S6" s="94"/>
      <c r="T6" s="94"/>
      <c r="U6" s="94"/>
      <c r="V6" s="94"/>
      <c r="W6" s="94"/>
    </row>
    <row r="7" spans="1:23" x14ac:dyDescent="0.25">
      <c r="A7" s="36"/>
      <c r="B7" s="153" t="s">
        <v>274</v>
      </c>
      <c r="C7" s="94"/>
      <c r="D7" s="94"/>
      <c r="E7" s="94"/>
      <c r="F7" s="94"/>
      <c r="G7" s="94"/>
      <c r="H7" s="94"/>
      <c r="I7" s="94"/>
      <c r="J7" s="94"/>
      <c r="K7" s="94"/>
      <c r="L7" s="94"/>
      <c r="M7" s="94"/>
      <c r="N7" s="94"/>
      <c r="O7" s="94"/>
      <c r="P7" s="94"/>
      <c r="Q7" s="94"/>
      <c r="R7" s="94"/>
      <c r="S7" s="94"/>
      <c r="T7" s="94"/>
      <c r="U7" s="94"/>
      <c r="V7" s="94"/>
      <c r="W7" s="94"/>
    </row>
    <row r="9" spans="1:23" ht="16.5" thickBot="1" x14ac:dyDescent="0.3"/>
    <row r="10" spans="1:23" ht="16.5" thickBot="1" x14ac:dyDescent="0.3">
      <c r="A10" s="38"/>
      <c r="B10" s="189" t="s">
        <v>275</v>
      </c>
      <c r="C10" s="186" t="s">
        <v>170</v>
      </c>
      <c r="D10" s="187"/>
      <c r="E10" s="188"/>
      <c r="F10" s="95"/>
      <c r="G10" s="186" t="s">
        <v>170</v>
      </c>
      <c r="H10" s="187"/>
      <c r="I10" s="188"/>
      <c r="J10" s="95"/>
      <c r="K10" s="95"/>
      <c r="L10" s="189" t="s">
        <v>276</v>
      </c>
      <c r="M10" s="186" t="s">
        <v>170</v>
      </c>
      <c r="N10" s="187"/>
      <c r="O10" s="188"/>
      <c r="P10" s="95"/>
      <c r="Q10" s="186" t="s">
        <v>170</v>
      </c>
      <c r="R10" s="187"/>
      <c r="S10" s="188"/>
      <c r="T10" s="95"/>
      <c r="U10" s="186" t="s">
        <v>170</v>
      </c>
      <c r="V10" s="187"/>
      <c r="W10" s="188"/>
    </row>
    <row r="11" spans="1:23" ht="16.5" thickBot="1" x14ac:dyDescent="0.3">
      <c r="A11" s="38"/>
      <c r="B11" s="190"/>
      <c r="C11" s="129" t="s">
        <v>248</v>
      </c>
      <c r="D11" s="130"/>
      <c r="E11" s="131"/>
      <c r="F11" s="96"/>
      <c r="G11" s="132" t="s">
        <v>249</v>
      </c>
      <c r="H11" s="133"/>
      <c r="I11" s="134"/>
      <c r="J11" s="96"/>
      <c r="K11" s="96"/>
      <c r="L11" s="190"/>
      <c r="M11" s="132" t="s">
        <v>250</v>
      </c>
      <c r="N11" s="133"/>
      <c r="O11" s="134"/>
      <c r="P11" s="96"/>
      <c r="Q11" s="132" t="s">
        <v>251</v>
      </c>
      <c r="R11" s="133"/>
      <c r="S11" s="134"/>
      <c r="T11" s="96"/>
      <c r="U11" s="132" t="s">
        <v>252</v>
      </c>
      <c r="V11" s="133"/>
      <c r="W11" s="134"/>
    </row>
    <row r="12" spans="1:23" x14ac:dyDescent="0.25">
      <c r="A12" s="38"/>
      <c r="B12" s="56" t="s">
        <v>157</v>
      </c>
      <c r="C12" s="56" t="s">
        <v>171</v>
      </c>
      <c r="D12" s="57" t="s">
        <v>172</v>
      </c>
      <c r="E12" s="58" t="s">
        <v>10</v>
      </c>
      <c r="F12" s="97"/>
      <c r="G12" s="56" t="s">
        <v>171</v>
      </c>
      <c r="H12" s="57" t="s">
        <v>172</v>
      </c>
      <c r="I12" s="58" t="s">
        <v>10</v>
      </c>
      <c r="J12" s="97"/>
      <c r="K12" s="97"/>
      <c r="L12" s="56" t="s">
        <v>157</v>
      </c>
      <c r="M12" s="56" t="s">
        <v>171</v>
      </c>
      <c r="N12" s="57" t="s">
        <v>172</v>
      </c>
      <c r="O12" s="58" t="s">
        <v>10</v>
      </c>
      <c r="P12" s="97"/>
      <c r="Q12" s="56" t="s">
        <v>171</v>
      </c>
      <c r="R12" s="57" t="s">
        <v>172</v>
      </c>
      <c r="S12" s="58" t="s">
        <v>10</v>
      </c>
      <c r="T12" s="97"/>
      <c r="U12" s="56" t="s">
        <v>171</v>
      </c>
      <c r="V12" s="57" t="s">
        <v>172</v>
      </c>
      <c r="W12" s="58" t="s">
        <v>10</v>
      </c>
    </row>
    <row r="13" spans="1:23" x14ac:dyDescent="0.25">
      <c r="A13" s="38"/>
      <c r="B13" s="59" t="s">
        <v>184</v>
      </c>
      <c r="C13" s="60"/>
      <c r="D13" s="61">
        <v>0</v>
      </c>
      <c r="E13" s="62">
        <f>+C13*D13</f>
        <v>0</v>
      </c>
      <c r="F13" s="98"/>
      <c r="G13" s="60"/>
      <c r="H13" s="61">
        <v>0</v>
      </c>
      <c r="I13" s="62">
        <f>+G13*H13</f>
        <v>0</v>
      </c>
      <c r="J13" s="98"/>
      <c r="K13" s="98"/>
      <c r="L13" s="151" t="s">
        <v>184</v>
      </c>
      <c r="M13" s="60"/>
      <c r="N13" s="61">
        <v>0</v>
      </c>
      <c r="O13" s="62">
        <f>+M13*N13</f>
        <v>0</v>
      </c>
      <c r="P13" s="98"/>
      <c r="Q13" s="60"/>
      <c r="R13" s="61">
        <v>0</v>
      </c>
      <c r="S13" s="62">
        <f>+Q13*R13</f>
        <v>0</v>
      </c>
      <c r="T13" s="98"/>
      <c r="U13" s="60"/>
      <c r="V13" s="61">
        <v>0</v>
      </c>
      <c r="W13" s="62">
        <f>+U13*V13</f>
        <v>0</v>
      </c>
    </row>
    <row r="14" spans="1:23" x14ac:dyDescent="0.25">
      <c r="A14" s="38"/>
      <c r="B14" s="59" t="s">
        <v>185</v>
      </c>
      <c r="C14" s="60"/>
      <c r="D14" s="61">
        <v>0</v>
      </c>
      <c r="E14" s="62">
        <f t="shared" ref="E14:E25" si="0">+C14*D14</f>
        <v>0</v>
      </c>
      <c r="F14" s="98"/>
      <c r="G14" s="60"/>
      <c r="H14" s="61">
        <v>0</v>
      </c>
      <c r="I14" s="62">
        <f t="shared" ref="I14:I25" si="1">+G14*H14</f>
        <v>0</v>
      </c>
      <c r="J14" s="98"/>
      <c r="K14" s="98"/>
      <c r="L14" s="59" t="s">
        <v>185</v>
      </c>
      <c r="M14" s="60"/>
      <c r="N14" s="61">
        <v>0</v>
      </c>
      <c r="O14" s="62">
        <f t="shared" ref="O14:O25" si="2">+M14*N14</f>
        <v>0</v>
      </c>
      <c r="P14" s="98"/>
      <c r="Q14" s="60"/>
      <c r="R14" s="61">
        <v>0</v>
      </c>
      <c r="S14" s="62">
        <f t="shared" ref="S14:S25" si="3">+Q14*R14</f>
        <v>0</v>
      </c>
      <c r="T14" s="98"/>
      <c r="U14" s="60"/>
      <c r="V14" s="61">
        <v>0</v>
      </c>
      <c r="W14" s="62">
        <f t="shared" ref="W14:W25" si="4">+U14*V14</f>
        <v>0</v>
      </c>
    </row>
    <row r="15" spans="1:23" x14ac:dyDescent="0.25">
      <c r="A15" s="38"/>
      <c r="B15" s="59" t="s">
        <v>186</v>
      </c>
      <c r="C15" s="60"/>
      <c r="D15" s="61">
        <v>0</v>
      </c>
      <c r="E15" s="62">
        <f t="shared" si="0"/>
        <v>0</v>
      </c>
      <c r="F15" s="98"/>
      <c r="G15" s="60"/>
      <c r="H15" s="61">
        <v>0</v>
      </c>
      <c r="I15" s="62">
        <f t="shared" si="1"/>
        <v>0</v>
      </c>
      <c r="J15" s="98"/>
      <c r="K15" s="98"/>
      <c r="L15" s="59" t="s">
        <v>186</v>
      </c>
      <c r="M15" s="60"/>
      <c r="N15" s="61">
        <v>0</v>
      </c>
      <c r="O15" s="62">
        <f t="shared" si="2"/>
        <v>0</v>
      </c>
      <c r="P15" s="98"/>
      <c r="Q15" s="60"/>
      <c r="R15" s="61">
        <v>0</v>
      </c>
      <c r="S15" s="62">
        <f t="shared" si="3"/>
        <v>0</v>
      </c>
      <c r="T15" s="98"/>
      <c r="U15" s="60"/>
      <c r="V15" s="61">
        <v>0</v>
      </c>
      <c r="W15" s="62">
        <f t="shared" si="4"/>
        <v>0</v>
      </c>
    </row>
    <row r="16" spans="1:23" x14ac:dyDescent="0.25">
      <c r="A16" s="38"/>
      <c r="B16" s="59" t="s">
        <v>187</v>
      </c>
      <c r="C16" s="60"/>
      <c r="D16" s="61">
        <v>0</v>
      </c>
      <c r="E16" s="62">
        <f t="shared" si="0"/>
        <v>0</v>
      </c>
      <c r="F16" s="98"/>
      <c r="G16" s="60"/>
      <c r="H16" s="61">
        <v>0</v>
      </c>
      <c r="I16" s="62">
        <f t="shared" si="1"/>
        <v>0</v>
      </c>
      <c r="J16" s="98"/>
      <c r="K16" s="98"/>
      <c r="L16" s="59" t="s">
        <v>187</v>
      </c>
      <c r="M16" s="60"/>
      <c r="N16" s="61">
        <v>0</v>
      </c>
      <c r="O16" s="62">
        <f t="shared" si="2"/>
        <v>0</v>
      </c>
      <c r="P16" s="98"/>
      <c r="Q16" s="60"/>
      <c r="R16" s="61">
        <v>0</v>
      </c>
      <c r="S16" s="62">
        <f t="shared" si="3"/>
        <v>0</v>
      </c>
      <c r="T16" s="98"/>
      <c r="U16" s="60"/>
      <c r="V16" s="61">
        <v>0</v>
      </c>
      <c r="W16" s="62">
        <f t="shared" si="4"/>
        <v>0</v>
      </c>
    </row>
    <row r="17" spans="1:23" x14ac:dyDescent="0.25">
      <c r="A17" s="38"/>
      <c r="B17" s="59" t="s">
        <v>188</v>
      </c>
      <c r="C17" s="60"/>
      <c r="D17" s="61">
        <v>0</v>
      </c>
      <c r="E17" s="62">
        <f t="shared" si="0"/>
        <v>0</v>
      </c>
      <c r="F17" s="98"/>
      <c r="G17" s="60"/>
      <c r="H17" s="61">
        <v>0</v>
      </c>
      <c r="I17" s="62">
        <f t="shared" si="1"/>
        <v>0</v>
      </c>
      <c r="J17" s="98"/>
      <c r="K17" s="98"/>
      <c r="L17" s="59" t="s">
        <v>188</v>
      </c>
      <c r="M17" s="60"/>
      <c r="N17" s="61">
        <v>0</v>
      </c>
      <c r="O17" s="62">
        <f t="shared" si="2"/>
        <v>0</v>
      </c>
      <c r="P17" s="98"/>
      <c r="Q17" s="60"/>
      <c r="R17" s="61">
        <v>0</v>
      </c>
      <c r="S17" s="62">
        <f t="shared" si="3"/>
        <v>0</v>
      </c>
      <c r="T17" s="98"/>
      <c r="U17" s="60"/>
      <c r="V17" s="61">
        <v>0</v>
      </c>
      <c r="W17" s="62">
        <f t="shared" si="4"/>
        <v>0</v>
      </c>
    </row>
    <row r="18" spans="1:23" x14ac:dyDescent="0.25">
      <c r="A18" s="38"/>
      <c r="B18" s="59" t="s">
        <v>189</v>
      </c>
      <c r="C18" s="60"/>
      <c r="D18" s="61">
        <v>0</v>
      </c>
      <c r="E18" s="62">
        <f t="shared" si="0"/>
        <v>0</v>
      </c>
      <c r="F18" s="98"/>
      <c r="G18" s="60"/>
      <c r="H18" s="61">
        <v>0</v>
      </c>
      <c r="I18" s="62">
        <f t="shared" si="1"/>
        <v>0</v>
      </c>
      <c r="J18" s="98"/>
      <c r="K18" s="98"/>
      <c r="L18" s="59" t="s">
        <v>189</v>
      </c>
      <c r="M18" s="60"/>
      <c r="N18" s="61">
        <v>0</v>
      </c>
      <c r="O18" s="62">
        <f t="shared" si="2"/>
        <v>0</v>
      </c>
      <c r="P18" s="98"/>
      <c r="Q18" s="60"/>
      <c r="R18" s="61">
        <v>0</v>
      </c>
      <c r="S18" s="62">
        <f t="shared" si="3"/>
        <v>0</v>
      </c>
      <c r="T18" s="98"/>
      <c r="U18" s="60"/>
      <c r="V18" s="61">
        <v>0</v>
      </c>
      <c r="W18" s="62">
        <f t="shared" si="4"/>
        <v>0</v>
      </c>
    </row>
    <row r="19" spans="1:23" x14ac:dyDescent="0.25">
      <c r="A19" s="38"/>
      <c r="B19" s="59" t="s">
        <v>190</v>
      </c>
      <c r="C19" s="60"/>
      <c r="D19" s="61">
        <v>0</v>
      </c>
      <c r="E19" s="62">
        <f t="shared" si="0"/>
        <v>0</v>
      </c>
      <c r="F19" s="98"/>
      <c r="G19" s="60"/>
      <c r="H19" s="61">
        <v>0</v>
      </c>
      <c r="I19" s="62">
        <f t="shared" si="1"/>
        <v>0</v>
      </c>
      <c r="J19" s="98"/>
      <c r="K19" s="98"/>
      <c r="L19" s="59" t="s">
        <v>190</v>
      </c>
      <c r="M19" s="60"/>
      <c r="N19" s="61">
        <v>0</v>
      </c>
      <c r="O19" s="62">
        <f t="shared" si="2"/>
        <v>0</v>
      </c>
      <c r="P19" s="98"/>
      <c r="Q19" s="60"/>
      <c r="R19" s="61">
        <v>0</v>
      </c>
      <c r="S19" s="62">
        <f t="shared" si="3"/>
        <v>0</v>
      </c>
      <c r="T19" s="98"/>
      <c r="U19" s="60"/>
      <c r="V19" s="61">
        <v>0</v>
      </c>
      <c r="W19" s="62">
        <f t="shared" si="4"/>
        <v>0</v>
      </c>
    </row>
    <row r="20" spans="1:23" x14ac:dyDescent="0.25">
      <c r="A20" s="38"/>
      <c r="B20" s="59" t="s">
        <v>191</v>
      </c>
      <c r="C20" s="60"/>
      <c r="D20" s="61">
        <v>0</v>
      </c>
      <c r="E20" s="62">
        <f t="shared" si="0"/>
        <v>0</v>
      </c>
      <c r="F20" s="98"/>
      <c r="G20" s="60"/>
      <c r="H20" s="61">
        <v>0</v>
      </c>
      <c r="I20" s="62">
        <f t="shared" si="1"/>
        <v>0</v>
      </c>
      <c r="J20" s="98"/>
      <c r="K20" s="98"/>
      <c r="L20" s="59" t="s">
        <v>191</v>
      </c>
      <c r="M20" s="60"/>
      <c r="N20" s="61">
        <v>0</v>
      </c>
      <c r="O20" s="62">
        <f t="shared" si="2"/>
        <v>0</v>
      </c>
      <c r="P20" s="98"/>
      <c r="Q20" s="60"/>
      <c r="R20" s="61">
        <v>0</v>
      </c>
      <c r="S20" s="62">
        <f t="shared" si="3"/>
        <v>0</v>
      </c>
      <c r="T20" s="98"/>
      <c r="U20" s="60"/>
      <c r="V20" s="61">
        <v>0</v>
      </c>
      <c r="W20" s="62">
        <f t="shared" si="4"/>
        <v>0</v>
      </c>
    </row>
    <row r="21" spans="1:23" x14ac:dyDescent="0.25">
      <c r="A21" s="38"/>
      <c r="B21" s="59" t="s">
        <v>192</v>
      </c>
      <c r="C21" s="60"/>
      <c r="D21" s="61">
        <v>0</v>
      </c>
      <c r="E21" s="62">
        <f t="shared" si="0"/>
        <v>0</v>
      </c>
      <c r="F21" s="98"/>
      <c r="G21" s="60"/>
      <c r="H21" s="61">
        <v>0</v>
      </c>
      <c r="I21" s="62">
        <f t="shared" si="1"/>
        <v>0</v>
      </c>
      <c r="J21" s="98"/>
      <c r="K21" s="98"/>
      <c r="L21" s="59" t="s">
        <v>192</v>
      </c>
      <c r="M21" s="60"/>
      <c r="N21" s="61">
        <v>0</v>
      </c>
      <c r="O21" s="62">
        <f t="shared" si="2"/>
        <v>0</v>
      </c>
      <c r="P21" s="98"/>
      <c r="Q21" s="60"/>
      <c r="R21" s="61">
        <v>0</v>
      </c>
      <c r="S21" s="62">
        <f t="shared" si="3"/>
        <v>0</v>
      </c>
      <c r="T21" s="98"/>
      <c r="U21" s="60"/>
      <c r="V21" s="61">
        <v>0</v>
      </c>
      <c r="W21" s="62">
        <f t="shared" si="4"/>
        <v>0</v>
      </c>
    </row>
    <row r="22" spans="1:23" ht="15" customHeight="1" x14ac:dyDescent="0.25">
      <c r="A22" s="38"/>
      <c r="B22" s="59" t="s">
        <v>193</v>
      </c>
      <c r="C22" s="60"/>
      <c r="D22" s="61">
        <v>0</v>
      </c>
      <c r="E22" s="62">
        <f t="shared" si="0"/>
        <v>0</v>
      </c>
      <c r="F22" s="98"/>
      <c r="G22" s="60"/>
      <c r="H22" s="61">
        <v>0</v>
      </c>
      <c r="I22" s="62">
        <f t="shared" si="1"/>
        <v>0</v>
      </c>
      <c r="J22" s="98"/>
      <c r="K22" s="98"/>
      <c r="L22" s="59" t="s">
        <v>193</v>
      </c>
      <c r="M22" s="60"/>
      <c r="N22" s="61">
        <v>0</v>
      </c>
      <c r="O22" s="62">
        <f t="shared" si="2"/>
        <v>0</v>
      </c>
      <c r="P22" s="98"/>
      <c r="Q22" s="60"/>
      <c r="R22" s="61">
        <v>0</v>
      </c>
      <c r="S22" s="62">
        <f t="shared" si="3"/>
        <v>0</v>
      </c>
      <c r="T22" s="98"/>
      <c r="U22" s="60"/>
      <c r="V22" s="61">
        <v>0</v>
      </c>
      <c r="W22" s="62">
        <f t="shared" si="4"/>
        <v>0</v>
      </c>
    </row>
    <row r="23" spans="1:23" ht="15" customHeight="1" x14ac:dyDescent="0.25">
      <c r="A23" s="38"/>
      <c r="B23" s="59" t="s">
        <v>194</v>
      </c>
      <c r="C23" s="60"/>
      <c r="D23" s="61">
        <v>0</v>
      </c>
      <c r="E23" s="62">
        <f t="shared" si="0"/>
        <v>0</v>
      </c>
      <c r="F23" s="98"/>
      <c r="G23" s="60"/>
      <c r="H23" s="61">
        <v>0</v>
      </c>
      <c r="I23" s="62">
        <f t="shared" si="1"/>
        <v>0</v>
      </c>
      <c r="J23" s="98"/>
      <c r="K23" s="98"/>
      <c r="L23" s="59" t="s">
        <v>194</v>
      </c>
      <c r="M23" s="60"/>
      <c r="N23" s="61">
        <v>0</v>
      </c>
      <c r="O23" s="62">
        <f t="shared" si="2"/>
        <v>0</v>
      </c>
      <c r="P23" s="98"/>
      <c r="Q23" s="60"/>
      <c r="R23" s="61">
        <v>0</v>
      </c>
      <c r="S23" s="62">
        <f t="shared" si="3"/>
        <v>0</v>
      </c>
      <c r="T23" s="98"/>
      <c r="U23" s="60"/>
      <c r="V23" s="61">
        <v>0</v>
      </c>
      <c r="W23" s="62">
        <f t="shared" si="4"/>
        <v>0</v>
      </c>
    </row>
    <row r="24" spans="1:23" ht="15" customHeight="1" x14ac:dyDescent="0.25">
      <c r="A24" s="38"/>
      <c r="B24" s="59" t="s">
        <v>195</v>
      </c>
      <c r="C24" s="60"/>
      <c r="D24" s="61">
        <v>0</v>
      </c>
      <c r="E24" s="62">
        <f t="shared" si="0"/>
        <v>0</v>
      </c>
      <c r="F24" s="98"/>
      <c r="G24" s="60"/>
      <c r="H24" s="61">
        <v>0</v>
      </c>
      <c r="I24" s="62">
        <f t="shared" si="1"/>
        <v>0</v>
      </c>
      <c r="J24" s="98"/>
      <c r="K24" s="98"/>
      <c r="L24" s="59" t="s">
        <v>195</v>
      </c>
      <c r="M24" s="60"/>
      <c r="N24" s="61">
        <v>0</v>
      </c>
      <c r="O24" s="62">
        <f t="shared" si="2"/>
        <v>0</v>
      </c>
      <c r="P24" s="98"/>
      <c r="Q24" s="60"/>
      <c r="R24" s="61">
        <v>0</v>
      </c>
      <c r="S24" s="62">
        <f t="shared" si="3"/>
        <v>0</v>
      </c>
      <c r="T24" s="98"/>
      <c r="U24" s="60"/>
      <c r="V24" s="61">
        <v>0</v>
      </c>
      <c r="W24" s="62">
        <f t="shared" si="4"/>
        <v>0</v>
      </c>
    </row>
    <row r="25" spans="1:23" ht="15" customHeight="1" thickBot="1" x14ac:dyDescent="0.3">
      <c r="A25" s="38"/>
      <c r="B25" s="59" t="s">
        <v>196</v>
      </c>
      <c r="C25" s="63"/>
      <c r="D25" s="39">
        <v>0</v>
      </c>
      <c r="E25" s="64">
        <f t="shared" si="0"/>
        <v>0</v>
      </c>
      <c r="F25" s="99"/>
      <c r="G25" s="63"/>
      <c r="H25" s="39">
        <v>0</v>
      </c>
      <c r="I25" s="64">
        <f t="shared" si="1"/>
        <v>0</v>
      </c>
      <c r="J25" s="99"/>
      <c r="K25" s="99"/>
      <c r="L25" s="59" t="s">
        <v>196</v>
      </c>
      <c r="M25" s="63"/>
      <c r="N25" s="39">
        <v>0</v>
      </c>
      <c r="O25" s="64">
        <f t="shared" si="2"/>
        <v>0</v>
      </c>
      <c r="P25" s="99"/>
      <c r="Q25" s="63"/>
      <c r="R25" s="39">
        <v>0</v>
      </c>
      <c r="S25" s="64">
        <f t="shared" si="3"/>
        <v>0</v>
      </c>
      <c r="T25" s="99"/>
      <c r="U25" s="63"/>
      <c r="V25" s="39">
        <v>0</v>
      </c>
      <c r="W25" s="64">
        <f t="shared" si="4"/>
        <v>0</v>
      </c>
    </row>
    <row r="26" spans="1:23" ht="16.5" thickBot="1" x14ac:dyDescent="0.3">
      <c r="A26" s="38"/>
      <c r="B26" s="113" t="s">
        <v>173</v>
      </c>
      <c r="C26" s="65">
        <f>SUM(C13:C25)</f>
        <v>0</v>
      </c>
      <c r="D26" s="66"/>
      <c r="E26" s="67">
        <f>SUM(E13:E25)</f>
        <v>0</v>
      </c>
      <c r="F26" s="100"/>
      <c r="G26" s="65">
        <f>SUM(G13:G25)</f>
        <v>0</v>
      </c>
      <c r="H26" s="66"/>
      <c r="I26" s="67">
        <f>SUM(I13:I25)</f>
        <v>0</v>
      </c>
      <c r="J26" s="100"/>
      <c r="K26" s="100"/>
      <c r="L26" s="113" t="s">
        <v>173</v>
      </c>
      <c r="M26" s="65">
        <f>SUM(M13:M25)</f>
        <v>0</v>
      </c>
      <c r="N26" s="66"/>
      <c r="O26" s="67">
        <f>SUM(O13:O25)</f>
        <v>0</v>
      </c>
      <c r="P26" s="100"/>
      <c r="Q26" s="65">
        <f>SUM(Q13:Q25)</f>
        <v>0</v>
      </c>
      <c r="R26" s="66"/>
      <c r="S26" s="67">
        <f>SUM(S13:S25)</f>
        <v>0</v>
      </c>
      <c r="T26" s="100"/>
      <c r="U26" s="65">
        <f>SUM(U13:U25)</f>
        <v>0</v>
      </c>
      <c r="V26" s="66"/>
      <c r="W26" s="67">
        <f>SUM(W13:W25)</f>
        <v>0</v>
      </c>
    </row>
    <row r="27" spans="1:23" x14ac:dyDescent="0.25">
      <c r="A27" s="38"/>
      <c r="B27" s="68"/>
      <c r="C27" s="56" t="s">
        <v>174</v>
      </c>
      <c r="D27" s="57" t="s">
        <v>172</v>
      </c>
      <c r="E27" s="58" t="s">
        <v>10</v>
      </c>
      <c r="F27" s="101"/>
      <c r="G27" s="56" t="s">
        <v>174</v>
      </c>
      <c r="H27" s="57" t="s">
        <v>172</v>
      </c>
      <c r="I27" s="58" t="s">
        <v>10</v>
      </c>
      <c r="J27" s="101"/>
      <c r="K27" s="101"/>
      <c r="L27" s="68"/>
      <c r="M27" s="56" t="s">
        <v>174</v>
      </c>
      <c r="N27" s="57" t="s">
        <v>172</v>
      </c>
      <c r="O27" s="58" t="s">
        <v>10</v>
      </c>
      <c r="P27" s="101"/>
      <c r="Q27" s="56" t="s">
        <v>174</v>
      </c>
      <c r="R27" s="57" t="s">
        <v>172</v>
      </c>
      <c r="S27" s="58" t="s">
        <v>10</v>
      </c>
      <c r="T27" s="101"/>
      <c r="U27" s="56" t="s">
        <v>174</v>
      </c>
      <c r="V27" s="57" t="s">
        <v>172</v>
      </c>
      <c r="W27" s="58" t="s">
        <v>10</v>
      </c>
    </row>
    <row r="28" spans="1:23" x14ac:dyDescent="0.25">
      <c r="A28" s="38"/>
      <c r="B28" s="51" t="s">
        <v>160</v>
      </c>
      <c r="C28" s="69">
        <f>+E26</f>
        <v>0</v>
      </c>
      <c r="D28" s="70">
        <v>0</v>
      </c>
      <c r="E28" s="71">
        <f>+C28*D28</f>
        <v>0</v>
      </c>
      <c r="F28" s="100"/>
      <c r="G28" s="69">
        <f>+I26</f>
        <v>0</v>
      </c>
      <c r="H28" s="70">
        <v>0</v>
      </c>
      <c r="I28" s="71">
        <f>+G28*H28</f>
        <v>0</v>
      </c>
      <c r="J28" s="100"/>
      <c r="K28" s="100"/>
      <c r="L28" s="51" t="s">
        <v>269</v>
      </c>
      <c r="M28" s="69">
        <f>+O26</f>
        <v>0</v>
      </c>
      <c r="N28" s="70">
        <v>0</v>
      </c>
      <c r="O28" s="71">
        <f>+M28*N28</f>
        <v>0</v>
      </c>
      <c r="P28" s="100"/>
      <c r="Q28" s="69">
        <f>+S26</f>
        <v>0</v>
      </c>
      <c r="R28" s="70">
        <v>0</v>
      </c>
      <c r="S28" s="71">
        <f>+Q28*R28</f>
        <v>0</v>
      </c>
      <c r="T28" s="100"/>
      <c r="U28" s="69">
        <f>+W26</f>
        <v>0</v>
      </c>
      <c r="V28" s="70">
        <v>0</v>
      </c>
      <c r="W28" s="71">
        <f>+U28*V28</f>
        <v>0</v>
      </c>
    </row>
    <row r="29" spans="1:23" x14ac:dyDescent="0.25">
      <c r="A29" s="38"/>
      <c r="B29" s="51" t="s">
        <v>161</v>
      </c>
      <c r="C29" s="69">
        <f>+C28+E28</f>
        <v>0</v>
      </c>
      <c r="D29" s="70">
        <v>0</v>
      </c>
      <c r="E29" s="71">
        <f>+C29*D29</f>
        <v>0</v>
      </c>
      <c r="F29" s="100"/>
      <c r="G29" s="69">
        <f>+G28+I28</f>
        <v>0</v>
      </c>
      <c r="H29" s="70">
        <v>0</v>
      </c>
      <c r="I29" s="71">
        <f>+G29*H29</f>
        <v>0</v>
      </c>
      <c r="J29" s="100"/>
      <c r="K29" s="100"/>
      <c r="L29" s="51" t="s">
        <v>161</v>
      </c>
      <c r="M29" s="69">
        <f>+M28+O28</f>
        <v>0</v>
      </c>
      <c r="N29" s="70">
        <v>0</v>
      </c>
      <c r="O29" s="71">
        <f>+M29*N29</f>
        <v>0</v>
      </c>
      <c r="P29" s="100"/>
      <c r="Q29" s="69">
        <f>+Q28+S28</f>
        <v>0</v>
      </c>
      <c r="R29" s="70">
        <v>0</v>
      </c>
      <c r="S29" s="71">
        <f>+Q29*R29</f>
        <v>0</v>
      </c>
      <c r="T29" s="100"/>
      <c r="U29" s="69">
        <f>+U28+W28</f>
        <v>0</v>
      </c>
      <c r="V29" s="70">
        <v>0</v>
      </c>
      <c r="W29" s="71">
        <f>+U29*V29</f>
        <v>0</v>
      </c>
    </row>
    <row r="30" spans="1:23" x14ac:dyDescent="0.25">
      <c r="A30" s="38"/>
      <c r="B30" s="51" t="s">
        <v>162</v>
      </c>
      <c r="C30" s="69">
        <f>+C29+E29</f>
        <v>0</v>
      </c>
      <c r="D30" s="70">
        <v>0</v>
      </c>
      <c r="E30" s="71">
        <f>+C30*D30</f>
        <v>0</v>
      </c>
      <c r="F30" s="100"/>
      <c r="G30" s="69">
        <f>+G29+I29</f>
        <v>0</v>
      </c>
      <c r="H30" s="70">
        <v>0</v>
      </c>
      <c r="I30" s="71">
        <f>+G30*H30</f>
        <v>0</v>
      </c>
      <c r="J30" s="100"/>
      <c r="K30" s="100"/>
      <c r="L30" s="51" t="s">
        <v>162</v>
      </c>
      <c r="M30" s="69">
        <f>+M29+O29</f>
        <v>0</v>
      </c>
      <c r="N30" s="70">
        <v>0</v>
      </c>
      <c r="O30" s="71">
        <f>+M30*N30</f>
        <v>0</v>
      </c>
      <c r="P30" s="100"/>
      <c r="Q30" s="69">
        <f>+Q29+S29</f>
        <v>0</v>
      </c>
      <c r="R30" s="70">
        <v>0</v>
      </c>
      <c r="S30" s="71">
        <f>+Q30*R30</f>
        <v>0</v>
      </c>
      <c r="T30" s="100"/>
      <c r="U30" s="69">
        <f>+U29+W29</f>
        <v>0</v>
      </c>
      <c r="V30" s="70">
        <v>0</v>
      </c>
      <c r="W30" s="71">
        <f>+U30*V30</f>
        <v>0</v>
      </c>
    </row>
    <row r="31" spans="1:23" x14ac:dyDescent="0.25">
      <c r="A31" s="38"/>
      <c r="B31" s="51" t="s">
        <v>163</v>
      </c>
      <c r="C31" s="69">
        <f>+C28</f>
        <v>0</v>
      </c>
      <c r="D31" s="70">
        <v>0</v>
      </c>
      <c r="E31" s="71">
        <f>+C31*D31</f>
        <v>0</v>
      </c>
      <c r="F31" s="100"/>
      <c r="G31" s="69">
        <f>+G28</f>
        <v>0</v>
      </c>
      <c r="H31" s="70">
        <v>0</v>
      </c>
      <c r="I31" s="71">
        <f>+G31*H31</f>
        <v>0</v>
      </c>
      <c r="J31" s="100"/>
      <c r="K31" s="100"/>
      <c r="L31" s="51" t="s">
        <v>163</v>
      </c>
      <c r="M31" s="69">
        <f>+M28</f>
        <v>0</v>
      </c>
      <c r="N31" s="70">
        <v>0</v>
      </c>
      <c r="O31" s="71">
        <f>+M31*N31</f>
        <v>0</v>
      </c>
      <c r="P31" s="100"/>
      <c r="Q31" s="69">
        <f>+Q28</f>
        <v>0</v>
      </c>
      <c r="R31" s="70">
        <v>0</v>
      </c>
      <c r="S31" s="71">
        <f>+Q31*R31</f>
        <v>0</v>
      </c>
      <c r="T31" s="100"/>
      <c r="U31" s="69">
        <f>+U28</f>
        <v>0</v>
      </c>
      <c r="V31" s="70">
        <v>0</v>
      </c>
      <c r="W31" s="71">
        <f>+U31*V31</f>
        <v>0</v>
      </c>
    </row>
    <row r="32" spans="1:23" x14ac:dyDescent="0.25">
      <c r="A32" s="38"/>
      <c r="B32" s="51" t="s">
        <v>164</v>
      </c>
      <c r="C32" s="69">
        <f>+C30+E30</f>
        <v>0</v>
      </c>
      <c r="D32" s="70">
        <v>0</v>
      </c>
      <c r="E32" s="71">
        <f>+C32*D32</f>
        <v>0</v>
      </c>
      <c r="F32" s="100"/>
      <c r="G32" s="69">
        <f>+G30+I30</f>
        <v>0</v>
      </c>
      <c r="H32" s="70">
        <v>0</v>
      </c>
      <c r="I32" s="71">
        <f>+G32*H32</f>
        <v>0</v>
      </c>
      <c r="J32" s="100"/>
      <c r="K32" s="100"/>
      <c r="L32" s="51" t="s">
        <v>164</v>
      </c>
      <c r="M32" s="69">
        <f>+M30+O30</f>
        <v>0</v>
      </c>
      <c r="N32" s="70">
        <v>0</v>
      </c>
      <c r="O32" s="71">
        <f>+M32*N32</f>
        <v>0</v>
      </c>
      <c r="P32" s="100"/>
      <c r="Q32" s="69">
        <f>+Q30+S30</f>
        <v>0</v>
      </c>
      <c r="R32" s="70">
        <v>0</v>
      </c>
      <c r="S32" s="71">
        <f>+Q32*R32</f>
        <v>0</v>
      </c>
      <c r="T32" s="100"/>
      <c r="U32" s="69">
        <f>+U30+W30</f>
        <v>0</v>
      </c>
      <c r="V32" s="70">
        <v>0</v>
      </c>
      <c r="W32" s="71">
        <f>+U32*V32</f>
        <v>0</v>
      </c>
    </row>
    <row r="33" spans="1:23" x14ac:dyDescent="0.25">
      <c r="A33" s="38"/>
      <c r="B33" s="51" t="s">
        <v>175</v>
      </c>
      <c r="C33" s="72"/>
      <c r="D33" s="73"/>
      <c r="E33" s="71">
        <f>+SUM(E26,E28,E29,E30)</f>
        <v>0</v>
      </c>
      <c r="F33" s="100"/>
      <c r="G33" s="72"/>
      <c r="H33" s="73"/>
      <c r="I33" s="71">
        <f>+SUM(I26,I28,I29,I30)</f>
        <v>0</v>
      </c>
      <c r="J33" s="100"/>
      <c r="K33" s="100"/>
      <c r="L33" s="51" t="s">
        <v>270</v>
      </c>
      <c r="M33" s="72"/>
      <c r="N33" s="73"/>
      <c r="O33" s="71">
        <f>+SUM(O26,O28,O29,O30)</f>
        <v>0</v>
      </c>
      <c r="P33" s="100"/>
      <c r="Q33" s="72"/>
      <c r="R33" s="73"/>
      <c r="S33" s="71">
        <f>+SUM(S26,S28,S29,S30)</f>
        <v>0</v>
      </c>
      <c r="T33" s="100"/>
      <c r="U33" s="72"/>
      <c r="V33" s="73"/>
      <c r="W33" s="71">
        <f>+SUM(W26,W28,W29,W30)</f>
        <v>0</v>
      </c>
    </row>
    <row r="34" spans="1:23" x14ac:dyDescent="0.25">
      <c r="A34" s="38"/>
      <c r="B34" s="51" t="s">
        <v>176</v>
      </c>
      <c r="C34" s="72"/>
      <c r="D34" s="73"/>
      <c r="E34" s="71">
        <f>+E31</f>
        <v>0</v>
      </c>
      <c r="F34" s="100"/>
      <c r="G34" s="72"/>
      <c r="H34" s="73"/>
      <c r="I34" s="71">
        <f>+I31</f>
        <v>0</v>
      </c>
      <c r="J34" s="100"/>
      <c r="K34" s="100"/>
      <c r="L34" s="51" t="s">
        <v>271</v>
      </c>
      <c r="M34" s="72"/>
      <c r="N34" s="73"/>
      <c r="O34" s="71">
        <f>+O31</f>
        <v>0</v>
      </c>
      <c r="P34" s="100"/>
      <c r="Q34" s="72"/>
      <c r="R34" s="73"/>
      <c r="S34" s="71">
        <f>+S31</f>
        <v>0</v>
      </c>
      <c r="T34" s="100"/>
      <c r="U34" s="72"/>
      <c r="V34" s="73"/>
      <c r="W34" s="71">
        <f>+W31</f>
        <v>0</v>
      </c>
    </row>
    <row r="35" spans="1:23" x14ac:dyDescent="0.25">
      <c r="A35" s="38"/>
      <c r="B35" s="51" t="s">
        <v>177</v>
      </c>
      <c r="C35" s="72"/>
      <c r="D35" s="73"/>
      <c r="E35" s="74">
        <f>+E32</f>
        <v>0</v>
      </c>
      <c r="F35" s="102"/>
      <c r="G35" s="72"/>
      <c r="H35" s="73"/>
      <c r="I35" s="74">
        <f>+I32</f>
        <v>0</v>
      </c>
      <c r="J35" s="102"/>
      <c r="K35" s="102"/>
      <c r="L35" s="51" t="s">
        <v>272</v>
      </c>
      <c r="M35" s="72"/>
      <c r="N35" s="73"/>
      <c r="O35" s="74">
        <f>+O32</f>
        <v>0</v>
      </c>
      <c r="P35" s="102"/>
      <c r="Q35" s="72"/>
      <c r="R35" s="73"/>
      <c r="S35" s="74">
        <f>+S32</f>
        <v>0</v>
      </c>
      <c r="T35" s="102"/>
      <c r="U35" s="72"/>
      <c r="V35" s="73"/>
      <c r="W35" s="74">
        <f>+W32</f>
        <v>0</v>
      </c>
    </row>
    <row r="36" spans="1:23" ht="16.5" thickBot="1" x14ac:dyDescent="0.3">
      <c r="A36" s="38"/>
      <c r="B36" s="52" t="s">
        <v>178</v>
      </c>
      <c r="C36" s="75"/>
      <c r="D36" s="76"/>
      <c r="E36" s="77">
        <f>SUM(E33:E35)</f>
        <v>0</v>
      </c>
      <c r="F36" s="103"/>
      <c r="G36" s="75"/>
      <c r="H36" s="76"/>
      <c r="I36" s="77">
        <f>SUM(I33:I35)</f>
        <v>0</v>
      </c>
      <c r="J36" s="103"/>
      <c r="K36" s="103"/>
      <c r="L36" s="52" t="s">
        <v>273</v>
      </c>
      <c r="M36" s="75"/>
      <c r="N36" s="76"/>
      <c r="O36" s="77">
        <f>SUM(O33:O35)</f>
        <v>0</v>
      </c>
      <c r="P36" s="103"/>
      <c r="Q36" s="75"/>
      <c r="R36" s="76"/>
      <c r="S36" s="77">
        <f>SUM(S33:S35)</f>
        <v>0</v>
      </c>
      <c r="T36" s="103"/>
      <c r="U36" s="75"/>
      <c r="V36" s="76"/>
      <c r="W36" s="77">
        <f>SUM(W33:W35)</f>
        <v>0</v>
      </c>
    </row>
    <row r="37" spans="1:23" x14ac:dyDescent="0.25">
      <c r="A37" s="38"/>
      <c r="B37" s="41"/>
      <c r="C37" s="78"/>
      <c r="D37" s="78"/>
      <c r="E37" s="78"/>
      <c r="F37" s="104"/>
      <c r="G37" s="78"/>
      <c r="H37" s="78"/>
      <c r="I37" s="78"/>
      <c r="J37" s="104"/>
      <c r="K37" s="104"/>
      <c r="L37" s="41"/>
      <c r="M37" s="78"/>
      <c r="N37" s="78"/>
      <c r="O37" s="78"/>
      <c r="P37" s="104"/>
      <c r="Q37" s="78"/>
      <c r="R37" s="78"/>
      <c r="S37" s="78"/>
      <c r="T37" s="104"/>
      <c r="U37" s="78"/>
      <c r="V37" s="78"/>
      <c r="W37" s="78"/>
    </row>
    <row r="38" spans="1:23" ht="16.5" thickBot="1" x14ac:dyDescent="0.3">
      <c r="A38" s="38"/>
      <c r="C38" s="37"/>
      <c r="D38" s="37"/>
      <c r="E38" s="37"/>
      <c r="F38" s="105"/>
      <c r="G38" s="37"/>
      <c r="H38" s="37"/>
      <c r="I38" s="37"/>
      <c r="J38" s="105"/>
      <c r="K38" s="105"/>
      <c r="L38" s="37"/>
      <c r="M38" s="37"/>
      <c r="N38" s="37"/>
      <c r="O38" s="37"/>
      <c r="P38" s="105"/>
      <c r="Q38" s="37"/>
      <c r="R38" s="37"/>
      <c r="S38" s="37"/>
      <c r="T38" s="105"/>
      <c r="U38" s="37"/>
      <c r="V38" s="37"/>
      <c r="W38" s="37"/>
    </row>
    <row r="39" spans="1:23" ht="16.5" thickBot="1" x14ac:dyDescent="0.3">
      <c r="A39" s="38"/>
      <c r="B39" s="189" t="str">
        <f>B10</f>
        <v xml:space="preserve">CLINs 0001 &amp; 1001: CPFF </v>
      </c>
      <c r="C39" s="186" t="s">
        <v>179</v>
      </c>
      <c r="D39" s="187"/>
      <c r="E39" s="188"/>
      <c r="F39" s="106"/>
      <c r="G39" s="186" t="s">
        <v>179</v>
      </c>
      <c r="H39" s="187"/>
      <c r="I39" s="188"/>
      <c r="J39" s="106"/>
      <c r="K39" s="106"/>
      <c r="L39" s="149"/>
      <c r="M39" s="186" t="s">
        <v>179</v>
      </c>
      <c r="N39" s="187"/>
      <c r="O39" s="188"/>
      <c r="P39" s="106"/>
      <c r="Q39" s="186" t="s">
        <v>179</v>
      </c>
      <c r="R39" s="187"/>
      <c r="S39" s="188"/>
      <c r="T39" s="106"/>
      <c r="U39" s="186" t="s">
        <v>179</v>
      </c>
      <c r="V39" s="187"/>
      <c r="W39" s="188"/>
    </row>
    <row r="40" spans="1:23" ht="16.5" thickBot="1" x14ac:dyDescent="0.3">
      <c r="A40" s="38"/>
      <c r="B40" s="190"/>
      <c r="C40" s="129" t="str">
        <f>C11</f>
        <v>0001: F-16 O-Level Handheld/Pre-load Tester Prototype Design and Digital Development - Basic Period</v>
      </c>
      <c r="D40" s="130"/>
      <c r="E40" s="131"/>
      <c r="F40" s="107"/>
      <c r="G40" s="132" t="str">
        <f>G11</f>
        <v>1001: F-16 O-Level Handheld/Pre-load Tester EMD - Option Period 1</v>
      </c>
      <c r="H40" s="133"/>
      <c r="I40" s="134"/>
      <c r="J40" s="107"/>
      <c r="K40" s="107"/>
      <c r="L40" s="150"/>
      <c r="M40" s="132" t="str">
        <f>M11</f>
        <v>2001: F-15 O-Level Handheld/Pre-load Tester EMD - Option Period 2</v>
      </c>
      <c r="N40" s="133"/>
      <c r="O40" s="134"/>
      <c r="P40" s="107"/>
      <c r="Q40" s="132" t="str">
        <f>Q11</f>
        <v>3001: A-10 O-Level Handheld/Pre-load Tester EMD - Option Period 3</v>
      </c>
      <c r="R40" s="133"/>
      <c r="S40" s="134"/>
      <c r="T40" s="107"/>
      <c r="U40" s="132" t="str">
        <f>U11</f>
        <v>4001: F-15 I-Level Fault Isolation Tester EMD - Option Period 4</v>
      </c>
      <c r="V40" s="133"/>
      <c r="W40" s="134"/>
    </row>
    <row r="41" spans="1:23" x14ac:dyDescent="0.25">
      <c r="A41" s="38"/>
      <c r="B41" s="79"/>
      <c r="C41" s="56" t="s">
        <v>174</v>
      </c>
      <c r="D41" s="57" t="s">
        <v>172</v>
      </c>
      <c r="E41" s="58" t="s">
        <v>10</v>
      </c>
      <c r="F41" s="101"/>
      <c r="G41" s="56" t="s">
        <v>174</v>
      </c>
      <c r="H41" s="57" t="s">
        <v>172</v>
      </c>
      <c r="I41" s="58" t="s">
        <v>10</v>
      </c>
      <c r="J41" s="101"/>
      <c r="K41" s="101"/>
      <c r="L41" s="79"/>
      <c r="M41" s="56" t="s">
        <v>174</v>
      </c>
      <c r="N41" s="57" t="s">
        <v>172</v>
      </c>
      <c r="O41" s="58" t="s">
        <v>10</v>
      </c>
      <c r="P41" s="101"/>
      <c r="Q41" s="56" t="s">
        <v>174</v>
      </c>
      <c r="R41" s="57" t="s">
        <v>172</v>
      </c>
      <c r="S41" s="58" t="s">
        <v>10</v>
      </c>
      <c r="T41" s="101"/>
      <c r="U41" s="56" t="s">
        <v>174</v>
      </c>
      <c r="V41" s="57" t="s">
        <v>172</v>
      </c>
      <c r="W41" s="58" t="s">
        <v>10</v>
      </c>
    </row>
    <row r="42" spans="1:23" x14ac:dyDescent="0.25">
      <c r="A42" s="38"/>
      <c r="B42" s="80" t="s">
        <v>180</v>
      </c>
      <c r="C42" s="81"/>
      <c r="D42" s="82"/>
      <c r="E42" s="83"/>
      <c r="F42" s="100"/>
      <c r="G42" s="81"/>
      <c r="H42" s="82"/>
      <c r="I42" s="83"/>
      <c r="J42" s="100"/>
      <c r="K42" s="100"/>
      <c r="L42" s="80" t="s">
        <v>180</v>
      </c>
      <c r="M42" s="81"/>
      <c r="N42" s="82"/>
      <c r="O42" s="83"/>
      <c r="P42" s="100"/>
      <c r="Q42" s="81"/>
      <c r="R42" s="82"/>
      <c r="S42" s="83"/>
      <c r="T42" s="100"/>
      <c r="U42" s="81"/>
      <c r="V42" s="82"/>
      <c r="W42" s="83"/>
    </row>
    <row r="43" spans="1:23" x14ac:dyDescent="0.25">
      <c r="A43" s="38"/>
      <c r="B43" s="51" t="s">
        <v>161</v>
      </c>
      <c r="C43" s="69">
        <f>+E42</f>
        <v>0</v>
      </c>
      <c r="D43" s="70">
        <v>0</v>
      </c>
      <c r="E43" s="71">
        <f>+C43*D43</f>
        <v>0</v>
      </c>
      <c r="F43" s="108"/>
      <c r="G43" s="69">
        <f>+I42</f>
        <v>0</v>
      </c>
      <c r="H43" s="70">
        <v>0</v>
      </c>
      <c r="I43" s="71">
        <f>+G43*H43</f>
        <v>0</v>
      </c>
      <c r="J43" s="108"/>
      <c r="K43" s="108"/>
      <c r="L43" s="51" t="s">
        <v>161</v>
      </c>
      <c r="M43" s="69">
        <f>+O42</f>
        <v>0</v>
      </c>
      <c r="N43" s="70">
        <v>0</v>
      </c>
      <c r="O43" s="71">
        <f>+M43*N43</f>
        <v>0</v>
      </c>
      <c r="P43" s="108"/>
      <c r="Q43" s="69">
        <f>+S42</f>
        <v>0</v>
      </c>
      <c r="R43" s="70">
        <v>0</v>
      </c>
      <c r="S43" s="71">
        <f>+Q43*R43</f>
        <v>0</v>
      </c>
      <c r="T43" s="108"/>
      <c r="U43" s="69">
        <f>+W42</f>
        <v>0</v>
      </c>
      <c r="V43" s="70">
        <v>0</v>
      </c>
      <c r="W43" s="71">
        <f>+U43*V43</f>
        <v>0</v>
      </c>
    </row>
    <row r="44" spans="1:23" x14ac:dyDescent="0.25">
      <c r="A44" s="38"/>
      <c r="B44" s="51" t="s">
        <v>162</v>
      </c>
      <c r="C44" s="69">
        <f>+C43+E43</f>
        <v>0</v>
      </c>
      <c r="D44" s="70">
        <v>0</v>
      </c>
      <c r="E44" s="71">
        <f>+C44*D44</f>
        <v>0</v>
      </c>
      <c r="F44" s="108"/>
      <c r="G44" s="69">
        <f>+G43+I43</f>
        <v>0</v>
      </c>
      <c r="H44" s="70">
        <v>0</v>
      </c>
      <c r="I44" s="71">
        <f>+G44*H44</f>
        <v>0</v>
      </c>
      <c r="J44" s="108"/>
      <c r="K44" s="108"/>
      <c r="L44" s="51" t="s">
        <v>162</v>
      </c>
      <c r="M44" s="69">
        <f>+M43+O43</f>
        <v>0</v>
      </c>
      <c r="N44" s="70">
        <v>0</v>
      </c>
      <c r="O44" s="71">
        <f>+M44*N44</f>
        <v>0</v>
      </c>
      <c r="P44" s="108"/>
      <c r="Q44" s="69">
        <f>+Q43+S43</f>
        <v>0</v>
      </c>
      <c r="R44" s="70">
        <v>0</v>
      </c>
      <c r="S44" s="71">
        <f>+Q44*R44</f>
        <v>0</v>
      </c>
      <c r="T44" s="108"/>
      <c r="U44" s="69">
        <f>+U43+W43</f>
        <v>0</v>
      </c>
      <c r="V44" s="70">
        <v>0</v>
      </c>
      <c r="W44" s="71">
        <f>+U44*V44</f>
        <v>0</v>
      </c>
    </row>
    <row r="45" spans="1:23" x14ac:dyDescent="0.25">
      <c r="A45" s="38"/>
      <c r="B45" s="51" t="s">
        <v>163</v>
      </c>
      <c r="C45" s="69">
        <f>+C43</f>
        <v>0</v>
      </c>
      <c r="D45" s="70">
        <v>0</v>
      </c>
      <c r="E45" s="71">
        <f>+C45*D45</f>
        <v>0</v>
      </c>
      <c r="F45" s="100"/>
      <c r="G45" s="69">
        <f>+G43</f>
        <v>0</v>
      </c>
      <c r="H45" s="70">
        <v>0</v>
      </c>
      <c r="I45" s="71">
        <f>+G45*H45</f>
        <v>0</v>
      </c>
      <c r="J45" s="100"/>
      <c r="K45" s="100"/>
      <c r="L45" s="51" t="s">
        <v>163</v>
      </c>
      <c r="M45" s="69">
        <f>+M43</f>
        <v>0</v>
      </c>
      <c r="N45" s="70">
        <v>0</v>
      </c>
      <c r="O45" s="71">
        <f>+M45*N45</f>
        <v>0</v>
      </c>
      <c r="P45" s="100"/>
      <c r="Q45" s="69">
        <f>+Q43</f>
        <v>0</v>
      </c>
      <c r="R45" s="70">
        <v>0</v>
      </c>
      <c r="S45" s="71">
        <f>+Q45*R45</f>
        <v>0</v>
      </c>
      <c r="T45" s="100"/>
      <c r="U45" s="69">
        <f>+U43</f>
        <v>0</v>
      </c>
      <c r="V45" s="70">
        <v>0</v>
      </c>
      <c r="W45" s="71">
        <f>+U45*V45</f>
        <v>0</v>
      </c>
    </row>
    <row r="46" spans="1:23" x14ac:dyDescent="0.25">
      <c r="A46" s="38"/>
      <c r="B46" s="51" t="s">
        <v>164</v>
      </c>
      <c r="C46" s="69">
        <f>+C44+E44</f>
        <v>0</v>
      </c>
      <c r="D46" s="70">
        <v>0</v>
      </c>
      <c r="E46" s="71">
        <f>+C46*D46</f>
        <v>0</v>
      </c>
      <c r="F46" s="100"/>
      <c r="G46" s="69">
        <f>+G44+I44</f>
        <v>0</v>
      </c>
      <c r="H46" s="70">
        <v>0</v>
      </c>
      <c r="I46" s="71">
        <f>+G46*H46</f>
        <v>0</v>
      </c>
      <c r="J46" s="100"/>
      <c r="K46" s="100"/>
      <c r="L46" s="51" t="s">
        <v>164</v>
      </c>
      <c r="M46" s="69">
        <f>+M44+O44</f>
        <v>0</v>
      </c>
      <c r="N46" s="70">
        <v>0</v>
      </c>
      <c r="O46" s="71">
        <f>+M46*N46</f>
        <v>0</v>
      </c>
      <c r="P46" s="100"/>
      <c r="Q46" s="69">
        <f>+Q44+S44</f>
        <v>0</v>
      </c>
      <c r="R46" s="70">
        <v>0</v>
      </c>
      <c r="S46" s="71">
        <f>+Q46*R46</f>
        <v>0</v>
      </c>
      <c r="T46" s="100"/>
      <c r="U46" s="69">
        <f>+U44+W44</f>
        <v>0</v>
      </c>
      <c r="V46" s="70">
        <v>0</v>
      </c>
      <c r="W46" s="71">
        <f>+U46*V46</f>
        <v>0</v>
      </c>
    </row>
    <row r="47" spans="1:23" x14ac:dyDescent="0.25">
      <c r="A47" s="38"/>
      <c r="B47" s="51" t="s">
        <v>175</v>
      </c>
      <c r="C47" s="84"/>
      <c r="D47" s="85"/>
      <c r="E47" s="71">
        <f>+ROUND(SUM(E42:E44),0)</f>
        <v>0</v>
      </c>
      <c r="F47" s="100"/>
      <c r="G47" s="84"/>
      <c r="H47" s="85"/>
      <c r="I47" s="71">
        <f>+ROUND(SUM(I42:I44),0)</f>
        <v>0</v>
      </c>
      <c r="J47" s="100"/>
      <c r="K47" s="100"/>
      <c r="L47" s="51" t="s">
        <v>270</v>
      </c>
      <c r="M47" s="84"/>
      <c r="N47" s="85"/>
      <c r="O47" s="71">
        <f>+ROUND(SUM(O42:O44),0)</f>
        <v>0</v>
      </c>
      <c r="P47" s="100"/>
      <c r="Q47" s="84"/>
      <c r="R47" s="85"/>
      <c r="S47" s="71">
        <f>+ROUND(SUM(S42:S44),0)</f>
        <v>0</v>
      </c>
      <c r="T47" s="100"/>
      <c r="U47" s="84"/>
      <c r="V47" s="85"/>
      <c r="W47" s="71">
        <f>+ROUND(SUM(W42:W44),0)</f>
        <v>0</v>
      </c>
    </row>
    <row r="48" spans="1:23" x14ac:dyDescent="0.25">
      <c r="A48" s="38"/>
      <c r="B48" s="51" t="s">
        <v>176</v>
      </c>
      <c r="C48" s="81"/>
      <c r="D48" s="86"/>
      <c r="E48" s="71">
        <f>+ROUND(E45,0)</f>
        <v>0</v>
      </c>
      <c r="F48" s="100"/>
      <c r="G48" s="81"/>
      <c r="H48" s="86"/>
      <c r="I48" s="71">
        <f>+ROUND(I45,0)</f>
        <v>0</v>
      </c>
      <c r="J48" s="100"/>
      <c r="K48" s="100"/>
      <c r="L48" s="51" t="s">
        <v>271</v>
      </c>
      <c r="M48" s="81"/>
      <c r="N48" s="86"/>
      <c r="O48" s="71">
        <f>+ROUND(O45,0)</f>
        <v>0</v>
      </c>
      <c r="P48" s="100"/>
      <c r="Q48" s="81"/>
      <c r="R48" s="86"/>
      <c r="S48" s="71">
        <f>+ROUND(S45,0)</f>
        <v>0</v>
      </c>
      <c r="T48" s="100"/>
      <c r="U48" s="81"/>
      <c r="V48" s="86"/>
      <c r="W48" s="71">
        <f>+ROUND(W45,0)</f>
        <v>0</v>
      </c>
    </row>
    <row r="49" spans="1:23" x14ac:dyDescent="0.25">
      <c r="B49" s="51" t="s">
        <v>177</v>
      </c>
      <c r="C49" s="81"/>
      <c r="D49" s="86"/>
      <c r="E49" s="87">
        <f>+ROUND(E46,0)</f>
        <v>0</v>
      </c>
      <c r="F49" s="109"/>
      <c r="G49" s="81"/>
      <c r="H49" s="86"/>
      <c r="I49" s="87">
        <f>+ROUND(I46,0)</f>
        <v>0</v>
      </c>
      <c r="J49" s="109"/>
      <c r="K49" s="109"/>
      <c r="L49" s="51" t="s">
        <v>272</v>
      </c>
      <c r="M49" s="81"/>
      <c r="N49" s="86"/>
      <c r="O49" s="87">
        <f>+ROUND(O46,0)</f>
        <v>0</v>
      </c>
      <c r="P49" s="109"/>
      <c r="Q49" s="81"/>
      <c r="R49" s="86"/>
      <c r="S49" s="87">
        <f>+ROUND(S46,0)</f>
        <v>0</v>
      </c>
      <c r="T49" s="109"/>
      <c r="U49" s="81"/>
      <c r="V49" s="86"/>
      <c r="W49" s="87">
        <f>+ROUND(W46,0)</f>
        <v>0</v>
      </c>
    </row>
    <row r="50" spans="1:23" ht="16.5" thickBot="1" x14ac:dyDescent="0.3">
      <c r="B50" s="52" t="s">
        <v>178</v>
      </c>
      <c r="C50" s="112"/>
      <c r="D50" s="88"/>
      <c r="E50" s="64">
        <f t="shared" ref="E50" si="5">SUM(E47:E49)</f>
        <v>0</v>
      </c>
      <c r="F50" s="99"/>
      <c r="G50" s="112"/>
      <c r="H50" s="88"/>
      <c r="I50" s="64">
        <f t="shared" ref="I50" si="6">SUM(I47:I49)</f>
        <v>0</v>
      </c>
      <c r="J50" s="99"/>
      <c r="K50" s="99"/>
      <c r="L50" s="52" t="s">
        <v>273</v>
      </c>
      <c r="M50" s="112"/>
      <c r="N50" s="88"/>
      <c r="O50" s="64">
        <f t="shared" ref="O50" si="7">SUM(O47:O49)</f>
        <v>0</v>
      </c>
      <c r="P50" s="99"/>
      <c r="Q50" s="112"/>
      <c r="R50" s="88"/>
      <c r="S50" s="64">
        <f t="shared" ref="S50" si="8">SUM(S47:S49)</f>
        <v>0</v>
      </c>
      <c r="T50" s="99"/>
      <c r="U50" s="112"/>
      <c r="V50" s="88"/>
      <c r="W50" s="64">
        <f t="shared" ref="W50" si="9">SUM(W47:W49)</f>
        <v>0</v>
      </c>
    </row>
    <row r="51" spans="1:23" ht="16.5" thickBot="1" x14ac:dyDescent="0.3">
      <c r="B51" s="41"/>
      <c r="F51" s="110"/>
      <c r="J51" s="110"/>
      <c r="K51" s="110"/>
      <c r="L51" s="41"/>
      <c r="P51" s="110"/>
      <c r="T51" s="110"/>
    </row>
    <row r="52" spans="1:23" ht="16.5" thickBot="1" x14ac:dyDescent="0.3">
      <c r="A52" s="38"/>
      <c r="B52" s="189" t="str">
        <f>B39</f>
        <v xml:space="preserve">CLINs 0001 &amp; 1001: CPFF </v>
      </c>
      <c r="C52" s="186" t="s">
        <v>181</v>
      </c>
      <c r="D52" s="187"/>
      <c r="E52" s="188"/>
      <c r="F52" s="106"/>
      <c r="G52" s="186" t="s">
        <v>181</v>
      </c>
      <c r="H52" s="187"/>
      <c r="I52" s="188"/>
      <c r="J52" s="106"/>
      <c r="K52" s="106"/>
      <c r="L52" s="149"/>
      <c r="M52" s="186" t="s">
        <v>181</v>
      </c>
      <c r="N52" s="187"/>
      <c r="O52" s="188"/>
      <c r="P52" s="106"/>
      <c r="Q52" s="186" t="s">
        <v>181</v>
      </c>
      <c r="R52" s="187"/>
      <c r="S52" s="188"/>
      <c r="T52" s="106"/>
      <c r="U52" s="186" t="s">
        <v>181</v>
      </c>
      <c r="V52" s="187"/>
      <c r="W52" s="188"/>
    </row>
    <row r="53" spans="1:23" ht="16.5" thickBot="1" x14ac:dyDescent="0.3">
      <c r="A53" s="38"/>
      <c r="B53" s="190"/>
      <c r="C53" s="129" t="str">
        <f>C40</f>
        <v>0001: F-16 O-Level Handheld/Pre-load Tester Prototype Design and Digital Development - Basic Period</v>
      </c>
      <c r="D53" s="130"/>
      <c r="E53" s="131"/>
      <c r="F53" s="107"/>
      <c r="G53" s="132" t="str">
        <f>G40</f>
        <v>1001: F-16 O-Level Handheld/Pre-load Tester EMD - Option Period 1</v>
      </c>
      <c r="H53" s="133"/>
      <c r="I53" s="134"/>
      <c r="J53" s="107"/>
      <c r="K53" s="107"/>
      <c r="L53" s="150"/>
      <c r="M53" s="132" t="str">
        <f>M40</f>
        <v>2001: F-15 O-Level Handheld/Pre-load Tester EMD - Option Period 2</v>
      </c>
      <c r="N53" s="133"/>
      <c r="O53" s="134"/>
      <c r="P53" s="107"/>
      <c r="Q53" s="132" t="str">
        <f>Q40</f>
        <v>3001: A-10 O-Level Handheld/Pre-load Tester EMD - Option Period 3</v>
      </c>
      <c r="R53" s="133"/>
      <c r="S53" s="134"/>
      <c r="T53" s="107"/>
      <c r="U53" s="132" t="str">
        <f>U40</f>
        <v>4001: F-15 I-Level Fault Isolation Tester EMD - Option Period 4</v>
      </c>
      <c r="V53" s="133"/>
      <c r="W53" s="134"/>
    </row>
    <row r="54" spans="1:23" x14ac:dyDescent="0.25">
      <c r="A54" s="38"/>
      <c r="B54" s="79"/>
      <c r="C54" s="56" t="s">
        <v>174</v>
      </c>
      <c r="D54" s="57" t="s">
        <v>172</v>
      </c>
      <c r="E54" s="58" t="s">
        <v>10</v>
      </c>
      <c r="F54" s="101"/>
      <c r="G54" s="56" t="s">
        <v>174</v>
      </c>
      <c r="H54" s="57" t="s">
        <v>172</v>
      </c>
      <c r="I54" s="58" t="s">
        <v>10</v>
      </c>
      <c r="J54" s="101"/>
      <c r="K54" s="101"/>
      <c r="L54" s="79"/>
      <c r="M54" s="56" t="s">
        <v>174</v>
      </c>
      <c r="N54" s="57" t="s">
        <v>172</v>
      </c>
      <c r="O54" s="58" t="s">
        <v>10</v>
      </c>
      <c r="P54" s="101"/>
      <c r="Q54" s="56" t="s">
        <v>174</v>
      </c>
      <c r="R54" s="57" t="s">
        <v>172</v>
      </c>
      <c r="S54" s="58" t="s">
        <v>10</v>
      </c>
      <c r="T54" s="101"/>
      <c r="U54" s="56" t="s">
        <v>174</v>
      </c>
      <c r="V54" s="57" t="s">
        <v>172</v>
      </c>
      <c r="W54" s="58" t="s">
        <v>10</v>
      </c>
    </row>
    <row r="55" spans="1:23" x14ac:dyDescent="0.25">
      <c r="A55" s="38"/>
      <c r="B55" s="80" t="s">
        <v>182</v>
      </c>
      <c r="C55" s="81"/>
      <c r="D55" s="82"/>
      <c r="E55" s="83"/>
      <c r="F55" s="100"/>
      <c r="G55" s="81"/>
      <c r="H55" s="82"/>
      <c r="I55" s="83"/>
      <c r="J55" s="100"/>
      <c r="K55" s="100"/>
      <c r="L55" s="80" t="s">
        <v>182</v>
      </c>
      <c r="M55" s="81"/>
      <c r="N55" s="82"/>
      <c r="O55" s="83"/>
      <c r="P55" s="100"/>
      <c r="Q55" s="81"/>
      <c r="R55" s="82"/>
      <c r="S55" s="83"/>
      <c r="T55" s="100"/>
      <c r="U55" s="81"/>
      <c r="V55" s="82"/>
      <c r="W55" s="83"/>
    </row>
    <row r="56" spans="1:23" x14ac:dyDescent="0.25">
      <c r="A56" s="38"/>
      <c r="B56" s="51" t="s">
        <v>161</v>
      </c>
      <c r="C56" s="69">
        <f>+E55</f>
        <v>0</v>
      </c>
      <c r="D56" s="70">
        <v>0</v>
      </c>
      <c r="E56" s="71">
        <f>+C56*D56</f>
        <v>0</v>
      </c>
      <c r="F56" s="108"/>
      <c r="G56" s="69">
        <f>+I55</f>
        <v>0</v>
      </c>
      <c r="H56" s="70">
        <v>0</v>
      </c>
      <c r="I56" s="71">
        <f>+G56*H56</f>
        <v>0</v>
      </c>
      <c r="J56" s="108"/>
      <c r="K56" s="108"/>
      <c r="L56" s="51" t="s">
        <v>161</v>
      </c>
      <c r="M56" s="69">
        <f>+O55</f>
        <v>0</v>
      </c>
      <c r="N56" s="70">
        <v>0</v>
      </c>
      <c r="O56" s="71">
        <f>+M56*N56</f>
        <v>0</v>
      </c>
      <c r="P56" s="108"/>
      <c r="Q56" s="69">
        <f>+S55</f>
        <v>0</v>
      </c>
      <c r="R56" s="70">
        <v>0</v>
      </c>
      <c r="S56" s="71">
        <f>+Q56*R56</f>
        <v>0</v>
      </c>
      <c r="T56" s="108"/>
      <c r="U56" s="69">
        <f>+W55</f>
        <v>0</v>
      </c>
      <c r="V56" s="70">
        <v>0</v>
      </c>
      <c r="W56" s="71">
        <f>+U56*V56</f>
        <v>0</v>
      </c>
    </row>
    <row r="57" spans="1:23" x14ac:dyDescent="0.25">
      <c r="A57" s="38"/>
      <c r="B57" s="51" t="s">
        <v>162</v>
      </c>
      <c r="C57" s="69">
        <f>+C56+E56</f>
        <v>0</v>
      </c>
      <c r="D57" s="70">
        <v>0</v>
      </c>
      <c r="E57" s="71">
        <f>+C57*D57</f>
        <v>0</v>
      </c>
      <c r="F57" s="108"/>
      <c r="G57" s="69">
        <f>+G56+I56</f>
        <v>0</v>
      </c>
      <c r="H57" s="70">
        <v>0</v>
      </c>
      <c r="I57" s="71">
        <f>+G57*H57</f>
        <v>0</v>
      </c>
      <c r="J57" s="108"/>
      <c r="K57" s="108"/>
      <c r="L57" s="51" t="s">
        <v>162</v>
      </c>
      <c r="M57" s="69">
        <f>+M56+O56</f>
        <v>0</v>
      </c>
      <c r="N57" s="70">
        <v>0</v>
      </c>
      <c r="O57" s="71">
        <f>+M57*N57</f>
        <v>0</v>
      </c>
      <c r="P57" s="108"/>
      <c r="Q57" s="69">
        <f>+Q56+S56</f>
        <v>0</v>
      </c>
      <c r="R57" s="70">
        <v>0</v>
      </c>
      <c r="S57" s="71">
        <f>+Q57*R57</f>
        <v>0</v>
      </c>
      <c r="T57" s="108"/>
      <c r="U57" s="69">
        <f>+U56+W56</f>
        <v>0</v>
      </c>
      <c r="V57" s="70">
        <v>0</v>
      </c>
      <c r="W57" s="71">
        <f>+U57*V57</f>
        <v>0</v>
      </c>
    </row>
    <row r="58" spans="1:23" x14ac:dyDescent="0.25">
      <c r="A58" s="38"/>
      <c r="B58" s="51" t="s">
        <v>163</v>
      </c>
      <c r="C58" s="69">
        <f>+C56</f>
        <v>0</v>
      </c>
      <c r="D58" s="70">
        <v>0</v>
      </c>
      <c r="E58" s="71">
        <f>+C58*D58</f>
        <v>0</v>
      </c>
      <c r="F58" s="100"/>
      <c r="G58" s="69">
        <f>+G56</f>
        <v>0</v>
      </c>
      <c r="H58" s="70">
        <v>0</v>
      </c>
      <c r="I58" s="71">
        <f>+G58*H58</f>
        <v>0</v>
      </c>
      <c r="J58" s="100"/>
      <c r="K58" s="100"/>
      <c r="L58" s="51" t="s">
        <v>163</v>
      </c>
      <c r="M58" s="69">
        <f>+M56</f>
        <v>0</v>
      </c>
      <c r="N58" s="70">
        <v>0</v>
      </c>
      <c r="O58" s="71">
        <f>+M58*N58</f>
        <v>0</v>
      </c>
      <c r="P58" s="100"/>
      <c r="Q58" s="69">
        <f>+Q56</f>
        <v>0</v>
      </c>
      <c r="R58" s="70">
        <v>0</v>
      </c>
      <c r="S58" s="71">
        <f>+Q58*R58</f>
        <v>0</v>
      </c>
      <c r="T58" s="100"/>
      <c r="U58" s="69">
        <f>+U56</f>
        <v>0</v>
      </c>
      <c r="V58" s="70">
        <v>0</v>
      </c>
      <c r="W58" s="71">
        <f>+U58*V58</f>
        <v>0</v>
      </c>
    </row>
    <row r="59" spans="1:23" x14ac:dyDescent="0.25">
      <c r="A59" s="38"/>
      <c r="B59" s="51" t="s">
        <v>164</v>
      </c>
      <c r="C59" s="69">
        <f>+C57+E57</f>
        <v>0</v>
      </c>
      <c r="D59" s="70">
        <v>0</v>
      </c>
      <c r="E59" s="71">
        <f>+C59*D59</f>
        <v>0</v>
      </c>
      <c r="F59" s="100"/>
      <c r="G59" s="69">
        <f>+G57+I57</f>
        <v>0</v>
      </c>
      <c r="H59" s="70">
        <v>0</v>
      </c>
      <c r="I59" s="71">
        <f>+G59*H59</f>
        <v>0</v>
      </c>
      <c r="J59" s="100"/>
      <c r="K59" s="100"/>
      <c r="L59" s="51" t="s">
        <v>164</v>
      </c>
      <c r="M59" s="69">
        <f>+M57+O57</f>
        <v>0</v>
      </c>
      <c r="N59" s="70">
        <v>0</v>
      </c>
      <c r="O59" s="71">
        <f>+M59*N59</f>
        <v>0</v>
      </c>
      <c r="P59" s="100"/>
      <c r="Q59" s="69">
        <f>+Q57+S57</f>
        <v>0</v>
      </c>
      <c r="R59" s="70">
        <v>0</v>
      </c>
      <c r="S59" s="71">
        <f>+Q59*R59</f>
        <v>0</v>
      </c>
      <c r="T59" s="100"/>
      <c r="U59" s="69">
        <f>+U57+W57</f>
        <v>0</v>
      </c>
      <c r="V59" s="70">
        <v>0</v>
      </c>
      <c r="W59" s="71">
        <f>+U59*V59</f>
        <v>0</v>
      </c>
    </row>
    <row r="60" spans="1:23" x14ac:dyDescent="0.25">
      <c r="A60" s="38"/>
      <c r="B60" s="51" t="s">
        <v>175</v>
      </c>
      <c r="C60" s="84"/>
      <c r="D60" s="85"/>
      <c r="E60" s="71">
        <f>+ROUND(SUM(E55:E57),0)</f>
        <v>0</v>
      </c>
      <c r="F60" s="100"/>
      <c r="G60" s="84"/>
      <c r="H60" s="85"/>
      <c r="I60" s="71">
        <f>+ROUND(SUM(I55:I57),0)</f>
        <v>0</v>
      </c>
      <c r="J60" s="100"/>
      <c r="K60" s="100"/>
      <c r="L60" s="51" t="s">
        <v>270</v>
      </c>
      <c r="M60" s="84"/>
      <c r="N60" s="85"/>
      <c r="O60" s="71">
        <f>+ROUND(SUM(O55:O57),0)</f>
        <v>0</v>
      </c>
      <c r="P60" s="100"/>
      <c r="Q60" s="84"/>
      <c r="R60" s="85"/>
      <c r="S60" s="71">
        <f>+ROUND(SUM(S55:S57),0)</f>
        <v>0</v>
      </c>
      <c r="T60" s="100"/>
      <c r="U60" s="84"/>
      <c r="V60" s="85"/>
      <c r="W60" s="71">
        <f>+ROUND(SUM(W55:W57),0)</f>
        <v>0</v>
      </c>
    </row>
    <row r="61" spans="1:23" x14ac:dyDescent="0.25">
      <c r="A61" s="38"/>
      <c r="B61" s="51" t="s">
        <v>176</v>
      </c>
      <c r="C61" s="81"/>
      <c r="D61" s="86"/>
      <c r="E61" s="71">
        <f>+ROUND(E58,0)</f>
        <v>0</v>
      </c>
      <c r="F61" s="100"/>
      <c r="G61" s="81"/>
      <c r="H61" s="86"/>
      <c r="I61" s="71">
        <f>+ROUND(I58,0)</f>
        <v>0</v>
      </c>
      <c r="J61" s="100"/>
      <c r="K61" s="100"/>
      <c r="L61" s="51" t="s">
        <v>271</v>
      </c>
      <c r="M61" s="81"/>
      <c r="N61" s="86"/>
      <c r="O61" s="71">
        <f>+ROUND(O58,0)</f>
        <v>0</v>
      </c>
      <c r="P61" s="100"/>
      <c r="Q61" s="81"/>
      <c r="R61" s="86"/>
      <c r="S61" s="71">
        <f>+ROUND(S58,0)</f>
        <v>0</v>
      </c>
      <c r="T61" s="100"/>
      <c r="U61" s="81"/>
      <c r="V61" s="86"/>
      <c r="W61" s="71">
        <f>+ROUND(W58,0)</f>
        <v>0</v>
      </c>
    </row>
    <row r="62" spans="1:23" x14ac:dyDescent="0.25">
      <c r="B62" s="51" t="s">
        <v>177</v>
      </c>
      <c r="C62" s="81"/>
      <c r="D62" s="86"/>
      <c r="E62" s="87">
        <f>+ROUND(E59,0)</f>
        <v>0</v>
      </c>
      <c r="F62" s="109"/>
      <c r="G62" s="81"/>
      <c r="H62" s="86"/>
      <c r="I62" s="87">
        <f>+ROUND(I59,0)</f>
        <v>0</v>
      </c>
      <c r="J62" s="109"/>
      <c r="K62" s="109"/>
      <c r="L62" s="51" t="s">
        <v>272</v>
      </c>
      <c r="M62" s="81"/>
      <c r="N62" s="86"/>
      <c r="O62" s="87">
        <f>+ROUND(O59,0)</f>
        <v>0</v>
      </c>
      <c r="P62" s="109"/>
      <c r="Q62" s="81"/>
      <c r="R62" s="86"/>
      <c r="S62" s="87">
        <f>+ROUND(S59,0)</f>
        <v>0</v>
      </c>
      <c r="T62" s="109"/>
      <c r="U62" s="81"/>
      <c r="V62" s="86"/>
      <c r="W62" s="87">
        <f>+ROUND(W59,0)</f>
        <v>0</v>
      </c>
    </row>
    <row r="63" spans="1:23" ht="16.5" thickBot="1" x14ac:dyDescent="0.3">
      <c r="B63" s="52" t="s">
        <v>178</v>
      </c>
      <c r="C63" s="112"/>
      <c r="D63" s="88"/>
      <c r="E63" s="64">
        <f t="shared" ref="E63" si="10">SUM(E60:E62)</f>
        <v>0</v>
      </c>
      <c r="F63" s="99"/>
      <c r="G63" s="112"/>
      <c r="H63" s="88"/>
      <c r="I63" s="64">
        <f t="shared" ref="I63" si="11">SUM(I60:I62)</f>
        <v>0</v>
      </c>
      <c r="J63" s="99"/>
      <c r="K63" s="99"/>
      <c r="L63" s="52" t="s">
        <v>273</v>
      </c>
      <c r="M63" s="112"/>
      <c r="N63" s="88"/>
      <c r="O63" s="64">
        <f t="shared" ref="O63" si="12">SUM(O60:O62)</f>
        <v>0</v>
      </c>
      <c r="P63" s="99"/>
      <c r="Q63" s="112"/>
      <c r="R63" s="88"/>
      <c r="S63" s="64">
        <f t="shared" ref="S63" si="13">SUM(S60:S62)</f>
        <v>0</v>
      </c>
      <c r="T63" s="99"/>
      <c r="U63" s="112"/>
      <c r="V63" s="88"/>
      <c r="W63" s="64">
        <f t="shared" ref="W63" si="14">SUM(W60:W62)</f>
        <v>0</v>
      </c>
    </row>
    <row r="64" spans="1:23" x14ac:dyDescent="0.25">
      <c r="B64" s="41"/>
      <c r="F64" s="110"/>
      <c r="J64" s="110"/>
      <c r="K64" s="110"/>
      <c r="L64" s="41"/>
      <c r="P64" s="110"/>
      <c r="T64" s="110"/>
    </row>
    <row r="65" spans="2:23" ht="16.5" thickBot="1" x14ac:dyDescent="0.3">
      <c r="F65" s="110"/>
      <c r="J65" s="110"/>
      <c r="K65" s="110"/>
      <c r="L65" s="37"/>
      <c r="P65" s="110"/>
      <c r="T65" s="110"/>
    </row>
    <row r="66" spans="2:23" ht="16.5" thickBot="1" x14ac:dyDescent="0.3">
      <c r="B66" s="189" t="str">
        <f>B52</f>
        <v xml:space="preserve">CLINs 0001 &amp; 1001: CPFF </v>
      </c>
      <c r="C66" s="186" t="s">
        <v>183</v>
      </c>
      <c r="D66" s="187"/>
      <c r="E66" s="188"/>
      <c r="F66" s="106"/>
      <c r="G66" s="186" t="s">
        <v>183</v>
      </c>
      <c r="H66" s="187"/>
      <c r="I66" s="188"/>
      <c r="J66" s="106"/>
      <c r="K66" s="106"/>
      <c r="L66" s="149"/>
      <c r="M66" s="186" t="s">
        <v>183</v>
      </c>
      <c r="N66" s="187"/>
      <c r="O66" s="188"/>
      <c r="P66" s="106"/>
      <c r="Q66" s="186" t="s">
        <v>183</v>
      </c>
      <c r="R66" s="187"/>
      <c r="S66" s="188"/>
      <c r="T66" s="106"/>
      <c r="U66" s="186" t="s">
        <v>183</v>
      </c>
      <c r="V66" s="187"/>
      <c r="W66" s="188"/>
    </row>
    <row r="67" spans="2:23" ht="16.5" thickBot="1" x14ac:dyDescent="0.3">
      <c r="B67" s="190"/>
      <c r="C67" s="89"/>
      <c r="D67" s="55"/>
      <c r="E67" s="90" t="s">
        <v>267</v>
      </c>
      <c r="F67" s="111"/>
      <c r="G67" s="89"/>
      <c r="H67" s="55"/>
      <c r="I67" s="90" t="s">
        <v>268</v>
      </c>
      <c r="J67" s="111"/>
      <c r="K67" s="111"/>
      <c r="L67" s="150"/>
      <c r="M67" s="89"/>
      <c r="N67" s="55"/>
      <c r="O67" s="90" t="s">
        <v>299</v>
      </c>
      <c r="P67" s="111"/>
      <c r="Q67" s="89"/>
      <c r="R67" s="55"/>
      <c r="S67" s="90" t="s">
        <v>300</v>
      </c>
      <c r="T67" s="111"/>
      <c r="U67" s="89"/>
      <c r="V67" s="55"/>
      <c r="W67" s="90" t="s">
        <v>301</v>
      </c>
    </row>
    <row r="68" spans="2:23" x14ac:dyDescent="0.25">
      <c r="B68" s="51" t="s">
        <v>175</v>
      </c>
      <c r="C68" s="91"/>
      <c r="D68" s="91"/>
      <c r="E68" s="92">
        <f>+ROUND(E33+E47+E60,0)</f>
        <v>0</v>
      </c>
      <c r="F68" s="100"/>
      <c r="G68" s="91"/>
      <c r="H68" s="91"/>
      <c r="I68" s="92">
        <f>+ROUND(I33+I47+I60,0)</f>
        <v>0</v>
      </c>
      <c r="J68" s="100"/>
      <c r="K68" s="100"/>
      <c r="L68" s="51" t="s">
        <v>270</v>
      </c>
      <c r="M68" s="91"/>
      <c r="N68" s="91"/>
      <c r="O68" s="92">
        <f>+ROUND(O33+O47+O60,0)</f>
        <v>0</v>
      </c>
      <c r="P68" s="100"/>
      <c r="Q68" s="91"/>
      <c r="R68" s="91"/>
      <c r="S68" s="92">
        <f>+ROUND(S33+S47+S60,0)</f>
        <v>0</v>
      </c>
      <c r="T68" s="100"/>
      <c r="U68" s="91"/>
      <c r="V68" s="91"/>
      <c r="W68" s="92">
        <f>+ROUND(W33+W47+W60,0)</f>
        <v>0</v>
      </c>
    </row>
    <row r="69" spans="2:23" x14ac:dyDescent="0.25">
      <c r="B69" s="51" t="s">
        <v>176</v>
      </c>
      <c r="C69" s="91"/>
      <c r="D69" s="91"/>
      <c r="E69" s="71">
        <f>+ROUND(E34+E48+E61,0)</f>
        <v>0</v>
      </c>
      <c r="F69" s="100"/>
      <c r="G69" s="91"/>
      <c r="H69" s="91"/>
      <c r="I69" s="71">
        <f>+ROUND(I34+I48+I61,0)</f>
        <v>0</v>
      </c>
      <c r="J69" s="100"/>
      <c r="K69" s="100"/>
      <c r="L69" s="51" t="s">
        <v>271</v>
      </c>
      <c r="M69" s="91"/>
      <c r="N69" s="91"/>
      <c r="O69" s="71">
        <f>+ROUND(O34+O48+O61,0)</f>
        <v>0</v>
      </c>
      <c r="P69" s="100"/>
      <c r="Q69" s="91"/>
      <c r="R69" s="91"/>
      <c r="S69" s="71">
        <f>+ROUND(S34+S48+S61,0)</f>
        <v>0</v>
      </c>
      <c r="T69" s="100"/>
      <c r="U69" s="91"/>
      <c r="V69" s="91"/>
      <c r="W69" s="71">
        <f>+ROUND(W34+W48+W61,0)</f>
        <v>0</v>
      </c>
    </row>
    <row r="70" spans="2:23" x14ac:dyDescent="0.25">
      <c r="B70" s="51" t="s">
        <v>177</v>
      </c>
      <c r="C70" s="91"/>
      <c r="D70" s="91"/>
      <c r="E70" s="74">
        <f>+ROUND(E35+E49+E62,0)</f>
        <v>0</v>
      </c>
      <c r="F70" s="102"/>
      <c r="G70" s="91"/>
      <c r="H70" s="91"/>
      <c r="I70" s="74">
        <f>+ROUND(I35+I49+I62,0)</f>
        <v>0</v>
      </c>
      <c r="J70" s="102"/>
      <c r="K70" s="102"/>
      <c r="L70" s="51" t="s">
        <v>272</v>
      </c>
      <c r="M70" s="91"/>
      <c r="N70" s="91"/>
      <c r="O70" s="74">
        <f>+ROUND(O35+O49+O62,0)</f>
        <v>0</v>
      </c>
      <c r="P70" s="102"/>
      <c r="Q70" s="91"/>
      <c r="R70" s="91"/>
      <c r="S70" s="74">
        <f>+ROUND(S35+S49+S62,0)</f>
        <v>0</v>
      </c>
      <c r="T70" s="102"/>
      <c r="U70" s="91"/>
      <c r="V70" s="91"/>
      <c r="W70" s="74">
        <f>+ROUND(W35+W49+W62,0)</f>
        <v>0</v>
      </c>
    </row>
    <row r="71" spans="2:23" ht="16.5" thickBot="1" x14ac:dyDescent="0.3">
      <c r="B71" s="52" t="s">
        <v>178</v>
      </c>
      <c r="C71" s="93"/>
      <c r="D71" s="93"/>
      <c r="E71" s="77">
        <f>SUM(E68:E70)</f>
        <v>0</v>
      </c>
      <c r="F71" s="103"/>
      <c r="G71" s="93"/>
      <c r="H71" s="93"/>
      <c r="I71" s="77">
        <f>SUM(I68:I70)</f>
        <v>0</v>
      </c>
      <c r="J71" s="103"/>
      <c r="K71" s="103"/>
      <c r="L71" s="52" t="s">
        <v>273</v>
      </c>
      <c r="M71" s="93"/>
      <c r="N71" s="93"/>
      <c r="O71" s="77">
        <f>SUM(O68:O70)</f>
        <v>0</v>
      </c>
      <c r="P71" s="103"/>
      <c r="Q71" s="93"/>
      <c r="R71" s="93"/>
      <c r="S71" s="77">
        <f>SUM(S68:S70)</f>
        <v>0</v>
      </c>
      <c r="T71" s="103"/>
      <c r="U71" s="93"/>
      <c r="V71" s="93"/>
      <c r="W71" s="77">
        <f>SUM(W68:W70)</f>
        <v>0</v>
      </c>
    </row>
  </sheetData>
  <mergeCells count="25">
    <mergeCell ref="U66:W66"/>
    <mergeCell ref="B52:B53"/>
    <mergeCell ref="C52:E52"/>
    <mergeCell ref="G52:I52"/>
    <mergeCell ref="M52:O52"/>
    <mergeCell ref="Q52:S52"/>
    <mergeCell ref="U52:W52"/>
    <mergeCell ref="B66:B67"/>
    <mergeCell ref="C66:E66"/>
    <mergeCell ref="G66:I66"/>
    <mergeCell ref="M66:O66"/>
    <mergeCell ref="Q66:S66"/>
    <mergeCell ref="U39:W39"/>
    <mergeCell ref="B10:B11"/>
    <mergeCell ref="C10:E10"/>
    <mergeCell ref="G10:I10"/>
    <mergeCell ref="M10:O10"/>
    <mergeCell ref="Q10:S10"/>
    <mergeCell ref="U10:W10"/>
    <mergeCell ref="L10:L11"/>
    <mergeCell ref="B39:B40"/>
    <mergeCell ref="C39:E39"/>
    <mergeCell ref="G39:I39"/>
    <mergeCell ref="M39:O39"/>
    <mergeCell ref="Q39:S39"/>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D3487-D6BF-4C10-AD80-40A4FD848B28}">
  <sheetPr>
    <tabColor theme="9" tint="0.79998168889431442"/>
  </sheetPr>
  <dimension ref="A1:W71"/>
  <sheetViews>
    <sheetView topLeftCell="N39" workbookViewId="0">
      <selection activeCell="B2" sqref="B2:G7"/>
    </sheetView>
  </sheetViews>
  <sheetFormatPr defaultColWidth="15.85546875" defaultRowHeight="15.75" x14ac:dyDescent="0.25"/>
  <cols>
    <col min="1" max="1" width="3.42578125" style="33" customWidth="1"/>
    <col min="2" max="2" width="49.140625" style="37" customWidth="1"/>
    <col min="3" max="3" width="32.85546875" style="35" customWidth="1"/>
    <col min="4" max="4" width="28.85546875" style="35" customWidth="1"/>
    <col min="5" max="5" width="40.140625" style="35" customWidth="1"/>
    <col min="6" max="6" width="3.140625" style="35" customWidth="1"/>
    <col min="7" max="7" width="28.28515625" style="35" customWidth="1"/>
    <col min="8" max="8" width="25.42578125" style="35" customWidth="1"/>
    <col min="9" max="9" width="35.42578125" style="35" customWidth="1"/>
    <col min="10" max="11" width="3.140625" style="35" customWidth="1"/>
    <col min="12" max="12" width="45" style="35" bestFit="1" customWidth="1"/>
    <col min="13" max="13" width="28.28515625" style="35" customWidth="1"/>
    <col min="14" max="14" width="25.42578125" style="35" customWidth="1"/>
    <col min="15" max="15" width="35.42578125" style="35" customWidth="1"/>
    <col min="16" max="16" width="3.140625" style="35" customWidth="1"/>
    <col min="17" max="17" width="28.28515625" style="35" customWidth="1"/>
    <col min="18" max="18" width="25.42578125" style="35" customWidth="1"/>
    <col min="19" max="19" width="35.42578125" style="35" customWidth="1"/>
    <col min="20" max="20" width="3.140625" style="35" customWidth="1"/>
    <col min="21" max="21" width="28.28515625" style="35" customWidth="1"/>
    <col min="22" max="22" width="25.42578125" style="35" customWidth="1"/>
    <col min="23" max="23" width="35.42578125" style="35" customWidth="1"/>
    <col min="24" max="16384" width="15.85546875" style="35"/>
  </cols>
  <sheetData>
    <row r="1" spans="1:23" x14ac:dyDescent="0.2">
      <c r="B1" s="34" t="s">
        <v>147</v>
      </c>
    </row>
    <row r="2" spans="1:23" x14ac:dyDescent="0.25">
      <c r="A2" s="36"/>
      <c r="B2" s="153" t="s">
        <v>167</v>
      </c>
      <c r="C2" s="94"/>
      <c r="D2" s="94"/>
      <c r="E2" s="94"/>
      <c r="F2" s="94"/>
      <c r="G2" s="94"/>
      <c r="H2" s="94"/>
      <c r="I2" s="94"/>
      <c r="J2" s="94"/>
      <c r="K2" s="94"/>
      <c r="L2" s="94"/>
      <c r="M2" s="94"/>
      <c r="N2" s="94"/>
      <c r="O2" s="94"/>
      <c r="P2" s="94"/>
      <c r="Q2" s="94"/>
      <c r="R2" s="94"/>
      <c r="S2" s="94"/>
      <c r="T2" s="94"/>
      <c r="U2" s="94"/>
      <c r="V2" s="94"/>
      <c r="W2" s="94"/>
    </row>
    <row r="3" spans="1:23" x14ac:dyDescent="0.25">
      <c r="A3" s="36"/>
      <c r="B3" s="153" t="s">
        <v>355</v>
      </c>
      <c r="C3" s="94"/>
      <c r="D3" s="94"/>
      <c r="E3" s="94"/>
      <c r="F3" s="94"/>
      <c r="G3" s="94"/>
      <c r="H3" s="94"/>
      <c r="I3" s="94"/>
      <c r="J3" s="94"/>
      <c r="K3" s="94"/>
      <c r="L3" s="94"/>
      <c r="M3" s="94"/>
      <c r="N3" s="94"/>
      <c r="O3" s="94"/>
      <c r="P3" s="94"/>
      <c r="Q3" s="94"/>
      <c r="R3" s="94"/>
      <c r="S3" s="94"/>
      <c r="T3" s="94"/>
      <c r="U3" s="94"/>
      <c r="V3" s="94"/>
      <c r="W3" s="94"/>
    </row>
    <row r="4" spans="1:23" x14ac:dyDescent="0.25">
      <c r="A4" s="36"/>
      <c r="B4" s="153" t="s">
        <v>356</v>
      </c>
      <c r="C4" s="94"/>
      <c r="D4" s="94"/>
      <c r="E4" s="94"/>
      <c r="F4" s="94"/>
      <c r="G4" s="94"/>
      <c r="H4" s="94"/>
      <c r="I4" s="94"/>
      <c r="J4" s="94"/>
      <c r="K4" s="94"/>
      <c r="L4" s="94"/>
      <c r="M4" s="94"/>
      <c r="N4" s="94"/>
      <c r="O4" s="94"/>
      <c r="P4" s="94"/>
      <c r="Q4" s="94"/>
      <c r="R4" s="94"/>
      <c r="S4" s="94"/>
      <c r="T4" s="94"/>
      <c r="U4" s="94"/>
      <c r="V4" s="94"/>
      <c r="W4" s="94"/>
    </row>
    <row r="5" spans="1:23" x14ac:dyDescent="0.25">
      <c r="A5" s="36"/>
      <c r="B5" s="153" t="s">
        <v>357</v>
      </c>
      <c r="C5" s="94"/>
      <c r="D5" s="94"/>
      <c r="E5" s="94"/>
      <c r="F5" s="94"/>
      <c r="G5" s="94"/>
      <c r="H5" s="94"/>
      <c r="I5" s="94"/>
      <c r="J5" s="94"/>
      <c r="K5" s="94"/>
      <c r="L5" s="94"/>
      <c r="M5" s="94"/>
      <c r="N5" s="94"/>
      <c r="O5" s="94"/>
      <c r="P5" s="94"/>
      <c r="Q5" s="94"/>
      <c r="R5" s="94"/>
      <c r="S5" s="94"/>
      <c r="T5" s="94"/>
      <c r="U5" s="94"/>
      <c r="V5" s="94"/>
      <c r="W5" s="94"/>
    </row>
    <row r="6" spans="1:23" x14ac:dyDescent="0.25">
      <c r="A6" s="36"/>
      <c r="B6" s="153" t="s">
        <v>358</v>
      </c>
      <c r="C6" s="94"/>
      <c r="D6" s="94"/>
      <c r="E6" s="94"/>
      <c r="F6" s="94"/>
      <c r="G6" s="94"/>
      <c r="H6" s="94"/>
      <c r="I6" s="94"/>
      <c r="J6" s="94"/>
      <c r="K6" s="94"/>
      <c r="L6" s="94"/>
      <c r="M6" s="94"/>
      <c r="N6" s="94"/>
      <c r="O6" s="94"/>
      <c r="P6" s="94"/>
      <c r="Q6" s="94"/>
      <c r="R6" s="94"/>
      <c r="S6" s="94"/>
      <c r="T6" s="94"/>
      <c r="U6" s="94"/>
      <c r="V6" s="94"/>
      <c r="W6" s="94"/>
    </row>
    <row r="7" spans="1:23" x14ac:dyDescent="0.25">
      <c r="A7" s="36"/>
      <c r="B7" s="153" t="s">
        <v>274</v>
      </c>
      <c r="C7" s="94"/>
      <c r="D7" s="94"/>
      <c r="E7" s="94"/>
      <c r="F7" s="94"/>
      <c r="G7" s="94"/>
      <c r="H7" s="94"/>
      <c r="I7" s="94"/>
      <c r="J7" s="94"/>
      <c r="K7" s="94"/>
      <c r="L7" s="94"/>
      <c r="M7" s="94"/>
      <c r="N7" s="94"/>
      <c r="O7" s="94"/>
      <c r="P7" s="94"/>
      <c r="Q7" s="94"/>
      <c r="R7" s="94"/>
      <c r="S7" s="94"/>
      <c r="T7" s="94"/>
      <c r="U7" s="94"/>
      <c r="V7" s="94"/>
      <c r="W7" s="94"/>
    </row>
    <row r="9" spans="1:23" ht="16.5" thickBot="1" x14ac:dyDescent="0.3"/>
    <row r="10" spans="1:23" ht="16.5" thickBot="1" x14ac:dyDescent="0.3">
      <c r="A10" s="38"/>
      <c r="B10" s="189" t="s">
        <v>277</v>
      </c>
      <c r="C10" s="186" t="s">
        <v>170</v>
      </c>
      <c r="D10" s="187"/>
      <c r="E10" s="188"/>
      <c r="F10" s="95"/>
      <c r="G10" s="186" t="s">
        <v>170</v>
      </c>
      <c r="H10" s="187"/>
      <c r="I10" s="188"/>
      <c r="J10" s="95"/>
      <c r="K10" s="95"/>
      <c r="L10" s="189" t="s">
        <v>278</v>
      </c>
      <c r="M10" s="186" t="s">
        <v>170</v>
      </c>
      <c r="N10" s="187"/>
      <c r="O10" s="188"/>
      <c r="P10" s="95"/>
      <c r="Q10" s="186" t="s">
        <v>170</v>
      </c>
      <c r="R10" s="187"/>
      <c r="S10" s="188"/>
      <c r="T10" s="95"/>
      <c r="U10" s="186" t="s">
        <v>170</v>
      </c>
      <c r="V10" s="187"/>
      <c r="W10" s="188"/>
    </row>
    <row r="11" spans="1:23" ht="16.5" thickBot="1" x14ac:dyDescent="0.3">
      <c r="A11" s="38"/>
      <c r="B11" s="190"/>
      <c r="C11" s="129" t="s">
        <v>279</v>
      </c>
      <c r="D11" s="130"/>
      <c r="E11" s="131"/>
      <c r="F11" s="96"/>
      <c r="G11" s="132" t="s">
        <v>280</v>
      </c>
      <c r="H11" s="133"/>
      <c r="I11" s="134"/>
      <c r="J11" s="96"/>
      <c r="K11" s="96"/>
      <c r="L11" s="190"/>
      <c r="M11" s="132" t="s">
        <v>281</v>
      </c>
      <c r="N11" s="133"/>
      <c r="O11" s="134"/>
      <c r="P11" s="96"/>
      <c r="Q11" s="132" t="s">
        <v>282</v>
      </c>
      <c r="R11" s="133"/>
      <c r="S11" s="134"/>
      <c r="T11" s="96"/>
      <c r="U11" s="132" t="s">
        <v>283</v>
      </c>
      <c r="V11" s="133"/>
      <c r="W11" s="134"/>
    </row>
    <row r="12" spans="1:23" x14ac:dyDescent="0.25">
      <c r="A12" s="38"/>
      <c r="B12" s="56" t="s">
        <v>157</v>
      </c>
      <c r="C12" s="56" t="s">
        <v>171</v>
      </c>
      <c r="D12" s="57" t="s">
        <v>172</v>
      </c>
      <c r="E12" s="58" t="s">
        <v>10</v>
      </c>
      <c r="F12" s="97"/>
      <c r="G12" s="56" t="s">
        <v>171</v>
      </c>
      <c r="H12" s="57" t="s">
        <v>172</v>
      </c>
      <c r="I12" s="58" t="s">
        <v>10</v>
      </c>
      <c r="J12" s="97"/>
      <c r="K12" s="97"/>
      <c r="L12" s="56" t="s">
        <v>157</v>
      </c>
      <c r="M12" s="56" t="s">
        <v>171</v>
      </c>
      <c r="N12" s="57" t="s">
        <v>172</v>
      </c>
      <c r="O12" s="58" t="s">
        <v>10</v>
      </c>
      <c r="P12" s="97"/>
      <c r="Q12" s="56" t="s">
        <v>171</v>
      </c>
      <c r="R12" s="57" t="s">
        <v>172</v>
      </c>
      <c r="S12" s="58" t="s">
        <v>10</v>
      </c>
      <c r="T12" s="97"/>
      <c r="U12" s="56" t="s">
        <v>171</v>
      </c>
      <c r="V12" s="57" t="s">
        <v>172</v>
      </c>
      <c r="W12" s="58" t="s">
        <v>10</v>
      </c>
    </row>
    <row r="13" spans="1:23" x14ac:dyDescent="0.25">
      <c r="A13" s="38"/>
      <c r="B13" s="59" t="s">
        <v>184</v>
      </c>
      <c r="C13" s="60"/>
      <c r="D13" s="61">
        <v>0</v>
      </c>
      <c r="E13" s="62">
        <f>+C13*D13</f>
        <v>0</v>
      </c>
      <c r="F13" s="98"/>
      <c r="G13" s="60"/>
      <c r="H13" s="61">
        <v>0</v>
      </c>
      <c r="I13" s="62">
        <f>+G13*H13</f>
        <v>0</v>
      </c>
      <c r="J13" s="98"/>
      <c r="K13" s="98"/>
      <c r="L13" s="151" t="s">
        <v>184</v>
      </c>
      <c r="M13" s="60"/>
      <c r="N13" s="61">
        <v>0</v>
      </c>
      <c r="O13" s="62">
        <f>+M13*N13</f>
        <v>0</v>
      </c>
      <c r="P13" s="98"/>
      <c r="Q13" s="60"/>
      <c r="R13" s="61">
        <v>0</v>
      </c>
      <c r="S13" s="62">
        <f>+Q13*R13</f>
        <v>0</v>
      </c>
      <c r="T13" s="98"/>
      <c r="U13" s="60"/>
      <c r="V13" s="61">
        <v>0</v>
      </c>
      <c r="W13" s="62">
        <f>+U13*V13</f>
        <v>0</v>
      </c>
    </row>
    <row r="14" spans="1:23" x14ac:dyDescent="0.25">
      <c r="A14" s="38"/>
      <c r="B14" s="59" t="s">
        <v>185</v>
      </c>
      <c r="C14" s="60"/>
      <c r="D14" s="61">
        <v>0</v>
      </c>
      <c r="E14" s="62">
        <f t="shared" ref="E14:E25" si="0">+C14*D14</f>
        <v>0</v>
      </c>
      <c r="F14" s="98"/>
      <c r="G14" s="60"/>
      <c r="H14" s="61">
        <v>0</v>
      </c>
      <c r="I14" s="62">
        <f t="shared" ref="I14:I25" si="1">+G14*H14</f>
        <v>0</v>
      </c>
      <c r="J14" s="98"/>
      <c r="K14" s="98"/>
      <c r="L14" s="59" t="s">
        <v>185</v>
      </c>
      <c r="M14" s="60"/>
      <c r="N14" s="61">
        <v>0</v>
      </c>
      <c r="O14" s="62">
        <f t="shared" ref="O14:O25" si="2">+M14*N14</f>
        <v>0</v>
      </c>
      <c r="P14" s="98"/>
      <c r="Q14" s="60"/>
      <c r="R14" s="61">
        <v>0</v>
      </c>
      <c r="S14" s="62">
        <f t="shared" ref="S14:S25" si="3">+Q14*R14</f>
        <v>0</v>
      </c>
      <c r="T14" s="98"/>
      <c r="U14" s="60"/>
      <c r="V14" s="61">
        <v>0</v>
      </c>
      <c r="W14" s="62">
        <f t="shared" ref="W14:W25" si="4">+U14*V14</f>
        <v>0</v>
      </c>
    </row>
    <row r="15" spans="1:23" x14ac:dyDescent="0.25">
      <c r="A15" s="38"/>
      <c r="B15" s="59" t="s">
        <v>186</v>
      </c>
      <c r="C15" s="60"/>
      <c r="D15" s="61">
        <v>0</v>
      </c>
      <c r="E15" s="62">
        <f t="shared" si="0"/>
        <v>0</v>
      </c>
      <c r="F15" s="98"/>
      <c r="G15" s="60"/>
      <c r="H15" s="61">
        <v>0</v>
      </c>
      <c r="I15" s="62">
        <f t="shared" si="1"/>
        <v>0</v>
      </c>
      <c r="J15" s="98"/>
      <c r="K15" s="98"/>
      <c r="L15" s="59" t="s">
        <v>186</v>
      </c>
      <c r="M15" s="60"/>
      <c r="N15" s="61">
        <v>0</v>
      </c>
      <c r="O15" s="62">
        <f t="shared" si="2"/>
        <v>0</v>
      </c>
      <c r="P15" s="98"/>
      <c r="Q15" s="60"/>
      <c r="R15" s="61">
        <v>0</v>
      </c>
      <c r="S15" s="62">
        <f t="shared" si="3"/>
        <v>0</v>
      </c>
      <c r="T15" s="98"/>
      <c r="U15" s="60"/>
      <c r="V15" s="61">
        <v>0</v>
      </c>
      <c r="W15" s="62">
        <f t="shared" si="4"/>
        <v>0</v>
      </c>
    </row>
    <row r="16" spans="1:23" x14ac:dyDescent="0.25">
      <c r="A16" s="38"/>
      <c r="B16" s="59" t="s">
        <v>187</v>
      </c>
      <c r="C16" s="60"/>
      <c r="D16" s="61">
        <v>0</v>
      </c>
      <c r="E16" s="62">
        <f t="shared" si="0"/>
        <v>0</v>
      </c>
      <c r="F16" s="98"/>
      <c r="G16" s="60"/>
      <c r="H16" s="61">
        <v>0</v>
      </c>
      <c r="I16" s="62">
        <f t="shared" si="1"/>
        <v>0</v>
      </c>
      <c r="J16" s="98"/>
      <c r="K16" s="98"/>
      <c r="L16" s="59" t="s">
        <v>187</v>
      </c>
      <c r="M16" s="60"/>
      <c r="N16" s="61">
        <v>0</v>
      </c>
      <c r="O16" s="62">
        <f t="shared" si="2"/>
        <v>0</v>
      </c>
      <c r="P16" s="98"/>
      <c r="Q16" s="60"/>
      <c r="R16" s="61">
        <v>0</v>
      </c>
      <c r="S16" s="62">
        <f t="shared" si="3"/>
        <v>0</v>
      </c>
      <c r="T16" s="98"/>
      <c r="U16" s="60"/>
      <c r="V16" s="61">
        <v>0</v>
      </c>
      <c r="W16" s="62">
        <f t="shared" si="4"/>
        <v>0</v>
      </c>
    </row>
    <row r="17" spans="1:23" x14ac:dyDescent="0.25">
      <c r="A17" s="38"/>
      <c r="B17" s="59" t="s">
        <v>188</v>
      </c>
      <c r="C17" s="60"/>
      <c r="D17" s="61">
        <v>0</v>
      </c>
      <c r="E17" s="62">
        <f t="shared" si="0"/>
        <v>0</v>
      </c>
      <c r="F17" s="98"/>
      <c r="G17" s="60"/>
      <c r="H17" s="61">
        <v>0</v>
      </c>
      <c r="I17" s="62">
        <f t="shared" si="1"/>
        <v>0</v>
      </c>
      <c r="J17" s="98"/>
      <c r="K17" s="98"/>
      <c r="L17" s="59" t="s">
        <v>188</v>
      </c>
      <c r="M17" s="60"/>
      <c r="N17" s="61">
        <v>0</v>
      </c>
      <c r="O17" s="62">
        <f t="shared" si="2"/>
        <v>0</v>
      </c>
      <c r="P17" s="98"/>
      <c r="Q17" s="60"/>
      <c r="R17" s="61">
        <v>0</v>
      </c>
      <c r="S17" s="62">
        <f t="shared" si="3"/>
        <v>0</v>
      </c>
      <c r="T17" s="98"/>
      <c r="U17" s="60"/>
      <c r="V17" s="61">
        <v>0</v>
      </c>
      <c r="W17" s="62">
        <f t="shared" si="4"/>
        <v>0</v>
      </c>
    </row>
    <row r="18" spans="1:23" x14ac:dyDescent="0.25">
      <c r="A18" s="38"/>
      <c r="B18" s="59" t="s">
        <v>189</v>
      </c>
      <c r="C18" s="60"/>
      <c r="D18" s="61">
        <v>0</v>
      </c>
      <c r="E18" s="62">
        <f t="shared" si="0"/>
        <v>0</v>
      </c>
      <c r="F18" s="98"/>
      <c r="G18" s="60"/>
      <c r="H18" s="61">
        <v>0</v>
      </c>
      <c r="I18" s="62">
        <f t="shared" si="1"/>
        <v>0</v>
      </c>
      <c r="J18" s="98"/>
      <c r="K18" s="98"/>
      <c r="L18" s="59" t="s">
        <v>189</v>
      </c>
      <c r="M18" s="60"/>
      <c r="N18" s="61">
        <v>0</v>
      </c>
      <c r="O18" s="62">
        <f t="shared" si="2"/>
        <v>0</v>
      </c>
      <c r="P18" s="98"/>
      <c r="Q18" s="60"/>
      <c r="R18" s="61">
        <v>0</v>
      </c>
      <c r="S18" s="62">
        <f t="shared" si="3"/>
        <v>0</v>
      </c>
      <c r="T18" s="98"/>
      <c r="U18" s="60"/>
      <c r="V18" s="61">
        <v>0</v>
      </c>
      <c r="W18" s="62">
        <f t="shared" si="4"/>
        <v>0</v>
      </c>
    </row>
    <row r="19" spans="1:23" x14ac:dyDescent="0.25">
      <c r="A19" s="38"/>
      <c r="B19" s="59" t="s">
        <v>190</v>
      </c>
      <c r="C19" s="60"/>
      <c r="D19" s="61">
        <v>0</v>
      </c>
      <c r="E19" s="62">
        <f t="shared" si="0"/>
        <v>0</v>
      </c>
      <c r="F19" s="98"/>
      <c r="G19" s="60"/>
      <c r="H19" s="61">
        <v>0</v>
      </c>
      <c r="I19" s="62">
        <f t="shared" si="1"/>
        <v>0</v>
      </c>
      <c r="J19" s="98"/>
      <c r="K19" s="98"/>
      <c r="L19" s="59" t="s">
        <v>190</v>
      </c>
      <c r="M19" s="60"/>
      <c r="N19" s="61">
        <v>0</v>
      </c>
      <c r="O19" s="62">
        <f t="shared" si="2"/>
        <v>0</v>
      </c>
      <c r="P19" s="98"/>
      <c r="Q19" s="60"/>
      <c r="R19" s="61">
        <v>0</v>
      </c>
      <c r="S19" s="62">
        <f t="shared" si="3"/>
        <v>0</v>
      </c>
      <c r="T19" s="98"/>
      <c r="U19" s="60"/>
      <c r="V19" s="61">
        <v>0</v>
      </c>
      <c r="W19" s="62">
        <f t="shared" si="4"/>
        <v>0</v>
      </c>
    </row>
    <row r="20" spans="1:23" x14ac:dyDescent="0.25">
      <c r="A20" s="38"/>
      <c r="B20" s="59" t="s">
        <v>191</v>
      </c>
      <c r="C20" s="60"/>
      <c r="D20" s="61">
        <v>0</v>
      </c>
      <c r="E20" s="62">
        <f t="shared" si="0"/>
        <v>0</v>
      </c>
      <c r="F20" s="98"/>
      <c r="G20" s="60"/>
      <c r="H20" s="61">
        <v>0</v>
      </c>
      <c r="I20" s="62">
        <f t="shared" si="1"/>
        <v>0</v>
      </c>
      <c r="J20" s="98"/>
      <c r="K20" s="98"/>
      <c r="L20" s="59" t="s">
        <v>191</v>
      </c>
      <c r="M20" s="60"/>
      <c r="N20" s="61">
        <v>0</v>
      </c>
      <c r="O20" s="62">
        <f t="shared" si="2"/>
        <v>0</v>
      </c>
      <c r="P20" s="98"/>
      <c r="Q20" s="60"/>
      <c r="R20" s="61">
        <v>0</v>
      </c>
      <c r="S20" s="62">
        <f t="shared" si="3"/>
        <v>0</v>
      </c>
      <c r="T20" s="98"/>
      <c r="U20" s="60"/>
      <c r="V20" s="61">
        <v>0</v>
      </c>
      <c r="W20" s="62">
        <f t="shared" si="4"/>
        <v>0</v>
      </c>
    </row>
    <row r="21" spans="1:23" x14ac:dyDescent="0.25">
      <c r="A21" s="38"/>
      <c r="B21" s="59" t="s">
        <v>192</v>
      </c>
      <c r="C21" s="60"/>
      <c r="D21" s="61">
        <v>0</v>
      </c>
      <c r="E21" s="62">
        <f t="shared" si="0"/>
        <v>0</v>
      </c>
      <c r="F21" s="98"/>
      <c r="G21" s="60"/>
      <c r="H21" s="61">
        <v>0</v>
      </c>
      <c r="I21" s="62">
        <f t="shared" si="1"/>
        <v>0</v>
      </c>
      <c r="J21" s="98"/>
      <c r="K21" s="98"/>
      <c r="L21" s="59" t="s">
        <v>192</v>
      </c>
      <c r="M21" s="60"/>
      <c r="N21" s="61">
        <v>0</v>
      </c>
      <c r="O21" s="62">
        <f t="shared" si="2"/>
        <v>0</v>
      </c>
      <c r="P21" s="98"/>
      <c r="Q21" s="60"/>
      <c r="R21" s="61">
        <v>0</v>
      </c>
      <c r="S21" s="62">
        <f t="shared" si="3"/>
        <v>0</v>
      </c>
      <c r="T21" s="98"/>
      <c r="U21" s="60"/>
      <c r="V21" s="61">
        <v>0</v>
      </c>
      <c r="W21" s="62">
        <f t="shared" si="4"/>
        <v>0</v>
      </c>
    </row>
    <row r="22" spans="1:23" ht="15" customHeight="1" x14ac:dyDescent="0.25">
      <c r="A22" s="38"/>
      <c r="B22" s="59" t="s">
        <v>193</v>
      </c>
      <c r="C22" s="60"/>
      <c r="D22" s="61">
        <v>0</v>
      </c>
      <c r="E22" s="62">
        <f t="shared" si="0"/>
        <v>0</v>
      </c>
      <c r="F22" s="98"/>
      <c r="G22" s="60"/>
      <c r="H22" s="61">
        <v>0</v>
      </c>
      <c r="I22" s="62">
        <f t="shared" si="1"/>
        <v>0</v>
      </c>
      <c r="J22" s="98"/>
      <c r="K22" s="98"/>
      <c r="L22" s="59" t="s">
        <v>193</v>
      </c>
      <c r="M22" s="60"/>
      <c r="N22" s="61">
        <v>0</v>
      </c>
      <c r="O22" s="62">
        <f t="shared" si="2"/>
        <v>0</v>
      </c>
      <c r="P22" s="98"/>
      <c r="Q22" s="60"/>
      <c r="R22" s="61">
        <v>0</v>
      </c>
      <c r="S22" s="62">
        <f t="shared" si="3"/>
        <v>0</v>
      </c>
      <c r="T22" s="98"/>
      <c r="U22" s="60"/>
      <c r="V22" s="61">
        <v>0</v>
      </c>
      <c r="W22" s="62">
        <f t="shared" si="4"/>
        <v>0</v>
      </c>
    </row>
    <row r="23" spans="1:23" ht="15" customHeight="1" x14ac:dyDescent="0.25">
      <c r="A23" s="38"/>
      <c r="B23" s="59" t="s">
        <v>194</v>
      </c>
      <c r="C23" s="60"/>
      <c r="D23" s="61">
        <v>0</v>
      </c>
      <c r="E23" s="62">
        <f t="shared" si="0"/>
        <v>0</v>
      </c>
      <c r="F23" s="98"/>
      <c r="G23" s="60"/>
      <c r="H23" s="61">
        <v>0</v>
      </c>
      <c r="I23" s="62">
        <f t="shared" si="1"/>
        <v>0</v>
      </c>
      <c r="J23" s="98"/>
      <c r="K23" s="98"/>
      <c r="L23" s="59" t="s">
        <v>194</v>
      </c>
      <c r="M23" s="60"/>
      <c r="N23" s="61">
        <v>0</v>
      </c>
      <c r="O23" s="62">
        <f t="shared" si="2"/>
        <v>0</v>
      </c>
      <c r="P23" s="98"/>
      <c r="Q23" s="60"/>
      <c r="R23" s="61">
        <v>0</v>
      </c>
      <c r="S23" s="62">
        <f t="shared" si="3"/>
        <v>0</v>
      </c>
      <c r="T23" s="98"/>
      <c r="U23" s="60"/>
      <c r="V23" s="61">
        <v>0</v>
      </c>
      <c r="W23" s="62">
        <f t="shared" si="4"/>
        <v>0</v>
      </c>
    </row>
    <row r="24" spans="1:23" ht="15" customHeight="1" x14ac:dyDescent="0.25">
      <c r="A24" s="38"/>
      <c r="B24" s="59" t="s">
        <v>195</v>
      </c>
      <c r="C24" s="60"/>
      <c r="D24" s="61">
        <v>0</v>
      </c>
      <c r="E24" s="62">
        <f t="shared" si="0"/>
        <v>0</v>
      </c>
      <c r="F24" s="98"/>
      <c r="G24" s="60"/>
      <c r="H24" s="61">
        <v>0</v>
      </c>
      <c r="I24" s="62">
        <f t="shared" si="1"/>
        <v>0</v>
      </c>
      <c r="J24" s="98"/>
      <c r="K24" s="98"/>
      <c r="L24" s="59" t="s">
        <v>195</v>
      </c>
      <c r="M24" s="60"/>
      <c r="N24" s="61">
        <v>0</v>
      </c>
      <c r="O24" s="62">
        <f t="shared" si="2"/>
        <v>0</v>
      </c>
      <c r="P24" s="98"/>
      <c r="Q24" s="60"/>
      <c r="R24" s="61">
        <v>0</v>
      </c>
      <c r="S24" s="62">
        <f t="shared" si="3"/>
        <v>0</v>
      </c>
      <c r="T24" s="98"/>
      <c r="U24" s="60"/>
      <c r="V24" s="61">
        <v>0</v>
      </c>
      <c r="W24" s="62">
        <f t="shared" si="4"/>
        <v>0</v>
      </c>
    </row>
    <row r="25" spans="1:23" ht="15" customHeight="1" thickBot="1" x14ac:dyDescent="0.3">
      <c r="A25" s="38"/>
      <c r="B25" s="59" t="s">
        <v>196</v>
      </c>
      <c r="C25" s="63"/>
      <c r="D25" s="39">
        <v>0</v>
      </c>
      <c r="E25" s="64">
        <f t="shared" si="0"/>
        <v>0</v>
      </c>
      <c r="F25" s="99"/>
      <c r="G25" s="63"/>
      <c r="H25" s="39">
        <v>0</v>
      </c>
      <c r="I25" s="64">
        <f t="shared" si="1"/>
        <v>0</v>
      </c>
      <c r="J25" s="99"/>
      <c r="K25" s="99"/>
      <c r="L25" s="59" t="s">
        <v>196</v>
      </c>
      <c r="M25" s="63"/>
      <c r="N25" s="39">
        <v>0</v>
      </c>
      <c r="O25" s="64">
        <f t="shared" si="2"/>
        <v>0</v>
      </c>
      <c r="P25" s="99"/>
      <c r="Q25" s="63"/>
      <c r="R25" s="39">
        <v>0</v>
      </c>
      <c r="S25" s="64">
        <f t="shared" si="3"/>
        <v>0</v>
      </c>
      <c r="T25" s="99"/>
      <c r="U25" s="63"/>
      <c r="V25" s="39">
        <v>0</v>
      </c>
      <c r="W25" s="64">
        <f t="shared" si="4"/>
        <v>0</v>
      </c>
    </row>
    <row r="26" spans="1:23" ht="16.5" thickBot="1" x14ac:dyDescent="0.3">
      <c r="A26" s="38"/>
      <c r="B26" s="113" t="s">
        <v>173</v>
      </c>
      <c r="C26" s="65">
        <f>SUM(C13:C25)</f>
        <v>0</v>
      </c>
      <c r="D26" s="66"/>
      <c r="E26" s="67">
        <f>SUM(E13:E25)</f>
        <v>0</v>
      </c>
      <c r="F26" s="100"/>
      <c r="G26" s="65">
        <f>SUM(G13:G25)</f>
        <v>0</v>
      </c>
      <c r="H26" s="66"/>
      <c r="I26" s="67">
        <f>SUM(I13:I25)</f>
        <v>0</v>
      </c>
      <c r="J26" s="100"/>
      <c r="K26" s="100"/>
      <c r="L26" s="113" t="s">
        <v>173</v>
      </c>
      <c r="M26" s="65">
        <f>SUM(M13:M25)</f>
        <v>0</v>
      </c>
      <c r="N26" s="66"/>
      <c r="O26" s="67">
        <f>SUM(O13:O25)</f>
        <v>0</v>
      </c>
      <c r="P26" s="100"/>
      <c r="Q26" s="65">
        <f>SUM(Q13:Q25)</f>
        <v>0</v>
      </c>
      <c r="R26" s="66"/>
      <c r="S26" s="67">
        <f>SUM(S13:S25)</f>
        <v>0</v>
      </c>
      <c r="T26" s="100"/>
      <c r="U26" s="65">
        <f>SUM(U13:U25)</f>
        <v>0</v>
      </c>
      <c r="V26" s="66"/>
      <c r="W26" s="67">
        <f>SUM(W13:W25)</f>
        <v>0</v>
      </c>
    </row>
    <row r="27" spans="1:23" x14ac:dyDescent="0.25">
      <c r="A27" s="38"/>
      <c r="B27" s="68"/>
      <c r="C27" s="56" t="s">
        <v>174</v>
      </c>
      <c r="D27" s="57" t="s">
        <v>172</v>
      </c>
      <c r="E27" s="58" t="s">
        <v>10</v>
      </c>
      <c r="F27" s="101"/>
      <c r="G27" s="56" t="s">
        <v>174</v>
      </c>
      <c r="H27" s="57" t="s">
        <v>172</v>
      </c>
      <c r="I27" s="58" t="s">
        <v>10</v>
      </c>
      <c r="J27" s="101"/>
      <c r="K27" s="101"/>
      <c r="L27" s="68"/>
      <c r="M27" s="56" t="s">
        <v>174</v>
      </c>
      <c r="N27" s="57" t="s">
        <v>172</v>
      </c>
      <c r="O27" s="58" t="s">
        <v>10</v>
      </c>
      <c r="P27" s="101"/>
      <c r="Q27" s="56" t="s">
        <v>174</v>
      </c>
      <c r="R27" s="57" t="s">
        <v>172</v>
      </c>
      <c r="S27" s="58" t="s">
        <v>10</v>
      </c>
      <c r="T27" s="101"/>
      <c r="U27" s="56" t="s">
        <v>174</v>
      </c>
      <c r="V27" s="57" t="s">
        <v>172</v>
      </c>
      <c r="W27" s="58" t="s">
        <v>10</v>
      </c>
    </row>
    <row r="28" spans="1:23" x14ac:dyDescent="0.25">
      <c r="A28" s="38"/>
      <c r="B28" s="51" t="s">
        <v>160</v>
      </c>
      <c r="C28" s="69">
        <f>+E26</f>
        <v>0</v>
      </c>
      <c r="D28" s="70">
        <v>0</v>
      </c>
      <c r="E28" s="71">
        <f>+C28*D28</f>
        <v>0</v>
      </c>
      <c r="F28" s="100"/>
      <c r="G28" s="69">
        <f>+I26</f>
        <v>0</v>
      </c>
      <c r="H28" s="70">
        <v>0</v>
      </c>
      <c r="I28" s="71">
        <f>+G28*H28</f>
        <v>0</v>
      </c>
      <c r="J28" s="100"/>
      <c r="K28" s="100"/>
      <c r="L28" s="51" t="s">
        <v>269</v>
      </c>
      <c r="M28" s="69">
        <f>+O26</f>
        <v>0</v>
      </c>
      <c r="N28" s="70">
        <v>0</v>
      </c>
      <c r="O28" s="71">
        <f>+M28*N28</f>
        <v>0</v>
      </c>
      <c r="P28" s="100"/>
      <c r="Q28" s="69">
        <f>+S26</f>
        <v>0</v>
      </c>
      <c r="R28" s="70">
        <v>0</v>
      </c>
      <c r="S28" s="71">
        <f>+Q28*R28</f>
        <v>0</v>
      </c>
      <c r="T28" s="100"/>
      <c r="U28" s="69">
        <f>+W26</f>
        <v>0</v>
      </c>
      <c r="V28" s="70">
        <v>0</v>
      </c>
      <c r="W28" s="71">
        <f>+U28*V28</f>
        <v>0</v>
      </c>
    </row>
    <row r="29" spans="1:23" x14ac:dyDescent="0.25">
      <c r="A29" s="38"/>
      <c r="B29" s="51" t="s">
        <v>161</v>
      </c>
      <c r="C29" s="69">
        <f>+C28+E28</f>
        <v>0</v>
      </c>
      <c r="D29" s="70">
        <v>0</v>
      </c>
      <c r="E29" s="71">
        <f>+C29*D29</f>
        <v>0</v>
      </c>
      <c r="F29" s="100"/>
      <c r="G29" s="69">
        <f>+G28+I28</f>
        <v>0</v>
      </c>
      <c r="H29" s="70">
        <v>0</v>
      </c>
      <c r="I29" s="71">
        <f>+G29*H29</f>
        <v>0</v>
      </c>
      <c r="J29" s="100"/>
      <c r="K29" s="100"/>
      <c r="L29" s="51" t="s">
        <v>161</v>
      </c>
      <c r="M29" s="69">
        <f>+M28+O28</f>
        <v>0</v>
      </c>
      <c r="N29" s="70">
        <v>0</v>
      </c>
      <c r="O29" s="71">
        <f>+M29*N29</f>
        <v>0</v>
      </c>
      <c r="P29" s="100"/>
      <c r="Q29" s="69">
        <f>+Q28+S28</f>
        <v>0</v>
      </c>
      <c r="R29" s="70">
        <v>0</v>
      </c>
      <c r="S29" s="71">
        <f>+Q29*R29</f>
        <v>0</v>
      </c>
      <c r="T29" s="100"/>
      <c r="U29" s="69">
        <f>+U28+W28</f>
        <v>0</v>
      </c>
      <c r="V29" s="70">
        <v>0</v>
      </c>
      <c r="W29" s="71">
        <f>+U29*V29</f>
        <v>0</v>
      </c>
    </row>
    <row r="30" spans="1:23" x14ac:dyDescent="0.25">
      <c r="A30" s="38"/>
      <c r="B30" s="51" t="s">
        <v>162</v>
      </c>
      <c r="C30" s="69">
        <f>+C29+E29</f>
        <v>0</v>
      </c>
      <c r="D30" s="70">
        <v>0</v>
      </c>
      <c r="E30" s="71">
        <f>+C30*D30</f>
        <v>0</v>
      </c>
      <c r="F30" s="100"/>
      <c r="G30" s="69">
        <f>+G29+I29</f>
        <v>0</v>
      </c>
      <c r="H30" s="70">
        <v>0</v>
      </c>
      <c r="I30" s="71">
        <f>+G30*H30</f>
        <v>0</v>
      </c>
      <c r="J30" s="100"/>
      <c r="K30" s="100"/>
      <c r="L30" s="51" t="s">
        <v>162</v>
      </c>
      <c r="M30" s="69">
        <f>+M29+O29</f>
        <v>0</v>
      </c>
      <c r="N30" s="70">
        <v>0</v>
      </c>
      <c r="O30" s="71">
        <f>+M30*N30</f>
        <v>0</v>
      </c>
      <c r="P30" s="100"/>
      <c r="Q30" s="69">
        <f>+Q29+S29</f>
        <v>0</v>
      </c>
      <c r="R30" s="70">
        <v>0</v>
      </c>
      <c r="S30" s="71">
        <f>+Q30*R30</f>
        <v>0</v>
      </c>
      <c r="T30" s="100"/>
      <c r="U30" s="69">
        <f>+U29+W29</f>
        <v>0</v>
      </c>
      <c r="V30" s="70">
        <v>0</v>
      </c>
      <c r="W30" s="71">
        <f>+U30*V30</f>
        <v>0</v>
      </c>
    </row>
    <row r="31" spans="1:23" x14ac:dyDescent="0.25">
      <c r="A31" s="38"/>
      <c r="B31" s="51" t="s">
        <v>163</v>
      </c>
      <c r="C31" s="69">
        <f>+C28</f>
        <v>0</v>
      </c>
      <c r="D31" s="70">
        <v>0</v>
      </c>
      <c r="E31" s="71">
        <f>+C31*D31</f>
        <v>0</v>
      </c>
      <c r="F31" s="100"/>
      <c r="G31" s="69">
        <f>+G28</f>
        <v>0</v>
      </c>
      <c r="H31" s="70">
        <v>0</v>
      </c>
      <c r="I31" s="71">
        <f>+G31*H31</f>
        <v>0</v>
      </c>
      <c r="J31" s="100"/>
      <c r="K31" s="100"/>
      <c r="L31" s="51" t="s">
        <v>163</v>
      </c>
      <c r="M31" s="69">
        <f>+M28</f>
        <v>0</v>
      </c>
      <c r="N31" s="70">
        <v>0</v>
      </c>
      <c r="O31" s="71">
        <f>+M31*N31</f>
        <v>0</v>
      </c>
      <c r="P31" s="100"/>
      <c r="Q31" s="69">
        <f>+Q28</f>
        <v>0</v>
      </c>
      <c r="R31" s="70">
        <v>0</v>
      </c>
      <c r="S31" s="71">
        <f>+Q31*R31</f>
        <v>0</v>
      </c>
      <c r="T31" s="100"/>
      <c r="U31" s="69">
        <f>+U28</f>
        <v>0</v>
      </c>
      <c r="V31" s="70">
        <v>0</v>
      </c>
      <c r="W31" s="71">
        <f>+U31*V31</f>
        <v>0</v>
      </c>
    </row>
    <row r="32" spans="1:23" x14ac:dyDescent="0.25">
      <c r="A32" s="38"/>
      <c r="B32" s="51" t="s">
        <v>164</v>
      </c>
      <c r="C32" s="69">
        <f>+C30+E30</f>
        <v>0</v>
      </c>
      <c r="D32" s="70">
        <v>0</v>
      </c>
      <c r="E32" s="71">
        <f>+C32*D32</f>
        <v>0</v>
      </c>
      <c r="F32" s="100"/>
      <c r="G32" s="69">
        <f>+G30+I30</f>
        <v>0</v>
      </c>
      <c r="H32" s="70">
        <v>0</v>
      </c>
      <c r="I32" s="71">
        <f>+G32*H32</f>
        <v>0</v>
      </c>
      <c r="J32" s="100"/>
      <c r="K32" s="100"/>
      <c r="L32" s="51" t="s">
        <v>164</v>
      </c>
      <c r="M32" s="69">
        <f>+M30+O30</f>
        <v>0</v>
      </c>
      <c r="N32" s="70">
        <v>0</v>
      </c>
      <c r="O32" s="71">
        <f>+M32*N32</f>
        <v>0</v>
      </c>
      <c r="P32" s="100"/>
      <c r="Q32" s="69">
        <f>+Q30+S30</f>
        <v>0</v>
      </c>
      <c r="R32" s="70">
        <v>0</v>
      </c>
      <c r="S32" s="71">
        <f>+Q32*R32</f>
        <v>0</v>
      </c>
      <c r="T32" s="100"/>
      <c r="U32" s="69">
        <f>+U30+W30</f>
        <v>0</v>
      </c>
      <c r="V32" s="70">
        <v>0</v>
      </c>
      <c r="W32" s="71">
        <f>+U32*V32</f>
        <v>0</v>
      </c>
    </row>
    <row r="33" spans="1:23" x14ac:dyDescent="0.25">
      <c r="A33" s="38"/>
      <c r="B33" s="51" t="s">
        <v>175</v>
      </c>
      <c r="C33" s="72"/>
      <c r="D33" s="73"/>
      <c r="E33" s="71">
        <f>+SUM(E26,E28,E29,E30)</f>
        <v>0</v>
      </c>
      <c r="F33" s="100"/>
      <c r="G33" s="72"/>
      <c r="H33" s="73"/>
      <c r="I33" s="71">
        <f>+SUM(I26,I28,I29,I30)</f>
        <v>0</v>
      </c>
      <c r="J33" s="100"/>
      <c r="K33" s="100"/>
      <c r="L33" s="51" t="s">
        <v>270</v>
      </c>
      <c r="M33" s="72"/>
      <c r="N33" s="73"/>
      <c r="O33" s="71">
        <f>+SUM(O26,O28,O29,O30)</f>
        <v>0</v>
      </c>
      <c r="P33" s="100"/>
      <c r="Q33" s="72"/>
      <c r="R33" s="73"/>
      <c r="S33" s="71">
        <f>+SUM(S26,S28,S29,S30)</f>
        <v>0</v>
      </c>
      <c r="T33" s="100"/>
      <c r="U33" s="72"/>
      <c r="V33" s="73"/>
      <c r="W33" s="71">
        <f>+SUM(W26,W28,W29,W30)</f>
        <v>0</v>
      </c>
    </row>
    <row r="34" spans="1:23" x14ac:dyDescent="0.25">
      <c r="A34" s="38"/>
      <c r="B34" s="51" t="s">
        <v>176</v>
      </c>
      <c r="C34" s="72"/>
      <c r="D34" s="73"/>
      <c r="E34" s="71">
        <f>+E31</f>
        <v>0</v>
      </c>
      <c r="F34" s="100"/>
      <c r="G34" s="72"/>
      <c r="H34" s="73"/>
      <c r="I34" s="71">
        <f>+I31</f>
        <v>0</v>
      </c>
      <c r="J34" s="100"/>
      <c r="K34" s="100"/>
      <c r="L34" s="51" t="s">
        <v>271</v>
      </c>
      <c r="M34" s="72"/>
      <c r="N34" s="73"/>
      <c r="O34" s="71">
        <f>+O31</f>
        <v>0</v>
      </c>
      <c r="P34" s="100"/>
      <c r="Q34" s="72"/>
      <c r="R34" s="73"/>
      <c r="S34" s="71">
        <f>+S31</f>
        <v>0</v>
      </c>
      <c r="T34" s="100"/>
      <c r="U34" s="72"/>
      <c r="V34" s="73"/>
      <c r="W34" s="71">
        <f>+W31</f>
        <v>0</v>
      </c>
    </row>
    <row r="35" spans="1:23" x14ac:dyDescent="0.25">
      <c r="A35" s="38"/>
      <c r="B35" s="51" t="s">
        <v>177</v>
      </c>
      <c r="C35" s="72"/>
      <c r="D35" s="73"/>
      <c r="E35" s="74">
        <f>+E32</f>
        <v>0</v>
      </c>
      <c r="F35" s="102"/>
      <c r="G35" s="72"/>
      <c r="H35" s="73"/>
      <c r="I35" s="74">
        <f>+I32</f>
        <v>0</v>
      </c>
      <c r="J35" s="102"/>
      <c r="K35" s="102"/>
      <c r="L35" s="51" t="s">
        <v>272</v>
      </c>
      <c r="M35" s="72"/>
      <c r="N35" s="73"/>
      <c r="O35" s="74">
        <f>+O32</f>
        <v>0</v>
      </c>
      <c r="P35" s="102"/>
      <c r="Q35" s="72"/>
      <c r="R35" s="73"/>
      <c r="S35" s="74">
        <f>+S32</f>
        <v>0</v>
      </c>
      <c r="T35" s="102"/>
      <c r="U35" s="72"/>
      <c r="V35" s="73"/>
      <c r="W35" s="74">
        <f>+W32</f>
        <v>0</v>
      </c>
    </row>
    <row r="36" spans="1:23" ht="16.5" thickBot="1" x14ac:dyDescent="0.3">
      <c r="A36" s="38"/>
      <c r="B36" s="52" t="s">
        <v>178</v>
      </c>
      <c r="C36" s="75"/>
      <c r="D36" s="76"/>
      <c r="E36" s="77">
        <f>SUM(E33:E35)</f>
        <v>0</v>
      </c>
      <c r="F36" s="103"/>
      <c r="G36" s="75"/>
      <c r="H36" s="76"/>
      <c r="I36" s="77">
        <f>SUM(I33:I35)</f>
        <v>0</v>
      </c>
      <c r="J36" s="103"/>
      <c r="K36" s="103"/>
      <c r="L36" s="52" t="s">
        <v>273</v>
      </c>
      <c r="M36" s="75"/>
      <c r="N36" s="76"/>
      <c r="O36" s="77">
        <f>SUM(O33:O35)</f>
        <v>0</v>
      </c>
      <c r="P36" s="103"/>
      <c r="Q36" s="75"/>
      <c r="R36" s="76"/>
      <c r="S36" s="77">
        <f>SUM(S33:S35)</f>
        <v>0</v>
      </c>
      <c r="T36" s="103"/>
      <c r="U36" s="75"/>
      <c r="V36" s="76"/>
      <c r="W36" s="77">
        <f>SUM(W33:W35)</f>
        <v>0</v>
      </c>
    </row>
    <row r="37" spans="1:23" x14ac:dyDescent="0.25">
      <c r="A37" s="38"/>
      <c r="B37" s="41"/>
      <c r="C37" s="78"/>
      <c r="D37" s="78"/>
      <c r="E37" s="78"/>
      <c r="F37" s="104"/>
      <c r="G37" s="78"/>
      <c r="H37" s="78"/>
      <c r="I37" s="78"/>
      <c r="J37" s="104"/>
      <c r="K37" s="104"/>
      <c r="L37" s="41"/>
      <c r="M37" s="78"/>
      <c r="N37" s="78"/>
      <c r="O37" s="78"/>
      <c r="P37" s="104"/>
      <c r="Q37" s="78"/>
      <c r="R37" s="78"/>
      <c r="S37" s="78"/>
      <c r="T37" s="104"/>
      <c r="U37" s="78"/>
      <c r="V37" s="78"/>
      <c r="W37" s="78"/>
    </row>
    <row r="38" spans="1:23" ht="16.5" thickBot="1" x14ac:dyDescent="0.3">
      <c r="A38" s="38"/>
      <c r="C38" s="37"/>
      <c r="D38" s="37"/>
      <c r="E38" s="37"/>
      <c r="F38" s="105"/>
      <c r="G38" s="37"/>
      <c r="H38" s="37"/>
      <c r="I38" s="37"/>
      <c r="J38" s="105"/>
      <c r="K38" s="105"/>
      <c r="L38" s="37"/>
      <c r="M38" s="37"/>
      <c r="N38" s="37"/>
      <c r="O38" s="37"/>
      <c r="P38" s="105"/>
      <c r="Q38" s="37"/>
      <c r="R38" s="37"/>
      <c r="S38" s="37"/>
      <c r="T38" s="105"/>
      <c r="U38" s="37"/>
      <c r="V38" s="37"/>
      <c r="W38" s="37"/>
    </row>
    <row r="39" spans="1:23" ht="16.5" thickBot="1" x14ac:dyDescent="0.3">
      <c r="A39" s="38"/>
      <c r="B39" s="189" t="str">
        <f>B10</f>
        <v xml:space="preserve">CLINs 0002 &amp; 1002: CPFF </v>
      </c>
      <c r="C39" s="186" t="s">
        <v>179</v>
      </c>
      <c r="D39" s="187"/>
      <c r="E39" s="188"/>
      <c r="F39" s="106"/>
      <c r="G39" s="186" t="s">
        <v>179</v>
      </c>
      <c r="H39" s="187"/>
      <c r="I39" s="188"/>
      <c r="J39" s="106"/>
      <c r="K39" s="106"/>
      <c r="L39" s="149"/>
      <c r="M39" s="186" t="s">
        <v>179</v>
      </c>
      <c r="N39" s="187"/>
      <c r="O39" s="188"/>
      <c r="P39" s="106"/>
      <c r="Q39" s="186" t="s">
        <v>179</v>
      </c>
      <c r="R39" s="187"/>
      <c r="S39" s="188"/>
      <c r="T39" s="106"/>
      <c r="U39" s="186" t="s">
        <v>179</v>
      </c>
      <c r="V39" s="187"/>
      <c r="W39" s="188"/>
    </row>
    <row r="40" spans="1:23" ht="16.5" thickBot="1" x14ac:dyDescent="0.3">
      <c r="A40" s="38"/>
      <c r="B40" s="190"/>
      <c r="C40" s="129" t="str">
        <f>C11</f>
        <v>0002: F-15 O-Level Handheld/Pre-load  Tester Prototype design and digital development - Basic Period</v>
      </c>
      <c r="D40" s="130"/>
      <c r="E40" s="131"/>
      <c r="F40" s="107"/>
      <c r="G40" s="132" t="str">
        <f>G11</f>
        <v>1002: F-15 O-Level Handheld/Pre-load Tester EMD - Option Period 1</v>
      </c>
      <c r="H40" s="133"/>
      <c r="I40" s="134"/>
      <c r="J40" s="107"/>
      <c r="K40" s="107"/>
      <c r="L40" s="150"/>
      <c r="M40" s="132" t="str">
        <f>M11</f>
        <v>2002: A-10 O-Level Handheld/Pre-load Tester EMD - Option Period 2</v>
      </c>
      <c r="N40" s="133"/>
      <c r="O40" s="134"/>
      <c r="P40" s="107"/>
      <c r="Q40" s="132" t="str">
        <f>Q11</f>
        <v>3002: F-16 I-Level Fault Isolation Tester EMD - Option Period 3</v>
      </c>
      <c r="R40" s="133"/>
      <c r="S40" s="134"/>
      <c r="T40" s="107"/>
      <c r="U40" s="132" t="str">
        <f>U11</f>
        <v>4002: A-10 I-Level Fault Isolation Tester EMD - Option Period 4</v>
      </c>
      <c r="V40" s="133"/>
      <c r="W40" s="134"/>
    </row>
    <row r="41" spans="1:23" x14ac:dyDescent="0.25">
      <c r="A41" s="38"/>
      <c r="B41" s="79"/>
      <c r="C41" s="56" t="s">
        <v>174</v>
      </c>
      <c r="D41" s="57" t="s">
        <v>172</v>
      </c>
      <c r="E41" s="58" t="s">
        <v>10</v>
      </c>
      <c r="F41" s="101"/>
      <c r="G41" s="56" t="s">
        <v>174</v>
      </c>
      <c r="H41" s="57" t="s">
        <v>172</v>
      </c>
      <c r="I41" s="58" t="s">
        <v>10</v>
      </c>
      <c r="J41" s="101"/>
      <c r="K41" s="101"/>
      <c r="L41" s="79"/>
      <c r="M41" s="56" t="s">
        <v>174</v>
      </c>
      <c r="N41" s="57" t="s">
        <v>172</v>
      </c>
      <c r="O41" s="58" t="s">
        <v>10</v>
      </c>
      <c r="P41" s="101"/>
      <c r="Q41" s="56" t="s">
        <v>174</v>
      </c>
      <c r="R41" s="57" t="s">
        <v>172</v>
      </c>
      <c r="S41" s="58" t="s">
        <v>10</v>
      </c>
      <c r="T41" s="101"/>
      <c r="U41" s="56" t="s">
        <v>174</v>
      </c>
      <c r="V41" s="57" t="s">
        <v>172</v>
      </c>
      <c r="W41" s="58" t="s">
        <v>10</v>
      </c>
    </row>
    <row r="42" spans="1:23" x14ac:dyDescent="0.25">
      <c r="A42" s="38"/>
      <c r="B42" s="80" t="s">
        <v>180</v>
      </c>
      <c r="C42" s="81"/>
      <c r="D42" s="82"/>
      <c r="E42" s="83"/>
      <c r="F42" s="100"/>
      <c r="G42" s="81"/>
      <c r="H42" s="82"/>
      <c r="I42" s="83"/>
      <c r="J42" s="100"/>
      <c r="K42" s="100"/>
      <c r="L42" s="80" t="s">
        <v>180</v>
      </c>
      <c r="M42" s="81"/>
      <c r="N42" s="82"/>
      <c r="O42" s="83"/>
      <c r="P42" s="100"/>
      <c r="Q42" s="81"/>
      <c r="R42" s="82"/>
      <c r="S42" s="83"/>
      <c r="T42" s="100"/>
      <c r="U42" s="81"/>
      <c r="V42" s="82"/>
      <c r="W42" s="83"/>
    </row>
    <row r="43" spans="1:23" x14ac:dyDescent="0.25">
      <c r="A43" s="38"/>
      <c r="B43" s="51" t="s">
        <v>161</v>
      </c>
      <c r="C43" s="69">
        <f>+E42</f>
        <v>0</v>
      </c>
      <c r="D43" s="70">
        <v>0</v>
      </c>
      <c r="E43" s="71">
        <f>+C43*D43</f>
        <v>0</v>
      </c>
      <c r="F43" s="108"/>
      <c r="G43" s="69">
        <f>+I42</f>
        <v>0</v>
      </c>
      <c r="H43" s="70">
        <v>0</v>
      </c>
      <c r="I43" s="71">
        <f>+G43*H43</f>
        <v>0</v>
      </c>
      <c r="J43" s="108"/>
      <c r="K43" s="108"/>
      <c r="L43" s="51" t="s">
        <v>161</v>
      </c>
      <c r="M43" s="69">
        <f>+O42</f>
        <v>0</v>
      </c>
      <c r="N43" s="70">
        <v>0</v>
      </c>
      <c r="O43" s="71">
        <f>+M43*N43</f>
        <v>0</v>
      </c>
      <c r="P43" s="108"/>
      <c r="Q43" s="69">
        <f>+S42</f>
        <v>0</v>
      </c>
      <c r="R43" s="70">
        <v>0</v>
      </c>
      <c r="S43" s="71">
        <f>+Q43*R43</f>
        <v>0</v>
      </c>
      <c r="T43" s="108"/>
      <c r="U43" s="69">
        <f>+W42</f>
        <v>0</v>
      </c>
      <c r="V43" s="70">
        <v>0</v>
      </c>
      <c r="W43" s="71">
        <f>+U43*V43</f>
        <v>0</v>
      </c>
    </row>
    <row r="44" spans="1:23" x14ac:dyDescent="0.25">
      <c r="A44" s="38"/>
      <c r="B44" s="51" t="s">
        <v>162</v>
      </c>
      <c r="C44" s="69">
        <f>+C43+E43</f>
        <v>0</v>
      </c>
      <c r="D44" s="70">
        <v>0</v>
      </c>
      <c r="E44" s="71">
        <f>+C44*D44</f>
        <v>0</v>
      </c>
      <c r="F44" s="108"/>
      <c r="G44" s="69">
        <f>+G43+I43</f>
        <v>0</v>
      </c>
      <c r="H44" s="70">
        <v>0</v>
      </c>
      <c r="I44" s="71">
        <f>+G44*H44</f>
        <v>0</v>
      </c>
      <c r="J44" s="108"/>
      <c r="K44" s="108"/>
      <c r="L44" s="51" t="s">
        <v>162</v>
      </c>
      <c r="M44" s="69">
        <f>+M43+O43</f>
        <v>0</v>
      </c>
      <c r="N44" s="70">
        <v>0</v>
      </c>
      <c r="O44" s="71">
        <f>+M44*N44</f>
        <v>0</v>
      </c>
      <c r="P44" s="108"/>
      <c r="Q44" s="69">
        <f>+Q43+S43</f>
        <v>0</v>
      </c>
      <c r="R44" s="70">
        <v>0</v>
      </c>
      <c r="S44" s="71">
        <f>+Q44*R44</f>
        <v>0</v>
      </c>
      <c r="T44" s="108"/>
      <c r="U44" s="69">
        <f>+U43+W43</f>
        <v>0</v>
      </c>
      <c r="V44" s="70">
        <v>0</v>
      </c>
      <c r="W44" s="71">
        <f>+U44*V44</f>
        <v>0</v>
      </c>
    </row>
    <row r="45" spans="1:23" x14ac:dyDescent="0.25">
      <c r="A45" s="38"/>
      <c r="B45" s="51" t="s">
        <v>163</v>
      </c>
      <c r="C45" s="69">
        <f>+C43</f>
        <v>0</v>
      </c>
      <c r="D45" s="70">
        <v>0</v>
      </c>
      <c r="E45" s="71">
        <f>+C45*D45</f>
        <v>0</v>
      </c>
      <c r="F45" s="100"/>
      <c r="G45" s="69">
        <f>+G43</f>
        <v>0</v>
      </c>
      <c r="H45" s="70">
        <v>0</v>
      </c>
      <c r="I45" s="71">
        <f>+G45*H45</f>
        <v>0</v>
      </c>
      <c r="J45" s="100"/>
      <c r="K45" s="100"/>
      <c r="L45" s="51" t="s">
        <v>163</v>
      </c>
      <c r="M45" s="69">
        <f>+M43</f>
        <v>0</v>
      </c>
      <c r="N45" s="70">
        <v>0</v>
      </c>
      <c r="O45" s="71">
        <f>+M45*N45</f>
        <v>0</v>
      </c>
      <c r="P45" s="100"/>
      <c r="Q45" s="69">
        <f>+Q43</f>
        <v>0</v>
      </c>
      <c r="R45" s="70">
        <v>0</v>
      </c>
      <c r="S45" s="71">
        <f>+Q45*R45</f>
        <v>0</v>
      </c>
      <c r="T45" s="100"/>
      <c r="U45" s="69">
        <f>+U43</f>
        <v>0</v>
      </c>
      <c r="V45" s="70">
        <v>0</v>
      </c>
      <c r="W45" s="71">
        <f>+U45*V45</f>
        <v>0</v>
      </c>
    </row>
    <row r="46" spans="1:23" x14ac:dyDescent="0.25">
      <c r="A46" s="38"/>
      <c r="B46" s="51" t="s">
        <v>164</v>
      </c>
      <c r="C46" s="69">
        <f>+C44+E44</f>
        <v>0</v>
      </c>
      <c r="D46" s="70">
        <v>0</v>
      </c>
      <c r="E46" s="71">
        <f>+C46*D46</f>
        <v>0</v>
      </c>
      <c r="F46" s="100"/>
      <c r="G46" s="69">
        <f>+G44+I44</f>
        <v>0</v>
      </c>
      <c r="H46" s="70">
        <v>0</v>
      </c>
      <c r="I46" s="71">
        <f>+G46*H46</f>
        <v>0</v>
      </c>
      <c r="J46" s="100"/>
      <c r="K46" s="100"/>
      <c r="L46" s="51" t="s">
        <v>164</v>
      </c>
      <c r="M46" s="69">
        <f>+M44+O44</f>
        <v>0</v>
      </c>
      <c r="N46" s="70">
        <v>0</v>
      </c>
      <c r="O46" s="71">
        <f>+M46*N46</f>
        <v>0</v>
      </c>
      <c r="P46" s="100"/>
      <c r="Q46" s="69">
        <f>+Q44+S44</f>
        <v>0</v>
      </c>
      <c r="R46" s="70">
        <v>0</v>
      </c>
      <c r="S46" s="71">
        <f>+Q46*R46</f>
        <v>0</v>
      </c>
      <c r="T46" s="100"/>
      <c r="U46" s="69">
        <f>+U44+W44</f>
        <v>0</v>
      </c>
      <c r="V46" s="70">
        <v>0</v>
      </c>
      <c r="W46" s="71">
        <f>+U46*V46</f>
        <v>0</v>
      </c>
    </row>
    <row r="47" spans="1:23" x14ac:dyDescent="0.25">
      <c r="A47" s="38"/>
      <c r="B47" s="51" t="s">
        <v>175</v>
      </c>
      <c r="C47" s="84"/>
      <c r="D47" s="85"/>
      <c r="E47" s="71">
        <f>+ROUND(SUM(E42:E44),0)</f>
        <v>0</v>
      </c>
      <c r="F47" s="100"/>
      <c r="G47" s="84"/>
      <c r="H47" s="85"/>
      <c r="I47" s="71">
        <f>+ROUND(SUM(I42:I44),0)</f>
        <v>0</v>
      </c>
      <c r="J47" s="100"/>
      <c r="K47" s="100"/>
      <c r="L47" s="51" t="s">
        <v>270</v>
      </c>
      <c r="M47" s="84"/>
      <c r="N47" s="85"/>
      <c r="O47" s="71">
        <f>+ROUND(SUM(O42:O44),0)</f>
        <v>0</v>
      </c>
      <c r="P47" s="100"/>
      <c r="Q47" s="84"/>
      <c r="R47" s="85"/>
      <c r="S47" s="71">
        <f>+ROUND(SUM(S42:S44),0)</f>
        <v>0</v>
      </c>
      <c r="T47" s="100"/>
      <c r="U47" s="84"/>
      <c r="V47" s="85"/>
      <c r="W47" s="71">
        <f>+ROUND(SUM(W42:W44),0)</f>
        <v>0</v>
      </c>
    </row>
    <row r="48" spans="1:23" x14ac:dyDescent="0.25">
      <c r="A48" s="38"/>
      <c r="B48" s="51" t="s">
        <v>176</v>
      </c>
      <c r="C48" s="81"/>
      <c r="D48" s="86"/>
      <c r="E48" s="71">
        <f>+ROUND(E45,0)</f>
        <v>0</v>
      </c>
      <c r="F48" s="100"/>
      <c r="G48" s="81"/>
      <c r="H48" s="86"/>
      <c r="I48" s="71">
        <f>+ROUND(I45,0)</f>
        <v>0</v>
      </c>
      <c r="J48" s="100"/>
      <c r="K48" s="100"/>
      <c r="L48" s="51" t="s">
        <v>271</v>
      </c>
      <c r="M48" s="81"/>
      <c r="N48" s="86"/>
      <c r="O48" s="71">
        <f>+ROUND(O45,0)</f>
        <v>0</v>
      </c>
      <c r="P48" s="100"/>
      <c r="Q48" s="81"/>
      <c r="R48" s="86"/>
      <c r="S48" s="71">
        <f>+ROUND(S45,0)</f>
        <v>0</v>
      </c>
      <c r="T48" s="100"/>
      <c r="U48" s="81"/>
      <c r="V48" s="86"/>
      <c r="W48" s="71">
        <f>+ROUND(W45,0)</f>
        <v>0</v>
      </c>
    </row>
    <row r="49" spans="1:23" x14ac:dyDescent="0.25">
      <c r="B49" s="51" t="s">
        <v>177</v>
      </c>
      <c r="C49" s="81"/>
      <c r="D49" s="86"/>
      <c r="E49" s="87">
        <f>+ROUND(E46,0)</f>
        <v>0</v>
      </c>
      <c r="F49" s="109"/>
      <c r="G49" s="81"/>
      <c r="H49" s="86"/>
      <c r="I49" s="87">
        <f>+ROUND(I46,0)</f>
        <v>0</v>
      </c>
      <c r="J49" s="109"/>
      <c r="K49" s="109"/>
      <c r="L49" s="51" t="s">
        <v>272</v>
      </c>
      <c r="M49" s="81"/>
      <c r="N49" s="86"/>
      <c r="O49" s="87">
        <f>+ROUND(O46,0)</f>
        <v>0</v>
      </c>
      <c r="P49" s="109"/>
      <c r="Q49" s="81"/>
      <c r="R49" s="86"/>
      <c r="S49" s="87">
        <f>+ROUND(S46,0)</f>
        <v>0</v>
      </c>
      <c r="T49" s="109"/>
      <c r="U49" s="81"/>
      <c r="V49" s="86"/>
      <c r="W49" s="87">
        <f>+ROUND(W46,0)</f>
        <v>0</v>
      </c>
    </row>
    <row r="50" spans="1:23" ht="16.5" thickBot="1" x14ac:dyDescent="0.3">
      <c r="B50" s="52" t="s">
        <v>178</v>
      </c>
      <c r="C50" s="112"/>
      <c r="D50" s="88"/>
      <c r="E50" s="64">
        <f t="shared" ref="E50" si="5">SUM(E47:E49)</f>
        <v>0</v>
      </c>
      <c r="F50" s="99"/>
      <c r="G50" s="112"/>
      <c r="H50" s="88"/>
      <c r="I50" s="64">
        <f t="shared" ref="I50" si="6">SUM(I47:I49)</f>
        <v>0</v>
      </c>
      <c r="J50" s="99"/>
      <c r="K50" s="99"/>
      <c r="L50" s="52" t="s">
        <v>273</v>
      </c>
      <c r="M50" s="112"/>
      <c r="N50" s="88"/>
      <c r="O50" s="64">
        <f t="shared" ref="O50" si="7">SUM(O47:O49)</f>
        <v>0</v>
      </c>
      <c r="P50" s="99"/>
      <c r="Q50" s="112"/>
      <c r="R50" s="88"/>
      <c r="S50" s="64">
        <f t="shared" ref="S50" si="8">SUM(S47:S49)</f>
        <v>0</v>
      </c>
      <c r="T50" s="99"/>
      <c r="U50" s="112"/>
      <c r="V50" s="88"/>
      <c r="W50" s="64">
        <f t="shared" ref="W50" si="9">SUM(W47:W49)</f>
        <v>0</v>
      </c>
    </row>
    <row r="51" spans="1:23" ht="16.5" thickBot="1" x14ac:dyDescent="0.3">
      <c r="B51" s="41"/>
      <c r="F51" s="110"/>
      <c r="J51" s="110"/>
      <c r="K51" s="110"/>
      <c r="L51" s="41"/>
      <c r="P51" s="110"/>
      <c r="T51" s="110"/>
    </row>
    <row r="52" spans="1:23" ht="16.5" thickBot="1" x14ac:dyDescent="0.3">
      <c r="A52" s="38"/>
      <c r="B52" s="189" t="str">
        <f>B39</f>
        <v xml:space="preserve">CLINs 0002 &amp; 1002: CPFF </v>
      </c>
      <c r="C52" s="186" t="s">
        <v>181</v>
      </c>
      <c r="D52" s="187"/>
      <c r="E52" s="188"/>
      <c r="F52" s="106"/>
      <c r="G52" s="186" t="s">
        <v>181</v>
      </c>
      <c r="H52" s="187"/>
      <c r="I52" s="188"/>
      <c r="J52" s="106"/>
      <c r="K52" s="106"/>
      <c r="L52" s="149"/>
      <c r="M52" s="186" t="s">
        <v>181</v>
      </c>
      <c r="N52" s="187"/>
      <c r="O52" s="188"/>
      <c r="P52" s="106"/>
      <c r="Q52" s="186" t="s">
        <v>181</v>
      </c>
      <c r="R52" s="187"/>
      <c r="S52" s="188"/>
      <c r="T52" s="106"/>
      <c r="U52" s="186" t="s">
        <v>181</v>
      </c>
      <c r="V52" s="187"/>
      <c r="W52" s="188"/>
    </row>
    <row r="53" spans="1:23" ht="16.5" thickBot="1" x14ac:dyDescent="0.3">
      <c r="A53" s="38"/>
      <c r="B53" s="190"/>
      <c r="C53" s="129" t="str">
        <f>C40</f>
        <v>0002: F-15 O-Level Handheld/Pre-load  Tester Prototype design and digital development - Basic Period</v>
      </c>
      <c r="D53" s="130"/>
      <c r="E53" s="131"/>
      <c r="F53" s="107"/>
      <c r="G53" s="132" t="str">
        <f>G40</f>
        <v>1002: F-15 O-Level Handheld/Pre-load Tester EMD - Option Period 1</v>
      </c>
      <c r="H53" s="133"/>
      <c r="I53" s="134"/>
      <c r="J53" s="107"/>
      <c r="K53" s="107"/>
      <c r="L53" s="150"/>
      <c r="M53" s="132" t="str">
        <f>M40</f>
        <v>2002: A-10 O-Level Handheld/Pre-load Tester EMD - Option Period 2</v>
      </c>
      <c r="N53" s="133"/>
      <c r="O53" s="134"/>
      <c r="P53" s="107"/>
      <c r="Q53" s="132" t="str">
        <f>Q40</f>
        <v>3002: F-16 I-Level Fault Isolation Tester EMD - Option Period 3</v>
      </c>
      <c r="R53" s="133"/>
      <c r="S53" s="134"/>
      <c r="T53" s="107"/>
      <c r="U53" s="132" t="str">
        <f>U40</f>
        <v>4002: A-10 I-Level Fault Isolation Tester EMD - Option Period 4</v>
      </c>
      <c r="V53" s="133"/>
      <c r="W53" s="134"/>
    </row>
    <row r="54" spans="1:23" x14ac:dyDescent="0.25">
      <c r="A54" s="38"/>
      <c r="B54" s="79"/>
      <c r="C54" s="56" t="s">
        <v>174</v>
      </c>
      <c r="D54" s="57" t="s">
        <v>172</v>
      </c>
      <c r="E54" s="58" t="s">
        <v>10</v>
      </c>
      <c r="F54" s="101"/>
      <c r="G54" s="56" t="s">
        <v>174</v>
      </c>
      <c r="H54" s="57" t="s">
        <v>172</v>
      </c>
      <c r="I54" s="58" t="s">
        <v>10</v>
      </c>
      <c r="J54" s="101"/>
      <c r="K54" s="101"/>
      <c r="L54" s="79"/>
      <c r="M54" s="56" t="s">
        <v>174</v>
      </c>
      <c r="N54" s="57" t="s">
        <v>172</v>
      </c>
      <c r="O54" s="58" t="s">
        <v>10</v>
      </c>
      <c r="P54" s="101"/>
      <c r="Q54" s="56" t="s">
        <v>174</v>
      </c>
      <c r="R54" s="57" t="s">
        <v>172</v>
      </c>
      <c r="S54" s="58" t="s">
        <v>10</v>
      </c>
      <c r="T54" s="101"/>
      <c r="U54" s="56" t="s">
        <v>174</v>
      </c>
      <c r="V54" s="57" t="s">
        <v>172</v>
      </c>
      <c r="W54" s="58" t="s">
        <v>10</v>
      </c>
    </row>
    <row r="55" spans="1:23" x14ac:dyDescent="0.25">
      <c r="A55" s="38"/>
      <c r="B55" s="80" t="s">
        <v>182</v>
      </c>
      <c r="C55" s="81"/>
      <c r="D55" s="82"/>
      <c r="E55" s="83"/>
      <c r="F55" s="100"/>
      <c r="G55" s="81"/>
      <c r="H55" s="82"/>
      <c r="I55" s="83"/>
      <c r="J55" s="100"/>
      <c r="K55" s="100"/>
      <c r="L55" s="80" t="s">
        <v>182</v>
      </c>
      <c r="M55" s="81"/>
      <c r="N55" s="82"/>
      <c r="O55" s="83"/>
      <c r="P55" s="100"/>
      <c r="Q55" s="81"/>
      <c r="R55" s="82"/>
      <c r="S55" s="83"/>
      <c r="T55" s="100"/>
      <c r="U55" s="81"/>
      <c r="V55" s="82"/>
      <c r="W55" s="83"/>
    </row>
    <row r="56" spans="1:23" x14ac:dyDescent="0.25">
      <c r="A56" s="38"/>
      <c r="B56" s="51" t="s">
        <v>161</v>
      </c>
      <c r="C56" s="69">
        <f>+E55</f>
        <v>0</v>
      </c>
      <c r="D56" s="70">
        <v>0</v>
      </c>
      <c r="E56" s="71">
        <f>+C56*D56</f>
        <v>0</v>
      </c>
      <c r="F56" s="108"/>
      <c r="G56" s="69">
        <f>+I55</f>
        <v>0</v>
      </c>
      <c r="H56" s="70">
        <v>0</v>
      </c>
      <c r="I56" s="71">
        <f>+G56*H56</f>
        <v>0</v>
      </c>
      <c r="J56" s="108"/>
      <c r="K56" s="108"/>
      <c r="L56" s="51" t="s">
        <v>161</v>
      </c>
      <c r="M56" s="69">
        <f>+O55</f>
        <v>0</v>
      </c>
      <c r="N56" s="70">
        <v>0</v>
      </c>
      <c r="O56" s="71">
        <f>+M56*N56</f>
        <v>0</v>
      </c>
      <c r="P56" s="108"/>
      <c r="Q56" s="69">
        <f>+S55</f>
        <v>0</v>
      </c>
      <c r="R56" s="70">
        <v>0</v>
      </c>
      <c r="S56" s="71">
        <f>+Q56*R56</f>
        <v>0</v>
      </c>
      <c r="T56" s="108"/>
      <c r="U56" s="69">
        <f>+W55</f>
        <v>0</v>
      </c>
      <c r="V56" s="70">
        <v>0</v>
      </c>
      <c r="W56" s="71">
        <f>+U56*V56</f>
        <v>0</v>
      </c>
    </row>
    <row r="57" spans="1:23" x14ac:dyDescent="0.25">
      <c r="A57" s="38"/>
      <c r="B57" s="51" t="s">
        <v>162</v>
      </c>
      <c r="C57" s="69">
        <f>+C56+E56</f>
        <v>0</v>
      </c>
      <c r="D57" s="70">
        <v>0</v>
      </c>
      <c r="E57" s="71">
        <f>+C57*D57</f>
        <v>0</v>
      </c>
      <c r="F57" s="108"/>
      <c r="G57" s="69">
        <f>+G56+I56</f>
        <v>0</v>
      </c>
      <c r="H57" s="70">
        <v>0</v>
      </c>
      <c r="I57" s="71">
        <f>+G57*H57</f>
        <v>0</v>
      </c>
      <c r="J57" s="108"/>
      <c r="K57" s="108"/>
      <c r="L57" s="51" t="s">
        <v>162</v>
      </c>
      <c r="M57" s="69">
        <f>+M56+O56</f>
        <v>0</v>
      </c>
      <c r="N57" s="70">
        <v>0</v>
      </c>
      <c r="O57" s="71">
        <f>+M57*N57</f>
        <v>0</v>
      </c>
      <c r="P57" s="108"/>
      <c r="Q57" s="69">
        <f>+Q56+S56</f>
        <v>0</v>
      </c>
      <c r="R57" s="70">
        <v>0</v>
      </c>
      <c r="S57" s="71">
        <f>+Q57*R57</f>
        <v>0</v>
      </c>
      <c r="T57" s="108"/>
      <c r="U57" s="69">
        <f>+U56+W56</f>
        <v>0</v>
      </c>
      <c r="V57" s="70">
        <v>0</v>
      </c>
      <c r="W57" s="71">
        <f>+U57*V57</f>
        <v>0</v>
      </c>
    </row>
    <row r="58" spans="1:23" x14ac:dyDescent="0.25">
      <c r="A58" s="38"/>
      <c r="B58" s="51" t="s">
        <v>163</v>
      </c>
      <c r="C58" s="69">
        <f>+C56</f>
        <v>0</v>
      </c>
      <c r="D58" s="70">
        <v>0</v>
      </c>
      <c r="E58" s="71">
        <f>+C58*D58</f>
        <v>0</v>
      </c>
      <c r="F58" s="100"/>
      <c r="G58" s="69">
        <f>+G56</f>
        <v>0</v>
      </c>
      <c r="H58" s="70">
        <v>0</v>
      </c>
      <c r="I58" s="71">
        <f>+G58*H58</f>
        <v>0</v>
      </c>
      <c r="J58" s="100"/>
      <c r="K58" s="100"/>
      <c r="L58" s="51" t="s">
        <v>163</v>
      </c>
      <c r="M58" s="69">
        <f>+M56</f>
        <v>0</v>
      </c>
      <c r="N58" s="70">
        <v>0</v>
      </c>
      <c r="O58" s="71">
        <f>+M58*N58</f>
        <v>0</v>
      </c>
      <c r="P58" s="100"/>
      <c r="Q58" s="69">
        <f>+Q56</f>
        <v>0</v>
      </c>
      <c r="R58" s="70">
        <v>0</v>
      </c>
      <c r="S58" s="71">
        <f>+Q58*R58</f>
        <v>0</v>
      </c>
      <c r="T58" s="100"/>
      <c r="U58" s="69">
        <f>+U56</f>
        <v>0</v>
      </c>
      <c r="V58" s="70">
        <v>0</v>
      </c>
      <c r="W58" s="71">
        <f>+U58*V58</f>
        <v>0</v>
      </c>
    </row>
    <row r="59" spans="1:23" x14ac:dyDescent="0.25">
      <c r="A59" s="38"/>
      <c r="B59" s="51" t="s">
        <v>164</v>
      </c>
      <c r="C59" s="69">
        <f>+C57+E57</f>
        <v>0</v>
      </c>
      <c r="D59" s="70">
        <v>0</v>
      </c>
      <c r="E59" s="71">
        <f>+C59*D59</f>
        <v>0</v>
      </c>
      <c r="F59" s="100"/>
      <c r="G59" s="69">
        <f>+G57+I57</f>
        <v>0</v>
      </c>
      <c r="H59" s="70">
        <v>0</v>
      </c>
      <c r="I59" s="71">
        <f>+G59*H59</f>
        <v>0</v>
      </c>
      <c r="J59" s="100"/>
      <c r="K59" s="100"/>
      <c r="L59" s="51" t="s">
        <v>164</v>
      </c>
      <c r="M59" s="69">
        <f>+M57+O57</f>
        <v>0</v>
      </c>
      <c r="N59" s="70">
        <v>0</v>
      </c>
      <c r="O59" s="71">
        <f>+M59*N59</f>
        <v>0</v>
      </c>
      <c r="P59" s="100"/>
      <c r="Q59" s="69">
        <f>+Q57+S57</f>
        <v>0</v>
      </c>
      <c r="R59" s="70">
        <v>0</v>
      </c>
      <c r="S59" s="71">
        <f>+Q59*R59</f>
        <v>0</v>
      </c>
      <c r="T59" s="100"/>
      <c r="U59" s="69">
        <f>+U57+W57</f>
        <v>0</v>
      </c>
      <c r="V59" s="70">
        <v>0</v>
      </c>
      <c r="W59" s="71">
        <f>+U59*V59</f>
        <v>0</v>
      </c>
    </row>
    <row r="60" spans="1:23" x14ac:dyDescent="0.25">
      <c r="A60" s="38"/>
      <c r="B60" s="51" t="s">
        <v>175</v>
      </c>
      <c r="C60" s="84"/>
      <c r="D60" s="85"/>
      <c r="E60" s="71">
        <f>+ROUND(SUM(E55:E57),0)</f>
        <v>0</v>
      </c>
      <c r="F60" s="100"/>
      <c r="G60" s="84"/>
      <c r="H60" s="85"/>
      <c r="I60" s="71">
        <f>+ROUND(SUM(I55:I57),0)</f>
        <v>0</v>
      </c>
      <c r="J60" s="100"/>
      <c r="K60" s="100"/>
      <c r="L60" s="51" t="s">
        <v>270</v>
      </c>
      <c r="M60" s="84"/>
      <c r="N60" s="85"/>
      <c r="O60" s="71">
        <f>+ROUND(SUM(O55:O57),0)</f>
        <v>0</v>
      </c>
      <c r="P60" s="100"/>
      <c r="Q60" s="84"/>
      <c r="R60" s="85"/>
      <c r="S60" s="71">
        <f>+ROUND(SUM(S55:S57),0)</f>
        <v>0</v>
      </c>
      <c r="T60" s="100"/>
      <c r="U60" s="84"/>
      <c r="V60" s="85"/>
      <c r="W60" s="71">
        <f>+ROUND(SUM(W55:W57),0)</f>
        <v>0</v>
      </c>
    </row>
    <row r="61" spans="1:23" x14ac:dyDescent="0.25">
      <c r="A61" s="38"/>
      <c r="B61" s="51" t="s">
        <v>176</v>
      </c>
      <c r="C61" s="81"/>
      <c r="D61" s="86"/>
      <c r="E61" s="71">
        <f>+ROUND(E58,0)</f>
        <v>0</v>
      </c>
      <c r="F61" s="100"/>
      <c r="G61" s="81"/>
      <c r="H61" s="86"/>
      <c r="I61" s="71">
        <f>+ROUND(I58,0)</f>
        <v>0</v>
      </c>
      <c r="J61" s="100"/>
      <c r="K61" s="100"/>
      <c r="L61" s="51" t="s">
        <v>271</v>
      </c>
      <c r="M61" s="81"/>
      <c r="N61" s="86"/>
      <c r="O61" s="71">
        <f>+ROUND(O58,0)</f>
        <v>0</v>
      </c>
      <c r="P61" s="100"/>
      <c r="Q61" s="81"/>
      <c r="R61" s="86"/>
      <c r="S61" s="71">
        <f>+ROUND(S58,0)</f>
        <v>0</v>
      </c>
      <c r="T61" s="100"/>
      <c r="U61" s="81"/>
      <c r="V61" s="86"/>
      <c r="W61" s="71">
        <f>+ROUND(W58,0)</f>
        <v>0</v>
      </c>
    </row>
    <row r="62" spans="1:23" x14ac:dyDescent="0.25">
      <c r="B62" s="51" t="s">
        <v>177</v>
      </c>
      <c r="C62" s="81"/>
      <c r="D62" s="86"/>
      <c r="E62" s="87">
        <f>+ROUND(E59,0)</f>
        <v>0</v>
      </c>
      <c r="F62" s="109"/>
      <c r="G62" s="81"/>
      <c r="H62" s="86"/>
      <c r="I62" s="87">
        <f>+ROUND(I59,0)</f>
        <v>0</v>
      </c>
      <c r="J62" s="109"/>
      <c r="K62" s="109"/>
      <c r="L62" s="51" t="s">
        <v>272</v>
      </c>
      <c r="M62" s="81"/>
      <c r="N62" s="86"/>
      <c r="O62" s="87">
        <f>+ROUND(O59,0)</f>
        <v>0</v>
      </c>
      <c r="P62" s="109"/>
      <c r="Q62" s="81"/>
      <c r="R62" s="86"/>
      <c r="S62" s="87">
        <f>+ROUND(S59,0)</f>
        <v>0</v>
      </c>
      <c r="T62" s="109"/>
      <c r="U62" s="81"/>
      <c r="V62" s="86"/>
      <c r="W62" s="87">
        <f>+ROUND(W59,0)</f>
        <v>0</v>
      </c>
    </row>
    <row r="63" spans="1:23" ht="16.5" thickBot="1" x14ac:dyDescent="0.3">
      <c r="B63" s="52" t="s">
        <v>178</v>
      </c>
      <c r="C63" s="112"/>
      <c r="D63" s="88"/>
      <c r="E63" s="64">
        <f t="shared" ref="E63" si="10">SUM(E60:E62)</f>
        <v>0</v>
      </c>
      <c r="F63" s="99"/>
      <c r="G63" s="112"/>
      <c r="H63" s="88"/>
      <c r="I63" s="64">
        <f t="shared" ref="I63" si="11">SUM(I60:I62)</f>
        <v>0</v>
      </c>
      <c r="J63" s="99"/>
      <c r="K63" s="99"/>
      <c r="L63" s="52" t="s">
        <v>273</v>
      </c>
      <c r="M63" s="112"/>
      <c r="N63" s="88"/>
      <c r="O63" s="64">
        <f t="shared" ref="O63" si="12">SUM(O60:O62)</f>
        <v>0</v>
      </c>
      <c r="P63" s="99"/>
      <c r="Q63" s="112"/>
      <c r="R63" s="88"/>
      <c r="S63" s="64">
        <f t="shared" ref="S63" si="13">SUM(S60:S62)</f>
        <v>0</v>
      </c>
      <c r="T63" s="99"/>
      <c r="U63" s="112"/>
      <c r="V63" s="88"/>
      <c r="W63" s="64">
        <f t="shared" ref="W63" si="14">SUM(W60:W62)</f>
        <v>0</v>
      </c>
    </row>
    <row r="64" spans="1:23" x14ac:dyDescent="0.25">
      <c r="B64" s="41"/>
      <c r="F64" s="110"/>
      <c r="J64" s="110"/>
      <c r="K64" s="110"/>
      <c r="L64" s="41"/>
      <c r="P64" s="110"/>
      <c r="T64" s="110"/>
    </row>
    <row r="65" spans="2:23" ht="16.5" thickBot="1" x14ac:dyDescent="0.3">
      <c r="F65" s="110"/>
      <c r="J65" s="110"/>
      <c r="K65" s="110"/>
      <c r="L65" s="37"/>
      <c r="P65" s="110"/>
      <c r="T65" s="110"/>
    </row>
    <row r="66" spans="2:23" ht="16.5" thickBot="1" x14ac:dyDescent="0.3">
      <c r="B66" s="189" t="str">
        <f>B52</f>
        <v xml:space="preserve">CLINs 0002 &amp; 1002: CPFF </v>
      </c>
      <c r="C66" s="186" t="s">
        <v>183</v>
      </c>
      <c r="D66" s="187"/>
      <c r="E66" s="188"/>
      <c r="F66" s="106"/>
      <c r="G66" s="186" t="s">
        <v>183</v>
      </c>
      <c r="H66" s="187"/>
      <c r="I66" s="188"/>
      <c r="J66" s="106"/>
      <c r="K66" s="106"/>
      <c r="L66" s="149"/>
      <c r="M66" s="186" t="s">
        <v>183</v>
      </c>
      <c r="N66" s="187"/>
      <c r="O66" s="188"/>
      <c r="P66" s="106"/>
      <c r="Q66" s="186" t="s">
        <v>183</v>
      </c>
      <c r="R66" s="187"/>
      <c r="S66" s="188"/>
      <c r="T66" s="106"/>
      <c r="U66" s="186" t="s">
        <v>183</v>
      </c>
      <c r="V66" s="187"/>
      <c r="W66" s="188"/>
    </row>
    <row r="67" spans="2:23" ht="16.5" thickBot="1" x14ac:dyDescent="0.3">
      <c r="B67" s="190"/>
      <c r="C67" s="89"/>
      <c r="D67" s="55"/>
      <c r="E67" s="90" t="s">
        <v>284</v>
      </c>
      <c r="F67" s="111"/>
      <c r="G67" s="89"/>
      <c r="H67" s="55"/>
      <c r="I67" s="90" t="s">
        <v>285</v>
      </c>
      <c r="J67" s="111"/>
      <c r="K67" s="111"/>
      <c r="L67" s="150"/>
      <c r="M67" s="89"/>
      <c r="N67" s="55"/>
      <c r="O67" s="90" t="s">
        <v>296</v>
      </c>
      <c r="P67" s="111"/>
      <c r="Q67" s="89"/>
      <c r="R67" s="55"/>
      <c r="S67" s="90" t="s">
        <v>297</v>
      </c>
      <c r="T67" s="111"/>
      <c r="U67" s="89"/>
      <c r="V67" s="55"/>
      <c r="W67" s="90" t="s">
        <v>298</v>
      </c>
    </row>
    <row r="68" spans="2:23" x14ac:dyDescent="0.25">
      <c r="B68" s="51" t="s">
        <v>175</v>
      </c>
      <c r="C68" s="91"/>
      <c r="D68" s="91"/>
      <c r="E68" s="92">
        <f>+ROUND(E33+E47+E60,0)</f>
        <v>0</v>
      </c>
      <c r="F68" s="100"/>
      <c r="G68" s="91"/>
      <c r="H68" s="91"/>
      <c r="I68" s="92">
        <f>+ROUND(I33+I47+I60,0)</f>
        <v>0</v>
      </c>
      <c r="J68" s="100"/>
      <c r="K68" s="100"/>
      <c r="L68" s="51" t="s">
        <v>270</v>
      </c>
      <c r="M68" s="91"/>
      <c r="N68" s="91"/>
      <c r="O68" s="92">
        <f>+ROUND(O33+O47+O60,0)</f>
        <v>0</v>
      </c>
      <c r="P68" s="100"/>
      <c r="Q68" s="91"/>
      <c r="R68" s="91"/>
      <c r="S68" s="92">
        <f>+ROUND(S33+S47+S60,0)</f>
        <v>0</v>
      </c>
      <c r="T68" s="100"/>
      <c r="U68" s="91"/>
      <c r="V68" s="91"/>
      <c r="W68" s="92">
        <f>+ROUND(W33+W47+W60,0)</f>
        <v>0</v>
      </c>
    </row>
    <row r="69" spans="2:23" x14ac:dyDescent="0.25">
      <c r="B69" s="51" t="s">
        <v>176</v>
      </c>
      <c r="C69" s="91"/>
      <c r="D69" s="91"/>
      <c r="E69" s="71">
        <f>+ROUND(E34+E48+E61,0)</f>
        <v>0</v>
      </c>
      <c r="F69" s="100"/>
      <c r="G69" s="91"/>
      <c r="H69" s="91"/>
      <c r="I69" s="71">
        <f>+ROUND(I34+I48+I61,0)</f>
        <v>0</v>
      </c>
      <c r="J69" s="100"/>
      <c r="K69" s="100"/>
      <c r="L69" s="51" t="s">
        <v>271</v>
      </c>
      <c r="M69" s="91"/>
      <c r="N69" s="91"/>
      <c r="O69" s="71">
        <f>+ROUND(O34+O48+O61,0)</f>
        <v>0</v>
      </c>
      <c r="P69" s="100"/>
      <c r="Q69" s="91"/>
      <c r="R69" s="91"/>
      <c r="S69" s="71">
        <f>+ROUND(S34+S48+S61,0)</f>
        <v>0</v>
      </c>
      <c r="T69" s="100"/>
      <c r="U69" s="91"/>
      <c r="V69" s="91"/>
      <c r="W69" s="71">
        <f>+ROUND(W34+W48+W61,0)</f>
        <v>0</v>
      </c>
    </row>
    <row r="70" spans="2:23" x14ac:dyDescent="0.25">
      <c r="B70" s="51" t="s">
        <v>177</v>
      </c>
      <c r="C70" s="91"/>
      <c r="D70" s="91"/>
      <c r="E70" s="74">
        <f>+ROUND(E35+E49+E62,0)</f>
        <v>0</v>
      </c>
      <c r="F70" s="102"/>
      <c r="G70" s="91"/>
      <c r="H70" s="91"/>
      <c r="I70" s="74">
        <f>+ROUND(I35+I49+I62,0)</f>
        <v>0</v>
      </c>
      <c r="J70" s="102"/>
      <c r="K70" s="102"/>
      <c r="L70" s="51" t="s">
        <v>272</v>
      </c>
      <c r="M70" s="91"/>
      <c r="N70" s="91"/>
      <c r="O70" s="74">
        <f>+ROUND(O35+O49+O62,0)</f>
        <v>0</v>
      </c>
      <c r="P70" s="102"/>
      <c r="Q70" s="91"/>
      <c r="R70" s="91"/>
      <c r="S70" s="74">
        <f>+ROUND(S35+S49+S62,0)</f>
        <v>0</v>
      </c>
      <c r="T70" s="102"/>
      <c r="U70" s="91"/>
      <c r="V70" s="91"/>
      <c r="W70" s="74">
        <f>+ROUND(W35+W49+W62,0)</f>
        <v>0</v>
      </c>
    </row>
    <row r="71" spans="2:23" ht="16.5" thickBot="1" x14ac:dyDescent="0.3">
      <c r="B71" s="52" t="s">
        <v>178</v>
      </c>
      <c r="C71" s="93"/>
      <c r="D71" s="93"/>
      <c r="E71" s="77">
        <f>SUM(E68:E70)</f>
        <v>0</v>
      </c>
      <c r="F71" s="103"/>
      <c r="G71" s="93"/>
      <c r="H71" s="93"/>
      <c r="I71" s="77">
        <f>SUM(I68:I70)</f>
        <v>0</v>
      </c>
      <c r="J71" s="103"/>
      <c r="K71" s="103"/>
      <c r="L71" s="52" t="s">
        <v>273</v>
      </c>
      <c r="M71" s="93"/>
      <c r="N71" s="93"/>
      <c r="O71" s="77">
        <f>SUM(O68:O70)</f>
        <v>0</v>
      </c>
      <c r="P71" s="103"/>
      <c r="Q71" s="93"/>
      <c r="R71" s="93"/>
      <c r="S71" s="77">
        <f>SUM(S68:S70)</f>
        <v>0</v>
      </c>
      <c r="T71" s="103"/>
      <c r="U71" s="93"/>
      <c r="V71" s="93"/>
      <c r="W71" s="77">
        <f>SUM(W68:W70)</f>
        <v>0</v>
      </c>
    </row>
  </sheetData>
  <mergeCells count="25">
    <mergeCell ref="U10:W10"/>
    <mergeCell ref="B39:B40"/>
    <mergeCell ref="C39:E39"/>
    <mergeCell ref="G39:I39"/>
    <mergeCell ref="M39:O39"/>
    <mergeCell ref="Q39:S39"/>
    <mergeCell ref="U39:W39"/>
    <mergeCell ref="B10:B11"/>
    <mergeCell ref="C10:E10"/>
    <mergeCell ref="G10:I10"/>
    <mergeCell ref="L10:L11"/>
    <mergeCell ref="M10:O10"/>
    <mergeCell ref="Q10:S10"/>
    <mergeCell ref="U66:W66"/>
    <mergeCell ref="B52:B53"/>
    <mergeCell ref="C52:E52"/>
    <mergeCell ref="G52:I52"/>
    <mergeCell ref="M52:O52"/>
    <mergeCell ref="Q52:S52"/>
    <mergeCell ref="U52:W52"/>
    <mergeCell ref="B66:B67"/>
    <mergeCell ref="C66:E66"/>
    <mergeCell ref="G66:I66"/>
    <mergeCell ref="M66:O66"/>
    <mergeCell ref="Q66:S66"/>
  </mergeCells>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05FA2-C555-4428-A3AD-C6BFD95077D5}">
  <sheetPr>
    <tabColor theme="9" tint="0.79998168889431442"/>
  </sheetPr>
  <dimension ref="A1:T71"/>
  <sheetViews>
    <sheetView topLeftCell="J45" workbookViewId="0">
      <selection activeCell="B2" sqref="B2:G7"/>
    </sheetView>
  </sheetViews>
  <sheetFormatPr defaultColWidth="15.85546875" defaultRowHeight="15.75" x14ac:dyDescent="0.25"/>
  <cols>
    <col min="1" max="1" width="3.42578125" style="33" customWidth="1"/>
    <col min="2" max="2" width="49.140625" style="37" customWidth="1"/>
    <col min="3" max="3" width="32.85546875" style="35" customWidth="1"/>
    <col min="4" max="4" width="28.85546875" style="35" customWidth="1"/>
    <col min="5" max="5" width="40.140625" style="35" customWidth="1"/>
    <col min="6" max="6" width="3.140625" style="35" customWidth="1"/>
    <col min="7" max="7" width="28.28515625" style="35" customWidth="1"/>
    <col min="8" max="8" width="25.42578125" style="35" customWidth="1"/>
    <col min="9" max="9" width="35.42578125" style="35" customWidth="1"/>
    <col min="10" max="11" width="3.140625" style="35" customWidth="1"/>
    <col min="12" max="12" width="45" style="35" bestFit="1" customWidth="1"/>
    <col min="13" max="13" width="28.28515625" style="35" customWidth="1"/>
    <col min="14" max="14" width="25.42578125" style="35" customWidth="1"/>
    <col min="15" max="15" width="35.42578125" style="35" customWidth="1"/>
    <col min="16" max="16" width="3.140625" style="35" customWidth="1"/>
    <col min="17" max="17" width="28.28515625" style="35" customWidth="1"/>
    <col min="18" max="18" width="25.42578125" style="35" customWidth="1"/>
    <col min="19" max="19" width="35.42578125" style="35" customWidth="1"/>
    <col min="20" max="20" width="3.140625" style="35" customWidth="1"/>
    <col min="21" max="16384" width="15.85546875" style="35"/>
  </cols>
  <sheetData>
    <row r="1" spans="1:20" x14ac:dyDescent="0.2">
      <c r="B1" s="34" t="s">
        <v>147</v>
      </c>
    </row>
    <row r="2" spans="1:20" x14ac:dyDescent="0.25">
      <c r="A2" s="36"/>
      <c r="B2" s="153" t="s">
        <v>167</v>
      </c>
      <c r="C2" s="94"/>
      <c r="D2" s="94"/>
      <c r="E2" s="94"/>
      <c r="F2" s="94"/>
      <c r="G2" s="94"/>
      <c r="H2" s="94"/>
      <c r="I2" s="94"/>
      <c r="J2" s="94"/>
      <c r="K2" s="94"/>
      <c r="L2" s="94"/>
      <c r="M2" s="94"/>
      <c r="N2" s="94"/>
      <c r="O2" s="94"/>
      <c r="P2" s="94"/>
      <c r="Q2" s="94"/>
      <c r="R2" s="94"/>
      <c r="S2" s="94"/>
      <c r="T2" s="94"/>
    </row>
    <row r="3" spans="1:20" x14ac:dyDescent="0.25">
      <c r="A3" s="36"/>
      <c r="B3" s="153" t="s">
        <v>355</v>
      </c>
      <c r="C3" s="94"/>
      <c r="D3" s="94"/>
      <c r="E3" s="94"/>
      <c r="F3" s="94"/>
      <c r="G3" s="94"/>
      <c r="H3" s="94"/>
      <c r="I3" s="94"/>
      <c r="J3" s="94"/>
      <c r="K3" s="94"/>
      <c r="L3" s="94"/>
      <c r="M3" s="94"/>
      <c r="N3" s="94"/>
      <c r="O3" s="94"/>
      <c r="P3" s="94"/>
      <c r="Q3" s="94"/>
      <c r="R3" s="94"/>
      <c r="S3" s="94"/>
      <c r="T3" s="94"/>
    </row>
    <row r="4" spans="1:20" x14ac:dyDescent="0.25">
      <c r="A4" s="36"/>
      <c r="B4" s="153" t="s">
        <v>356</v>
      </c>
      <c r="C4" s="94"/>
      <c r="D4" s="94"/>
      <c r="E4" s="94"/>
      <c r="F4" s="94"/>
      <c r="G4" s="94"/>
      <c r="H4" s="94"/>
      <c r="I4" s="94"/>
      <c r="J4" s="94"/>
      <c r="K4" s="94"/>
      <c r="L4" s="94"/>
      <c r="M4" s="94"/>
      <c r="N4" s="94"/>
      <c r="O4" s="94"/>
      <c r="P4" s="94"/>
      <c r="Q4" s="94"/>
      <c r="R4" s="94"/>
      <c r="S4" s="94"/>
      <c r="T4" s="94"/>
    </row>
    <row r="5" spans="1:20" x14ac:dyDescent="0.25">
      <c r="A5" s="36"/>
      <c r="B5" s="153" t="s">
        <v>357</v>
      </c>
      <c r="C5" s="94"/>
      <c r="D5" s="94"/>
      <c r="E5" s="94"/>
      <c r="F5" s="94"/>
      <c r="G5" s="94"/>
      <c r="H5" s="94"/>
      <c r="I5" s="94"/>
      <c r="J5" s="94"/>
      <c r="K5" s="94"/>
      <c r="L5" s="94"/>
      <c r="M5" s="94"/>
      <c r="N5" s="94"/>
      <c r="O5" s="94"/>
      <c r="P5" s="94"/>
      <c r="Q5" s="94"/>
      <c r="R5" s="94"/>
      <c r="S5" s="94"/>
      <c r="T5" s="94"/>
    </row>
    <row r="6" spans="1:20" x14ac:dyDescent="0.25">
      <c r="A6" s="36"/>
      <c r="B6" s="153" t="s">
        <v>358</v>
      </c>
      <c r="C6" s="94"/>
      <c r="D6" s="94"/>
      <c r="E6" s="94"/>
      <c r="F6" s="94"/>
      <c r="G6" s="94"/>
      <c r="H6" s="94"/>
      <c r="I6" s="94"/>
      <c r="J6" s="94"/>
      <c r="K6" s="94"/>
      <c r="L6" s="94"/>
      <c r="M6" s="94"/>
      <c r="N6" s="94"/>
      <c r="O6" s="94"/>
      <c r="P6" s="94"/>
      <c r="Q6" s="94"/>
      <c r="R6" s="94"/>
      <c r="S6" s="94"/>
      <c r="T6" s="94"/>
    </row>
    <row r="7" spans="1:20" x14ac:dyDescent="0.25">
      <c r="A7" s="36"/>
      <c r="B7" s="153" t="s">
        <v>274</v>
      </c>
      <c r="C7" s="94"/>
      <c r="D7" s="94"/>
      <c r="E7" s="94"/>
      <c r="F7" s="94"/>
      <c r="G7" s="94"/>
      <c r="H7" s="94"/>
      <c r="I7" s="94"/>
      <c r="J7" s="94"/>
      <c r="K7" s="94"/>
      <c r="L7" s="94"/>
      <c r="M7" s="94"/>
      <c r="N7" s="94"/>
      <c r="O7" s="94"/>
      <c r="P7" s="94"/>
      <c r="Q7" s="94"/>
      <c r="R7" s="94"/>
      <c r="S7" s="94"/>
      <c r="T7" s="94"/>
    </row>
    <row r="9" spans="1:20" ht="16.5" thickBot="1" x14ac:dyDescent="0.3"/>
    <row r="10" spans="1:20" ht="16.5" thickBot="1" x14ac:dyDescent="0.3">
      <c r="A10" s="38"/>
      <c r="B10" s="189" t="s">
        <v>286</v>
      </c>
      <c r="C10" s="186" t="s">
        <v>170</v>
      </c>
      <c r="D10" s="187"/>
      <c r="E10" s="188"/>
      <c r="F10" s="95"/>
      <c r="G10" s="186" t="s">
        <v>170</v>
      </c>
      <c r="H10" s="187"/>
      <c r="I10" s="188"/>
      <c r="J10" s="95"/>
      <c r="K10" s="95"/>
      <c r="L10" s="189" t="s">
        <v>287</v>
      </c>
      <c r="M10" s="186" t="s">
        <v>170</v>
      </c>
      <c r="N10" s="187"/>
      <c r="O10" s="188"/>
      <c r="P10" s="95"/>
      <c r="Q10" s="186" t="s">
        <v>170</v>
      </c>
      <c r="R10" s="187"/>
      <c r="S10" s="188"/>
      <c r="T10" s="95"/>
    </row>
    <row r="11" spans="1:20" ht="16.5" thickBot="1" x14ac:dyDescent="0.3">
      <c r="A11" s="38"/>
      <c r="B11" s="190"/>
      <c r="C11" s="129" t="s">
        <v>288</v>
      </c>
      <c r="D11" s="130"/>
      <c r="E11" s="131"/>
      <c r="F11" s="96"/>
      <c r="G11" s="132" t="s">
        <v>289</v>
      </c>
      <c r="H11" s="133"/>
      <c r="I11" s="134"/>
      <c r="J11" s="96"/>
      <c r="K11" s="96"/>
      <c r="L11" s="190"/>
      <c r="M11" s="132" t="s">
        <v>290</v>
      </c>
      <c r="N11" s="133"/>
      <c r="O11" s="134"/>
      <c r="P11" s="96"/>
      <c r="Q11" s="132" t="s">
        <v>291</v>
      </c>
      <c r="R11" s="133"/>
      <c r="S11" s="134"/>
      <c r="T11" s="96"/>
    </row>
    <row r="12" spans="1:20" x14ac:dyDescent="0.25">
      <c r="A12" s="38"/>
      <c r="B12" s="56" t="s">
        <v>157</v>
      </c>
      <c r="C12" s="56" t="s">
        <v>171</v>
      </c>
      <c r="D12" s="57" t="s">
        <v>172</v>
      </c>
      <c r="E12" s="58" t="s">
        <v>10</v>
      </c>
      <c r="F12" s="97"/>
      <c r="G12" s="56" t="s">
        <v>171</v>
      </c>
      <c r="H12" s="57" t="s">
        <v>172</v>
      </c>
      <c r="I12" s="58" t="s">
        <v>10</v>
      </c>
      <c r="J12" s="97"/>
      <c r="K12" s="97"/>
      <c r="L12" s="56" t="s">
        <v>157</v>
      </c>
      <c r="M12" s="56" t="s">
        <v>171</v>
      </c>
      <c r="N12" s="57" t="s">
        <v>172</v>
      </c>
      <c r="O12" s="58" t="s">
        <v>10</v>
      </c>
      <c r="P12" s="97"/>
      <c r="Q12" s="56" t="s">
        <v>171</v>
      </c>
      <c r="R12" s="57" t="s">
        <v>172</v>
      </c>
      <c r="S12" s="58" t="s">
        <v>10</v>
      </c>
      <c r="T12" s="97"/>
    </row>
    <row r="13" spans="1:20" x14ac:dyDescent="0.25">
      <c r="A13" s="38"/>
      <c r="B13" s="59" t="s">
        <v>184</v>
      </c>
      <c r="C13" s="60"/>
      <c r="D13" s="61">
        <v>0</v>
      </c>
      <c r="E13" s="62">
        <f>+C13*D13</f>
        <v>0</v>
      </c>
      <c r="F13" s="98"/>
      <c r="G13" s="60"/>
      <c r="H13" s="61">
        <v>0</v>
      </c>
      <c r="I13" s="62">
        <f>+G13*H13</f>
        <v>0</v>
      </c>
      <c r="J13" s="98"/>
      <c r="K13" s="98"/>
      <c r="L13" s="151" t="s">
        <v>184</v>
      </c>
      <c r="M13" s="60"/>
      <c r="N13" s="61">
        <v>0</v>
      </c>
      <c r="O13" s="62">
        <f>+M13*N13</f>
        <v>0</v>
      </c>
      <c r="P13" s="98"/>
      <c r="Q13" s="60"/>
      <c r="R13" s="61">
        <v>0</v>
      </c>
      <c r="S13" s="62">
        <f>+Q13*R13</f>
        <v>0</v>
      </c>
      <c r="T13" s="98"/>
    </row>
    <row r="14" spans="1:20" x14ac:dyDescent="0.25">
      <c r="A14" s="38"/>
      <c r="B14" s="59" t="s">
        <v>185</v>
      </c>
      <c r="C14" s="60"/>
      <c r="D14" s="61">
        <v>0</v>
      </c>
      <c r="E14" s="62">
        <f t="shared" ref="E14:E25" si="0">+C14*D14</f>
        <v>0</v>
      </c>
      <c r="F14" s="98"/>
      <c r="G14" s="60"/>
      <c r="H14" s="61">
        <v>0</v>
      </c>
      <c r="I14" s="62">
        <f t="shared" ref="I14:I25" si="1">+G14*H14</f>
        <v>0</v>
      </c>
      <c r="J14" s="98"/>
      <c r="K14" s="98"/>
      <c r="L14" s="59" t="s">
        <v>185</v>
      </c>
      <c r="M14" s="60"/>
      <c r="N14" s="61">
        <v>0</v>
      </c>
      <c r="O14" s="62">
        <f t="shared" ref="O14:O25" si="2">+M14*N14</f>
        <v>0</v>
      </c>
      <c r="P14" s="98"/>
      <c r="Q14" s="60"/>
      <c r="R14" s="61">
        <v>0</v>
      </c>
      <c r="S14" s="62">
        <f t="shared" ref="S14:S25" si="3">+Q14*R14</f>
        <v>0</v>
      </c>
      <c r="T14" s="98"/>
    </row>
    <row r="15" spans="1:20" x14ac:dyDescent="0.25">
      <c r="A15" s="38"/>
      <c r="B15" s="59" t="s">
        <v>186</v>
      </c>
      <c r="C15" s="60"/>
      <c r="D15" s="61">
        <v>0</v>
      </c>
      <c r="E15" s="62">
        <f t="shared" si="0"/>
        <v>0</v>
      </c>
      <c r="F15" s="98"/>
      <c r="G15" s="60"/>
      <c r="H15" s="61">
        <v>0</v>
      </c>
      <c r="I15" s="62">
        <f t="shared" si="1"/>
        <v>0</v>
      </c>
      <c r="J15" s="98"/>
      <c r="K15" s="98"/>
      <c r="L15" s="59" t="s">
        <v>186</v>
      </c>
      <c r="M15" s="60"/>
      <c r="N15" s="61">
        <v>0</v>
      </c>
      <c r="O15" s="62">
        <f t="shared" si="2"/>
        <v>0</v>
      </c>
      <c r="P15" s="98"/>
      <c r="Q15" s="60"/>
      <c r="R15" s="61">
        <v>0</v>
      </c>
      <c r="S15" s="62">
        <f t="shared" si="3"/>
        <v>0</v>
      </c>
      <c r="T15" s="98"/>
    </row>
    <row r="16" spans="1:20" x14ac:dyDescent="0.25">
      <c r="A16" s="38"/>
      <c r="B16" s="59" t="s">
        <v>187</v>
      </c>
      <c r="C16" s="60"/>
      <c r="D16" s="61">
        <v>0</v>
      </c>
      <c r="E16" s="62">
        <f t="shared" si="0"/>
        <v>0</v>
      </c>
      <c r="F16" s="98"/>
      <c r="G16" s="60"/>
      <c r="H16" s="61">
        <v>0</v>
      </c>
      <c r="I16" s="62">
        <f t="shared" si="1"/>
        <v>0</v>
      </c>
      <c r="J16" s="98"/>
      <c r="K16" s="98"/>
      <c r="L16" s="59" t="s">
        <v>187</v>
      </c>
      <c r="M16" s="60"/>
      <c r="N16" s="61">
        <v>0</v>
      </c>
      <c r="O16" s="62">
        <f t="shared" si="2"/>
        <v>0</v>
      </c>
      <c r="P16" s="98"/>
      <c r="Q16" s="60"/>
      <c r="R16" s="61">
        <v>0</v>
      </c>
      <c r="S16" s="62">
        <f t="shared" si="3"/>
        <v>0</v>
      </c>
      <c r="T16" s="98"/>
    </row>
    <row r="17" spans="1:20" x14ac:dyDescent="0.25">
      <c r="A17" s="38"/>
      <c r="B17" s="59" t="s">
        <v>188</v>
      </c>
      <c r="C17" s="60"/>
      <c r="D17" s="61">
        <v>0</v>
      </c>
      <c r="E17" s="62">
        <f t="shared" si="0"/>
        <v>0</v>
      </c>
      <c r="F17" s="98"/>
      <c r="G17" s="60"/>
      <c r="H17" s="61">
        <v>0</v>
      </c>
      <c r="I17" s="62">
        <f t="shared" si="1"/>
        <v>0</v>
      </c>
      <c r="J17" s="98"/>
      <c r="K17" s="98"/>
      <c r="L17" s="59" t="s">
        <v>188</v>
      </c>
      <c r="M17" s="60"/>
      <c r="N17" s="61">
        <v>0</v>
      </c>
      <c r="O17" s="62">
        <f t="shared" si="2"/>
        <v>0</v>
      </c>
      <c r="P17" s="98"/>
      <c r="Q17" s="60"/>
      <c r="R17" s="61">
        <v>0</v>
      </c>
      <c r="S17" s="62">
        <f t="shared" si="3"/>
        <v>0</v>
      </c>
      <c r="T17" s="98"/>
    </row>
    <row r="18" spans="1:20" x14ac:dyDescent="0.25">
      <c r="A18" s="38"/>
      <c r="B18" s="59" t="s">
        <v>189</v>
      </c>
      <c r="C18" s="60"/>
      <c r="D18" s="61">
        <v>0</v>
      </c>
      <c r="E18" s="62">
        <f t="shared" si="0"/>
        <v>0</v>
      </c>
      <c r="F18" s="98"/>
      <c r="G18" s="60"/>
      <c r="H18" s="61">
        <v>0</v>
      </c>
      <c r="I18" s="62">
        <f t="shared" si="1"/>
        <v>0</v>
      </c>
      <c r="J18" s="98"/>
      <c r="K18" s="98"/>
      <c r="L18" s="59" t="s">
        <v>189</v>
      </c>
      <c r="M18" s="60"/>
      <c r="N18" s="61">
        <v>0</v>
      </c>
      <c r="O18" s="62">
        <f t="shared" si="2"/>
        <v>0</v>
      </c>
      <c r="P18" s="98"/>
      <c r="Q18" s="60"/>
      <c r="R18" s="61">
        <v>0</v>
      </c>
      <c r="S18" s="62">
        <f t="shared" si="3"/>
        <v>0</v>
      </c>
      <c r="T18" s="98"/>
    </row>
    <row r="19" spans="1:20" x14ac:dyDescent="0.25">
      <c r="A19" s="38"/>
      <c r="B19" s="59" t="s">
        <v>190</v>
      </c>
      <c r="C19" s="60"/>
      <c r="D19" s="61">
        <v>0</v>
      </c>
      <c r="E19" s="62">
        <f t="shared" si="0"/>
        <v>0</v>
      </c>
      <c r="F19" s="98"/>
      <c r="G19" s="60"/>
      <c r="H19" s="61">
        <v>0</v>
      </c>
      <c r="I19" s="62">
        <f t="shared" si="1"/>
        <v>0</v>
      </c>
      <c r="J19" s="98"/>
      <c r="K19" s="98"/>
      <c r="L19" s="59" t="s">
        <v>190</v>
      </c>
      <c r="M19" s="60"/>
      <c r="N19" s="61">
        <v>0</v>
      </c>
      <c r="O19" s="62">
        <f t="shared" si="2"/>
        <v>0</v>
      </c>
      <c r="P19" s="98"/>
      <c r="Q19" s="60"/>
      <c r="R19" s="61">
        <v>0</v>
      </c>
      <c r="S19" s="62">
        <f t="shared" si="3"/>
        <v>0</v>
      </c>
      <c r="T19" s="98"/>
    </row>
    <row r="20" spans="1:20" x14ac:dyDescent="0.25">
      <c r="A20" s="38"/>
      <c r="B20" s="59" t="s">
        <v>191</v>
      </c>
      <c r="C20" s="60"/>
      <c r="D20" s="61">
        <v>0</v>
      </c>
      <c r="E20" s="62">
        <f t="shared" si="0"/>
        <v>0</v>
      </c>
      <c r="F20" s="98"/>
      <c r="G20" s="60"/>
      <c r="H20" s="61">
        <v>0</v>
      </c>
      <c r="I20" s="62">
        <f t="shared" si="1"/>
        <v>0</v>
      </c>
      <c r="J20" s="98"/>
      <c r="K20" s="98"/>
      <c r="L20" s="59" t="s">
        <v>191</v>
      </c>
      <c r="M20" s="60"/>
      <c r="N20" s="61">
        <v>0</v>
      </c>
      <c r="O20" s="62">
        <f t="shared" si="2"/>
        <v>0</v>
      </c>
      <c r="P20" s="98"/>
      <c r="Q20" s="60"/>
      <c r="R20" s="61">
        <v>0</v>
      </c>
      <c r="S20" s="62">
        <f t="shared" si="3"/>
        <v>0</v>
      </c>
      <c r="T20" s="98"/>
    </row>
    <row r="21" spans="1:20" x14ac:dyDescent="0.25">
      <c r="A21" s="38"/>
      <c r="B21" s="59" t="s">
        <v>192</v>
      </c>
      <c r="C21" s="60"/>
      <c r="D21" s="61">
        <v>0</v>
      </c>
      <c r="E21" s="62">
        <f t="shared" si="0"/>
        <v>0</v>
      </c>
      <c r="F21" s="98"/>
      <c r="G21" s="60"/>
      <c r="H21" s="61">
        <v>0</v>
      </c>
      <c r="I21" s="62">
        <f t="shared" si="1"/>
        <v>0</v>
      </c>
      <c r="J21" s="98"/>
      <c r="K21" s="98"/>
      <c r="L21" s="59" t="s">
        <v>192</v>
      </c>
      <c r="M21" s="60"/>
      <c r="N21" s="61">
        <v>0</v>
      </c>
      <c r="O21" s="62">
        <f t="shared" si="2"/>
        <v>0</v>
      </c>
      <c r="P21" s="98"/>
      <c r="Q21" s="60"/>
      <c r="R21" s="61">
        <v>0</v>
      </c>
      <c r="S21" s="62">
        <f t="shared" si="3"/>
        <v>0</v>
      </c>
      <c r="T21" s="98"/>
    </row>
    <row r="22" spans="1:20" ht="15" customHeight="1" x14ac:dyDescent="0.25">
      <c r="A22" s="38"/>
      <c r="B22" s="59" t="s">
        <v>193</v>
      </c>
      <c r="C22" s="60"/>
      <c r="D22" s="61">
        <v>0</v>
      </c>
      <c r="E22" s="62">
        <f t="shared" si="0"/>
        <v>0</v>
      </c>
      <c r="F22" s="98"/>
      <c r="G22" s="60"/>
      <c r="H22" s="61">
        <v>0</v>
      </c>
      <c r="I22" s="62">
        <f t="shared" si="1"/>
        <v>0</v>
      </c>
      <c r="J22" s="98"/>
      <c r="K22" s="98"/>
      <c r="L22" s="59" t="s">
        <v>193</v>
      </c>
      <c r="M22" s="60"/>
      <c r="N22" s="61">
        <v>0</v>
      </c>
      <c r="O22" s="62">
        <f t="shared" si="2"/>
        <v>0</v>
      </c>
      <c r="P22" s="98"/>
      <c r="Q22" s="60"/>
      <c r="R22" s="61">
        <v>0</v>
      </c>
      <c r="S22" s="62">
        <f t="shared" si="3"/>
        <v>0</v>
      </c>
      <c r="T22" s="98"/>
    </row>
    <row r="23" spans="1:20" ht="15" customHeight="1" x14ac:dyDescent="0.25">
      <c r="A23" s="38"/>
      <c r="B23" s="59" t="s">
        <v>194</v>
      </c>
      <c r="C23" s="60"/>
      <c r="D23" s="61">
        <v>0</v>
      </c>
      <c r="E23" s="62">
        <f t="shared" si="0"/>
        <v>0</v>
      </c>
      <c r="F23" s="98"/>
      <c r="G23" s="60"/>
      <c r="H23" s="61">
        <v>0</v>
      </c>
      <c r="I23" s="62">
        <f t="shared" si="1"/>
        <v>0</v>
      </c>
      <c r="J23" s="98"/>
      <c r="K23" s="98"/>
      <c r="L23" s="59" t="s">
        <v>194</v>
      </c>
      <c r="M23" s="60"/>
      <c r="N23" s="61">
        <v>0</v>
      </c>
      <c r="O23" s="62">
        <f t="shared" si="2"/>
        <v>0</v>
      </c>
      <c r="P23" s="98"/>
      <c r="Q23" s="60"/>
      <c r="R23" s="61">
        <v>0</v>
      </c>
      <c r="S23" s="62">
        <f t="shared" si="3"/>
        <v>0</v>
      </c>
      <c r="T23" s="98"/>
    </row>
    <row r="24" spans="1:20" ht="15" customHeight="1" x14ac:dyDescent="0.25">
      <c r="A24" s="38"/>
      <c r="B24" s="59" t="s">
        <v>195</v>
      </c>
      <c r="C24" s="60"/>
      <c r="D24" s="61">
        <v>0</v>
      </c>
      <c r="E24" s="62">
        <f t="shared" si="0"/>
        <v>0</v>
      </c>
      <c r="F24" s="98"/>
      <c r="G24" s="60"/>
      <c r="H24" s="61">
        <v>0</v>
      </c>
      <c r="I24" s="62">
        <f t="shared" si="1"/>
        <v>0</v>
      </c>
      <c r="J24" s="98"/>
      <c r="K24" s="98"/>
      <c r="L24" s="59" t="s">
        <v>195</v>
      </c>
      <c r="M24" s="60"/>
      <c r="N24" s="61">
        <v>0</v>
      </c>
      <c r="O24" s="62">
        <f t="shared" si="2"/>
        <v>0</v>
      </c>
      <c r="P24" s="98"/>
      <c r="Q24" s="60"/>
      <c r="R24" s="61">
        <v>0</v>
      </c>
      <c r="S24" s="62">
        <f t="shared" si="3"/>
        <v>0</v>
      </c>
      <c r="T24" s="98"/>
    </row>
    <row r="25" spans="1:20" ht="15" customHeight="1" thickBot="1" x14ac:dyDescent="0.3">
      <c r="A25" s="38"/>
      <c r="B25" s="59" t="s">
        <v>196</v>
      </c>
      <c r="C25" s="63"/>
      <c r="D25" s="39">
        <v>0</v>
      </c>
      <c r="E25" s="64">
        <f t="shared" si="0"/>
        <v>0</v>
      </c>
      <c r="F25" s="99"/>
      <c r="G25" s="63"/>
      <c r="H25" s="39">
        <v>0</v>
      </c>
      <c r="I25" s="64">
        <f t="shared" si="1"/>
        <v>0</v>
      </c>
      <c r="J25" s="99"/>
      <c r="K25" s="99"/>
      <c r="L25" s="59" t="s">
        <v>196</v>
      </c>
      <c r="M25" s="63"/>
      <c r="N25" s="39">
        <v>0</v>
      </c>
      <c r="O25" s="64">
        <f t="shared" si="2"/>
        <v>0</v>
      </c>
      <c r="P25" s="99"/>
      <c r="Q25" s="63"/>
      <c r="R25" s="39">
        <v>0</v>
      </c>
      <c r="S25" s="64">
        <f t="shared" si="3"/>
        <v>0</v>
      </c>
      <c r="T25" s="99"/>
    </row>
    <row r="26" spans="1:20" ht="16.5" thickBot="1" x14ac:dyDescent="0.3">
      <c r="A26" s="38"/>
      <c r="B26" s="113" t="s">
        <v>173</v>
      </c>
      <c r="C26" s="65">
        <f>SUM(C13:C25)</f>
        <v>0</v>
      </c>
      <c r="D26" s="66"/>
      <c r="E26" s="67">
        <f>SUM(E13:E25)</f>
        <v>0</v>
      </c>
      <c r="F26" s="100"/>
      <c r="G26" s="65">
        <f>SUM(G13:G25)</f>
        <v>0</v>
      </c>
      <c r="H26" s="66"/>
      <c r="I26" s="67">
        <f>SUM(I13:I25)</f>
        <v>0</v>
      </c>
      <c r="J26" s="100"/>
      <c r="K26" s="100"/>
      <c r="L26" s="113" t="s">
        <v>173</v>
      </c>
      <c r="M26" s="65">
        <f>SUM(M13:M25)</f>
        <v>0</v>
      </c>
      <c r="N26" s="66"/>
      <c r="O26" s="67">
        <f>SUM(O13:O25)</f>
        <v>0</v>
      </c>
      <c r="P26" s="100"/>
      <c r="Q26" s="65">
        <f>SUM(Q13:Q25)</f>
        <v>0</v>
      </c>
      <c r="R26" s="66"/>
      <c r="S26" s="67">
        <f>SUM(S13:S25)</f>
        <v>0</v>
      </c>
      <c r="T26" s="100"/>
    </row>
    <row r="27" spans="1:20" x14ac:dyDescent="0.25">
      <c r="A27" s="38"/>
      <c r="B27" s="68"/>
      <c r="C27" s="56" t="s">
        <v>174</v>
      </c>
      <c r="D27" s="57" t="s">
        <v>172</v>
      </c>
      <c r="E27" s="58" t="s">
        <v>10</v>
      </c>
      <c r="F27" s="101"/>
      <c r="G27" s="56" t="s">
        <v>174</v>
      </c>
      <c r="H27" s="57" t="s">
        <v>172</v>
      </c>
      <c r="I27" s="58" t="s">
        <v>10</v>
      </c>
      <c r="J27" s="101"/>
      <c r="K27" s="101"/>
      <c r="L27" s="68"/>
      <c r="M27" s="56" t="s">
        <v>174</v>
      </c>
      <c r="N27" s="57" t="s">
        <v>172</v>
      </c>
      <c r="O27" s="58" t="s">
        <v>10</v>
      </c>
      <c r="P27" s="101"/>
      <c r="Q27" s="56" t="s">
        <v>174</v>
      </c>
      <c r="R27" s="57" t="s">
        <v>172</v>
      </c>
      <c r="S27" s="58" t="s">
        <v>10</v>
      </c>
      <c r="T27" s="101"/>
    </row>
    <row r="28" spans="1:20" x14ac:dyDescent="0.25">
      <c r="A28" s="38"/>
      <c r="B28" s="51" t="s">
        <v>160</v>
      </c>
      <c r="C28" s="69">
        <f>+E26</f>
        <v>0</v>
      </c>
      <c r="D28" s="70">
        <v>0</v>
      </c>
      <c r="E28" s="71">
        <f>+C28*D28</f>
        <v>0</v>
      </c>
      <c r="F28" s="100"/>
      <c r="G28" s="69">
        <f>+I26</f>
        <v>0</v>
      </c>
      <c r="H28" s="70">
        <v>0</v>
      </c>
      <c r="I28" s="71">
        <f>+G28*H28</f>
        <v>0</v>
      </c>
      <c r="J28" s="100"/>
      <c r="K28" s="100"/>
      <c r="L28" s="51" t="s">
        <v>269</v>
      </c>
      <c r="M28" s="69">
        <f>+O26</f>
        <v>0</v>
      </c>
      <c r="N28" s="70">
        <v>0</v>
      </c>
      <c r="O28" s="71">
        <f>+M28*N28</f>
        <v>0</v>
      </c>
      <c r="P28" s="100"/>
      <c r="Q28" s="69">
        <f>+S26</f>
        <v>0</v>
      </c>
      <c r="R28" s="70">
        <v>0</v>
      </c>
      <c r="S28" s="71">
        <f>+Q28*R28</f>
        <v>0</v>
      </c>
      <c r="T28" s="100"/>
    </row>
    <row r="29" spans="1:20" x14ac:dyDescent="0.25">
      <c r="A29" s="38"/>
      <c r="B29" s="51" t="s">
        <v>161</v>
      </c>
      <c r="C29" s="69">
        <f>+C28+E28</f>
        <v>0</v>
      </c>
      <c r="D29" s="70">
        <v>0</v>
      </c>
      <c r="E29" s="71">
        <f>+C29*D29</f>
        <v>0</v>
      </c>
      <c r="F29" s="100"/>
      <c r="G29" s="69">
        <f>+G28+I28</f>
        <v>0</v>
      </c>
      <c r="H29" s="70">
        <v>0</v>
      </c>
      <c r="I29" s="71">
        <f>+G29*H29</f>
        <v>0</v>
      </c>
      <c r="J29" s="100"/>
      <c r="K29" s="100"/>
      <c r="L29" s="51" t="s">
        <v>161</v>
      </c>
      <c r="M29" s="69">
        <f>+M28+O28</f>
        <v>0</v>
      </c>
      <c r="N29" s="70">
        <v>0</v>
      </c>
      <c r="O29" s="71">
        <f>+M29*N29</f>
        <v>0</v>
      </c>
      <c r="P29" s="100"/>
      <c r="Q29" s="69">
        <f>+Q28+S28</f>
        <v>0</v>
      </c>
      <c r="R29" s="70">
        <v>0</v>
      </c>
      <c r="S29" s="71">
        <f>+Q29*R29</f>
        <v>0</v>
      </c>
      <c r="T29" s="100"/>
    </row>
    <row r="30" spans="1:20" x14ac:dyDescent="0.25">
      <c r="A30" s="38"/>
      <c r="B30" s="51" t="s">
        <v>162</v>
      </c>
      <c r="C30" s="69">
        <f>+C29+E29</f>
        <v>0</v>
      </c>
      <c r="D30" s="70">
        <v>0</v>
      </c>
      <c r="E30" s="71">
        <f>+C30*D30</f>
        <v>0</v>
      </c>
      <c r="F30" s="100"/>
      <c r="G30" s="69">
        <f>+G29+I29</f>
        <v>0</v>
      </c>
      <c r="H30" s="70">
        <v>0</v>
      </c>
      <c r="I30" s="71">
        <f>+G30*H30</f>
        <v>0</v>
      </c>
      <c r="J30" s="100"/>
      <c r="K30" s="100"/>
      <c r="L30" s="51" t="s">
        <v>162</v>
      </c>
      <c r="M30" s="69">
        <f>+M29+O29</f>
        <v>0</v>
      </c>
      <c r="N30" s="70">
        <v>0</v>
      </c>
      <c r="O30" s="71">
        <f>+M30*N30</f>
        <v>0</v>
      </c>
      <c r="P30" s="100"/>
      <c r="Q30" s="69">
        <f>+Q29+S29</f>
        <v>0</v>
      </c>
      <c r="R30" s="70">
        <v>0</v>
      </c>
      <c r="S30" s="71">
        <f>+Q30*R30</f>
        <v>0</v>
      </c>
      <c r="T30" s="100"/>
    </row>
    <row r="31" spans="1:20" x14ac:dyDescent="0.25">
      <c r="A31" s="38"/>
      <c r="B31" s="51" t="s">
        <v>163</v>
      </c>
      <c r="C31" s="69">
        <f>+C28</f>
        <v>0</v>
      </c>
      <c r="D31" s="70">
        <v>0</v>
      </c>
      <c r="E31" s="71">
        <f>+C31*D31</f>
        <v>0</v>
      </c>
      <c r="F31" s="100"/>
      <c r="G31" s="69">
        <f>+G28</f>
        <v>0</v>
      </c>
      <c r="H31" s="70">
        <v>0</v>
      </c>
      <c r="I31" s="71">
        <f>+G31*H31</f>
        <v>0</v>
      </c>
      <c r="J31" s="100"/>
      <c r="K31" s="100"/>
      <c r="L31" s="51" t="s">
        <v>163</v>
      </c>
      <c r="M31" s="69">
        <f>+M28</f>
        <v>0</v>
      </c>
      <c r="N31" s="70">
        <v>0</v>
      </c>
      <c r="O31" s="71">
        <f>+M31*N31</f>
        <v>0</v>
      </c>
      <c r="P31" s="100"/>
      <c r="Q31" s="69">
        <f>+Q28</f>
        <v>0</v>
      </c>
      <c r="R31" s="70">
        <v>0</v>
      </c>
      <c r="S31" s="71">
        <f>+Q31*R31</f>
        <v>0</v>
      </c>
      <c r="T31" s="100"/>
    </row>
    <row r="32" spans="1:20" x14ac:dyDescent="0.25">
      <c r="A32" s="38"/>
      <c r="B32" s="51" t="s">
        <v>164</v>
      </c>
      <c r="C32" s="69">
        <f>+C30+E30</f>
        <v>0</v>
      </c>
      <c r="D32" s="70">
        <v>0</v>
      </c>
      <c r="E32" s="71">
        <f>+C32*D32</f>
        <v>0</v>
      </c>
      <c r="F32" s="100"/>
      <c r="G32" s="69">
        <f>+G30+I30</f>
        <v>0</v>
      </c>
      <c r="H32" s="70">
        <v>0</v>
      </c>
      <c r="I32" s="71">
        <f>+G32*H32</f>
        <v>0</v>
      </c>
      <c r="J32" s="100"/>
      <c r="K32" s="100"/>
      <c r="L32" s="51" t="s">
        <v>164</v>
      </c>
      <c r="M32" s="69">
        <f>+M30+O30</f>
        <v>0</v>
      </c>
      <c r="N32" s="70">
        <v>0</v>
      </c>
      <c r="O32" s="71">
        <f>+M32*N32</f>
        <v>0</v>
      </c>
      <c r="P32" s="100"/>
      <c r="Q32" s="69">
        <f>+Q30+S30</f>
        <v>0</v>
      </c>
      <c r="R32" s="70">
        <v>0</v>
      </c>
      <c r="S32" s="71">
        <f>+Q32*R32</f>
        <v>0</v>
      </c>
      <c r="T32" s="100"/>
    </row>
    <row r="33" spans="1:20" x14ac:dyDescent="0.25">
      <c r="A33" s="38"/>
      <c r="B33" s="51" t="s">
        <v>175</v>
      </c>
      <c r="C33" s="72"/>
      <c r="D33" s="73"/>
      <c r="E33" s="71">
        <f>+SUM(E26,E28,E29,E30)</f>
        <v>0</v>
      </c>
      <c r="F33" s="100"/>
      <c r="G33" s="72"/>
      <c r="H33" s="73"/>
      <c r="I33" s="71">
        <f>+SUM(I26,I28,I29,I30)</f>
        <v>0</v>
      </c>
      <c r="J33" s="100"/>
      <c r="K33" s="100"/>
      <c r="L33" s="51" t="s">
        <v>270</v>
      </c>
      <c r="M33" s="72"/>
      <c r="N33" s="73"/>
      <c r="O33" s="71">
        <f>+SUM(O26,O28,O29,O30)</f>
        <v>0</v>
      </c>
      <c r="P33" s="100"/>
      <c r="Q33" s="72"/>
      <c r="R33" s="73"/>
      <c r="S33" s="71">
        <f>+SUM(S26,S28,S29,S30)</f>
        <v>0</v>
      </c>
      <c r="T33" s="100"/>
    </row>
    <row r="34" spans="1:20" x14ac:dyDescent="0.25">
      <c r="A34" s="38"/>
      <c r="B34" s="51" t="s">
        <v>176</v>
      </c>
      <c r="C34" s="72"/>
      <c r="D34" s="73"/>
      <c r="E34" s="71">
        <f>+E31</f>
        <v>0</v>
      </c>
      <c r="F34" s="100"/>
      <c r="G34" s="72"/>
      <c r="H34" s="73"/>
      <c r="I34" s="71">
        <f>+I31</f>
        <v>0</v>
      </c>
      <c r="J34" s="100"/>
      <c r="K34" s="100"/>
      <c r="L34" s="51" t="s">
        <v>271</v>
      </c>
      <c r="M34" s="72"/>
      <c r="N34" s="73"/>
      <c r="O34" s="71">
        <f>+O31</f>
        <v>0</v>
      </c>
      <c r="P34" s="100"/>
      <c r="Q34" s="72"/>
      <c r="R34" s="73"/>
      <c r="S34" s="71">
        <f>+S31</f>
        <v>0</v>
      </c>
      <c r="T34" s="100"/>
    </row>
    <row r="35" spans="1:20" x14ac:dyDescent="0.25">
      <c r="A35" s="38"/>
      <c r="B35" s="51" t="s">
        <v>177</v>
      </c>
      <c r="C35" s="72"/>
      <c r="D35" s="73"/>
      <c r="E35" s="74">
        <f>+E32</f>
        <v>0</v>
      </c>
      <c r="F35" s="102"/>
      <c r="G35" s="72"/>
      <c r="H35" s="73"/>
      <c r="I35" s="74">
        <f>+I32</f>
        <v>0</v>
      </c>
      <c r="J35" s="102"/>
      <c r="K35" s="102"/>
      <c r="L35" s="51" t="s">
        <v>272</v>
      </c>
      <c r="M35" s="72"/>
      <c r="N35" s="73"/>
      <c r="O35" s="74">
        <f>+O32</f>
        <v>0</v>
      </c>
      <c r="P35" s="102"/>
      <c r="Q35" s="72"/>
      <c r="R35" s="73"/>
      <c r="S35" s="74">
        <f>+S32</f>
        <v>0</v>
      </c>
      <c r="T35" s="102"/>
    </row>
    <row r="36" spans="1:20" ht="16.5" thickBot="1" x14ac:dyDescent="0.3">
      <c r="A36" s="38"/>
      <c r="B36" s="52" t="s">
        <v>178</v>
      </c>
      <c r="C36" s="75"/>
      <c r="D36" s="76"/>
      <c r="E36" s="77">
        <f>SUM(E33:E35)</f>
        <v>0</v>
      </c>
      <c r="F36" s="103"/>
      <c r="G36" s="75"/>
      <c r="H36" s="76"/>
      <c r="I36" s="77">
        <f>SUM(I33:I35)</f>
        <v>0</v>
      </c>
      <c r="J36" s="103"/>
      <c r="K36" s="103"/>
      <c r="L36" s="52" t="s">
        <v>273</v>
      </c>
      <c r="M36" s="75"/>
      <c r="N36" s="76"/>
      <c r="O36" s="77">
        <f>SUM(O33:O35)</f>
        <v>0</v>
      </c>
      <c r="P36" s="103"/>
      <c r="Q36" s="75"/>
      <c r="R36" s="76"/>
      <c r="S36" s="77">
        <f>SUM(S33:S35)</f>
        <v>0</v>
      </c>
      <c r="T36" s="103"/>
    </row>
    <row r="37" spans="1:20" x14ac:dyDescent="0.25">
      <c r="A37" s="38"/>
      <c r="B37" s="41"/>
      <c r="C37" s="78"/>
      <c r="D37" s="78"/>
      <c r="E37" s="78"/>
      <c r="F37" s="104"/>
      <c r="G37" s="78"/>
      <c r="H37" s="78"/>
      <c r="I37" s="78"/>
      <c r="J37" s="104"/>
      <c r="K37" s="104"/>
      <c r="L37" s="41"/>
      <c r="M37" s="78"/>
      <c r="N37" s="78"/>
      <c r="O37" s="78"/>
      <c r="P37" s="104"/>
      <c r="Q37" s="78"/>
      <c r="R37" s="78"/>
      <c r="S37" s="78"/>
      <c r="T37" s="104"/>
    </row>
    <row r="38" spans="1:20" ht="16.5" thickBot="1" x14ac:dyDescent="0.3">
      <c r="A38" s="38"/>
      <c r="C38" s="37"/>
      <c r="D38" s="37"/>
      <c r="E38" s="37"/>
      <c r="F38" s="105"/>
      <c r="G38" s="37"/>
      <c r="H38" s="37"/>
      <c r="I38" s="37"/>
      <c r="J38" s="105"/>
      <c r="K38" s="105"/>
      <c r="L38" s="37"/>
      <c r="M38" s="37"/>
      <c r="N38" s="37"/>
      <c r="O38" s="37"/>
      <c r="P38" s="105"/>
      <c r="Q38" s="37"/>
      <c r="R38" s="37"/>
      <c r="S38" s="37"/>
      <c r="T38" s="105"/>
    </row>
    <row r="39" spans="1:20" ht="16.5" thickBot="1" x14ac:dyDescent="0.3">
      <c r="A39" s="38"/>
      <c r="B39" s="189" t="str">
        <f>B10</f>
        <v xml:space="preserve">CLINs 0003 &amp; 1003: CPFF </v>
      </c>
      <c r="C39" s="186" t="s">
        <v>179</v>
      </c>
      <c r="D39" s="187"/>
      <c r="E39" s="188"/>
      <c r="F39" s="106"/>
      <c r="G39" s="186" t="s">
        <v>179</v>
      </c>
      <c r="H39" s="187"/>
      <c r="I39" s="188"/>
      <c r="J39" s="106"/>
      <c r="K39" s="106"/>
      <c r="L39" s="149"/>
      <c r="M39" s="186" t="s">
        <v>179</v>
      </c>
      <c r="N39" s="187"/>
      <c r="O39" s="188"/>
      <c r="P39" s="106"/>
      <c r="Q39" s="186" t="s">
        <v>179</v>
      </c>
      <c r="R39" s="187"/>
      <c r="S39" s="188"/>
      <c r="T39" s="106"/>
    </row>
    <row r="40" spans="1:20" ht="16.5" thickBot="1" x14ac:dyDescent="0.3">
      <c r="A40" s="38"/>
      <c r="B40" s="190"/>
      <c r="C40" s="129" t="str">
        <f>C11</f>
        <v>0003: A-10 O-Level Handheld/Pre-load Tester Prototype design and digital development - Basic Period</v>
      </c>
      <c r="D40" s="130"/>
      <c r="E40" s="131"/>
      <c r="F40" s="107"/>
      <c r="G40" s="132" t="str">
        <f>G11</f>
        <v>1003: A-10 O-Level Handheld/Pre-load Tester EMD - Option Period 1</v>
      </c>
      <c r="H40" s="133"/>
      <c r="I40" s="134"/>
      <c r="J40" s="107"/>
      <c r="K40" s="107"/>
      <c r="L40" s="150"/>
      <c r="M40" s="132" t="str">
        <f>M11</f>
        <v>2003: F-16 I-Level Fault Isolation Tester EMD - Option Period 2</v>
      </c>
      <c r="N40" s="133"/>
      <c r="O40" s="134"/>
      <c r="P40" s="107"/>
      <c r="Q40" s="132" t="str">
        <f>Q11</f>
        <v>3003: F-15 I-Level Fault Isolation Tester EMD - Option Period 3</v>
      </c>
      <c r="R40" s="133"/>
      <c r="S40" s="134"/>
      <c r="T40" s="107"/>
    </row>
    <row r="41" spans="1:20" x14ac:dyDescent="0.25">
      <c r="A41" s="38"/>
      <c r="B41" s="79"/>
      <c r="C41" s="56" t="s">
        <v>174</v>
      </c>
      <c r="D41" s="57" t="s">
        <v>172</v>
      </c>
      <c r="E41" s="58" t="s">
        <v>10</v>
      </c>
      <c r="F41" s="101"/>
      <c r="G41" s="56" t="s">
        <v>174</v>
      </c>
      <c r="H41" s="57" t="s">
        <v>172</v>
      </c>
      <c r="I41" s="58" t="s">
        <v>10</v>
      </c>
      <c r="J41" s="101"/>
      <c r="K41" s="101"/>
      <c r="L41" s="79"/>
      <c r="M41" s="56" t="s">
        <v>174</v>
      </c>
      <c r="N41" s="57" t="s">
        <v>172</v>
      </c>
      <c r="O41" s="58" t="s">
        <v>10</v>
      </c>
      <c r="P41" s="101"/>
      <c r="Q41" s="56" t="s">
        <v>174</v>
      </c>
      <c r="R41" s="57" t="s">
        <v>172</v>
      </c>
      <c r="S41" s="58" t="s">
        <v>10</v>
      </c>
      <c r="T41" s="101"/>
    </row>
    <row r="42" spans="1:20" x14ac:dyDescent="0.25">
      <c r="A42" s="38"/>
      <c r="B42" s="80" t="s">
        <v>180</v>
      </c>
      <c r="C42" s="81"/>
      <c r="D42" s="82"/>
      <c r="E42" s="83"/>
      <c r="F42" s="100"/>
      <c r="G42" s="81"/>
      <c r="H42" s="82"/>
      <c r="I42" s="83"/>
      <c r="J42" s="100"/>
      <c r="K42" s="100"/>
      <c r="L42" s="80" t="s">
        <v>180</v>
      </c>
      <c r="M42" s="81"/>
      <c r="N42" s="82"/>
      <c r="O42" s="83"/>
      <c r="P42" s="100"/>
      <c r="Q42" s="81"/>
      <c r="R42" s="82"/>
      <c r="S42" s="83"/>
      <c r="T42" s="100"/>
    </row>
    <row r="43" spans="1:20" x14ac:dyDescent="0.25">
      <c r="A43" s="38"/>
      <c r="B43" s="51" t="s">
        <v>161</v>
      </c>
      <c r="C43" s="69">
        <f>+E42</f>
        <v>0</v>
      </c>
      <c r="D43" s="70">
        <v>0</v>
      </c>
      <c r="E43" s="71">
        <f>+C43*D43</f>
        <v>0</v>
      </c>
      <c r="F43" s="108"/>
      <c r="G43" s="69">
        <f>+I42</f>
        <v>0</v>
      </c>
      <c r="H43" s="70">
        <v>0</v>
      </c>
      <c r="I43" s="71">
        <f>+G43*H43</f>
        <v>0</v>
      </c>
      <c r="J43" s="108"/>
      <c r="K43" s="108"/>
      <c r="L43" s="51" t="s">
        <v>161</v>
      </c>
      <c r="M43" s="69">
        <f>+O42</f>
        <v>0</v>
      </c>
      <c r="N43" s="70">
        <v>0</v>
      </c>
      <c r="O43" s="71">
        <f>+M43*N43</f>
        <v>0</v>
      </c>
      <c r="P43" s="108"/>
      <c r="Q43" s="69">
        <f>+S42</f>
        <v>0</v>
      </c>
      <c r="R43" s="70">
        <v>0</v>
      </c>
      <c r="S43" s="71">
        <f>+Q43*R43</f>
        <v>0</v>
      </c>
      <c r="T43" s="108"/>
    </row>
    <row r="44" spans="1:20" x14ac:dyDescent="0.25">
      <c r="A44" s="38"/>
      <c r="B44" s="51" t="s">
        <v>162</v>
      </c>
      <c r="C44" s="69">
        <f>+C43+E43</f>
        <v>0</v>
      </c>
      <c r="D44" s="70">
        <v>0</v>
      </c>
      <c r="E44" s="71">
        <f>+C44*D44</f>
        <v>0</v>
      </c>
      <c r="F44" s="108"/>
      <c r="G44" s="69">
        <f>+G43+I43</f>
        <v>0</v>
      </c>
      <c r="H44" s="70">
        <v>0</v>
      </c>
      <c r="I44" s="71">
        <f>+G44*H44</f>
        <v>0</v>
      </c>
      <c r="J44" s="108"/>
      <c r="K44" s="108"/>
      <c r="L44" s="51" t="s">
        <v>162</v>
      </c>
      <c r="M44" s="69">
        <f>+M43+O43</f>
        <v>0</v>
      </c>
      <c r="N44" s="70">
        <v>0</v>
      </c>
      <c r="O44" s="71">
        <f>+M44*N44</f>
        <v>0</v>
      </c>
      <c r="P44" s="108"/>
      <c r="Q44" s="69">
        <f>+Q43+S43</f>
        <v>0</v>
      </c>
      <c r="R44" s="70">
        <v>0</v>
      </c>
      <c r="S44" s="71">
        <f>+Q44*R44</f>
        <v>0</v>
      </c>
      <c r="T44" s="108"/>
    </row>
    <row r="45" spans="1:20" x14ac:dyDescent="0.25">
      <c r="A45" s="38"/>
      <c r="B45" s="51" t="s">
        <v>163</v>
      </c>
      <c r="C45" s="69">
        <f>+C43</f>
        <v>0</v>
      </c>
      <c r="D45" s="70">
        <v>0</v>
      </c>
      <c r="E45" s="71">
        <f>+C45*D45</f>
        <v>0</v>
      </c>
      <c r="F45" s="100"/>
      <c r="G45" s="69">
        <f>+G43</f>
        <v>0</v>
      </c>
      <c r="H45" s="70">
        <v>0</v>
      </c>
      <c r="I45" s="71">
        <f>+G45*H45</f>
        <v>0</v>
      </c>
      <c r="J45" s="100"/>
      <c r="K45" s="100"/>
      <c r="L45" s="51" t="s">
        <v>163</v>
      </c>
      <c r="M45" s="69">
        <f>+M43</f>
        <v>0</v>
      </c>
      <c r="N45" s="70">
        <v>0</v>
      </c>
      <c r="O45" s="71">
        <f>+M45*N45</f>
        <v>0</v>
      </c>
      <c r="P45" s="100"/>
      <c r="Q45" s="69">
        <f>+Q43</f>
        <v>0</v>
      </c>
      <c r="R45" s="70">
        <v>0</v>
      </c>
      <c r="S45" s="71">
        <f>+Q45*R45</f>
        <v>0</v>
      </c>
      <c r="T45" s="100"/>
    </row>
    <row r="46" spans="1:20" x14ac:dyDescent="0.25">
      <c r="A46" s="38"/>
      <c r="B46" s="51" t="s">
        <v>164</v>
      </c>
      <c r="C46" s="69">
        <f>+C44+E44</f>
        <v>0</v>
      </c>
      <c r="D46" s="70">
        <v>0</v>
      </c>
      <c r="E46" s="71">
        <f>+C46*D46</f>
        <v>0</v>
      </c>
      <c r="F46" s="100"/>
      <c r="G46" s="69">
        <f>+G44+I44</f>
        <v>0</v>
      </c>
      <c r="H46" s="70">
        <v>0</v>
      </c>
      <c r="I46" s="71">
        <f>+G46*H46</f>
        <v>0</v>
      </c>
      <c r="J46" s="100"/>
      <c r="K46" s="100"/>
      <c r="L46" s="51" t="s">
        <v>164</v>
      </c>
      <c r="M46" s="69">
        <f>+M44+O44</f>
        <v>0</v>
      </c>
      <c r="N46" s="70">
        <v>0</v>
      </c>
      <c r="O46" s="71">
        <f>+M46*N46</f>
        <v>0</v>
      </c>
      <c r="P46" s="100"/>
      <c r="Q46" s="69">
        <f>+Q44+S44</f>
        <v>0</v>
      </c>
      <c r="R46" s="70">
        <v>0</v>
      </c>
      <c r="S46" s="71">
        <f>+Q46*R46</f>
        <v>0</v>
      </c>
      <c r="T46" s="100"/>
    </row>
    <row r="47" spans="1:20" x14ac:dyDescent="0.25">
      <c r="A47" s="38"/>
      <c r="B47" s="51" t="s">
        <v>175</v>
      </c>
      <c r="C47" s="84"/>
      <c r="D47" s="85"/>
      <c r="E47" s="71">
        <f>+ROUND(SUM(E42:E44),0)</f>
        <v>0</v>
      </c>
      <c r="F47" s="100"/>
      <c r="G47" s="84"/>
      <c r="H47" s="85"/>
      <c r="I47" s="71">
        <f>+ROUND(SUM(I42:I44),0)</f>
        <v>0</v>
      </c>
      <c r="J47" s="100"/>
      <c r="K47" s="100"/>
      <c r="L47" s="51" t="s">
        <v>270</v>
      </c>
      <c r="M47" s="84"/>
      <c r="N47" s="85"/>
      <c r="O47" s="71">
        <f>+ROUND(SUM(O42:O44),0)</f>
        <v>0</v>
      </c>
      <c r="P47" s="100"/>
      <c r="Q47" s="84"/>
      <c r="R47" s="85"/>
      <c r="S47" s="71">
        <f>+ROUND(SUM(S42:S44),0)</f>
        <v>0</v>
      </c>
      <c r="T47" s="100"/>
    </row>
    <row r="48" spans="1:20" x14ac:dyDescent="0.25">
      <c r="A48" s="38"/>
      <c r="B48" s="51" t="s">
        <v>176</v>
      </c>
      <c r="C48" s="81"/>
      <c r="D48" s="86"/>
      <c r="E48" s="71">
        <f>+ROUND(E45,0)</f>
        <v>0</v>
      </c>
      <c r="F48" s="100"/>
      <c r="G48" s="81"/>
      <c r="H48" s="86"/>
      <c r="I48" s="71">
        <f>+ROUND(I45,0)</f>
        <v>0</v>
      </c>
      <c r="J48" s="100"/>
      <c r="K48" s="100"/>
      <c r="L48" s="51" t="s">
        <v>271</v>
      </c>
      <c r="M48" s="81"/>
      <c r="N48" s="86"/>
      <c r="O48" s="71">
        <f>+ROUND(O45,0)</f>
        <v>0</v>
      </c>
      <c r="P48" s="100"/>
      <c r="Q48" s="81"/>
      <c r="R48" s="86"/>
      <c r="S48" s="71">
        <f>+ROUND(S45,0)</f>
        <v>0</v>
      </c>
      <c r="T48" s="100"/>
    </row>
    <row r="49" spans="1:20" x14ac:dyDescent="0.25">
      <c r="B49" s="51" t="s">
        <v>177</v>
      </c>
      <c r="C49" s="81"/>
      <c r="D49" s="86"/>
      <c r="E49" s="87">
        <f>+ROUND(E46,0)</f>
        <v>0</v>
      </c>
      <c r="F49" s="109"/>
      <c r="G49" s="81"/>
      <c r="H49" s="86"/>
      <c r="I49" s="87">
        <f>+ROUND(I46,0)</f>
        <v>0</v>
      </c>
      <c r="J49" s="109"/>
      <c r="K49" s="109"/>
      <c r="L49" s="51" t="s">
        <v>272</v>
      </c>
      <c r="M49" s="81"/>
      <c r="N49" s="86"/>
      <c r="O49" s="87">
        <f>+ROUND(O46,0)</f>
        <v>0</v>
      </c>
      <c r="P49" s="109"/>
      <c r="Q49" s="81"/>
      <c r="R49" s="86"/>
      <c r="S49" s="87">
        <f>+ROUND(S46,0)</f>
        <v>0</v>
      </c>
      <c r="T49" s="109"/>
    </row>
    <row r="50" spans="1:20" ht="16.5" thickBot="1" x14ac:dyDescent="0.3">
      <c r="B50" s="52" t="s">
        <v>178</v>
      </c>
      <c r="C50" s="112"/>
      <c r="D50" s="88"/>
      <c r="E50" s="64">
        <f t="shared" ref="E50" si="4">SUM(E47:E49)</f>
        <v>0</v>
      </c>
      <c r="F50" s="99"/>
      <c r="G50" s="112"/>
      <c r="H50" s="88"/>
      <c r="I50" s="64">
        <f t="shared" ref="I50" si="5">SUM(I47:I49)</f>
        <v>0</v>
      </c>
      <c r="J50" s="99"/>
      <c r="K50" s="99"/>
      <c r="L50" s="52" t="s">
        <v>273</v>
      </c>
      <c r="M50" s="112"/>
      <c r="N50" s="88"/>
      <c r="O50" s="64">
        <f t="shared" ref="O50" si="6">SUM(O47:O49)</f>
        <v>0</v>
      </c>
      <c r="P50" s="99"/>
      <c r="Q50" s="112"/>
      <c r="R50" s="88"/>
      <c r="S50" s="64">
        <f t="shared" ref="S50" si="7">SUM(S47:S49)</f>
        <v>0</v>
      </c>
      <c r="T50" s="99"/>
    </row>
    <row r="51" spans="1:20" ht="16.5" thickBot="1" x14ac:dyDescent="0.3">
      <c r="B51" s="41"/>
      <c r="F51" s="110"/>
      <c r="J51" s="110"/>
      <c r="K51" s="110"/>
      <c r="L51" s="41"/>
      <c r="P51" s="110"/>
      <c r="T51" s="110"/>
    </row>
    <row r="52" spans="1:20" ht="16.5" thickBot="1" x14ac:dyDescent="0.3">
      <c r="A52" s="38"/>
      <c r="B52" s="189" t="str">
        <f>B39</f>
        <v xml:space="preserve">CLINs 0003 &amp; 1003: CPFF </v>
      </c>
      <c r="C52" s="186" t="s">
        <v>181</v>
      </c>
      <c r="D52" s="187"/>
      <c r="E52" s="188"/>
      <c r="F52" s="106"/>
      <c r="G52" s="186" t="s">
        <v>181</v>
      </c>
      <c r="H52" s="187"/>
      <c r="I52" s="188"/>
      <c r="J52" s="106"/>
      <c r="K52" s="106"/>
      <c r="L52" s="149"/>
      <c r="M52" s="186" t="s">
        <v>181</v>
      </c>
      <c r="N52" s="187"/>
      <c r="O52" s="188"/>
      <c r="P52" s="106"/>
      <c r="Q52" s="186" t="s">
        <v>181</v>
      </c>
      <c r="R52" s="187"/>
      <c r="S52" s="188"/>
      <c r="T52" s="106"/>
    </row>
    <row r="53" spans="1:20" ht="16.5" thickBot="1" x14ac:dyDescent="0.3">
      <c r="A53" s="38"/>
      <c r="B53" s="190"/>
      <c r="C53" s="129" t="str">
        <f>C40</f>
        <v>0003: A-10 O-Level Handheld/Pre-load Tester Prototype design and digital development - Basic Period</v>
      </c>
      <c r="D53" s="130"/>
      <c r="E53" s="131"/>
      <c r="F53" s="107"/>
      <c r="G53" s="132" t="str">
        <f>G40</f>
        <v>1003: A-10 O-Level Handheld/Pre-load Tester EMD - Option Period 1</v>
      </c>
      <c r="H53" s="133"/>
      <c r="I53" s="134"/>
      <c r="J53" s="107"/>
      <c r="K53" s="107"/>
      <c r="L53" s="150"/>
      <c r="M53" s="132" t="str">
        <f>M40</f>
        <v>2003: F-16 I-Level Fault Isolation Tester EMD - Option Period 2</v>
      </c>
      <c r="N53" s="133"/>
      <c r="O53" s="134"/>
      <c r="P53" s="107"/>
      <c r="Q53" s="132" t="str">
        <f>Q40</f>
        <v>3003: F-15 I-Level Fault Isolation Tester EMD - Option Period 3</v>
      </c>
      <c r="R53" s="133"/>
      <c r="S53" s="134"/>
      <c r="T53" s="107"/>
    </row>
    <row r="54" spans="1:20" x14ac:dyDescent="0.25">
      <c r="A54" s="38"/>
      <c r="B54" s="79"/>
      <c r="C54" s="56" t="s">
        <v>174</v>
      </c>
      <c r="D54" s="57" t="s">
        <v>172</v>
      </c>
      <c r="E54" s="58" t="s">
        <v>10</v>
      </c>
      <c r="F54" s="101"/>
      <c r="G54" s="56" t="s">
        <v>174</v>
      </c>
      <c r="H54" s="57" t="s">
        <v>172</v>
      </c>
      <c r="I54" s="58" t="s">
        <v>10</v>
      </c>
      <c r="J54" s="101"/>
      <c r="K54" s="101"/>
      <c r="L54" s="79"/>
      <c r="M54" s="56" t="s">
        <v>174</v>
      </c>
      <c r="N54" s="57" t="s">
        <v>172</v>
      </c>
      <c r="O54" s="58" t="s">
        <v>10</v>
      </c>
      <c r="P54" s="101"/>
      <c r="Q54" s="56" t="s">
        <v>174</v>
      </c>
      <c r="R54" s="57" t="s">
        <v>172</v>
      </c>
      <c r="S54" s="58" t="s">
        <v>10</v>
      </c>
      <c r="T54" s="101"/>
    </row>
    <row r="55" spans="1:20" x14ac:dyDescent="0.25">
      <c r="A55" s="38"/>
      <c r="B55" s="80" t="s">
        <v>182</v>
      </c>
      <c r="C55" s="81"/>
      <c r="D55" s="82"/>
      <c r="E55" s="83"/>
      <c r="F55" s="100"/>
      <c r="G55" s="81"/>
      <c r="H55" s="82"/>
      <c r="I55" s="83"/>
      <c r="J55" s="100"/>
      <c r="K55" s="100"/>
      <c r="L55" s="80" t="s">
        <v>182</v>
      </c>
      <c r="M55" s="81"/>
      <c r="N55" s="82"/>
      <c r="O55" s="83"/>
      <c r="P55" s="100"/>
      <c r="Q55" s="81"/>
      <c r="R55" s="82"/>
      <c r="S55" s="83"/>
      <c r="T55" s="100"/>
    </row>
    <row r="56" spans="1:20" x14ac:dyDescent="0.25">
      <c r="A56" s="38"/>
      <c r="B56" s="51" t="s">
        <v>161</v>
      </c>
      <c r="C56" s="69">
        <f>+E55</f>
        <v>0</v>
      </c>
      <c r="D56" s="70">
        <v>0</v>
      </c>
      <c r="E56" s="71">
        <f>+C56*D56</f>
        <v>0</v>
      </c>
      <c r="F56" s="108"/>
      <c r="G56" s="69">
        <f>+I55</f>
        <v>0</v>
      </c>
      <c r="H56" s="70">
        <v>0</v>
      </c>
      <c r="I56" s="71">
        <f>+G56*H56</f>
        <v>0</v>
      </c>
      <c r="J56" s="108"/>
      <c r="K56" s="108"/>
      <c r="L56" s="51" t="s">
        <v>161</v>
      </c>
      <c r="M56" s="69">
        <f>+O55</f>
        <v>0</v>
      </c>
      <c r="N56" s="70">
        <v>0</v>
      </c>
      <c r="O56" s="71">
        <f>+M56*N56</f>
        <v>0</v>
      </c>
      <c r="P56" s="108"/>
      <c r="Q56" s="69">
        <f>+S55</f>
        <v>0</v>
      </c>
      <c r="R56" s="70">
        <v>0</v>
      </c>
      <c r="S56" s="71">
        <f>+Q56*R56</f>
        <v>0</v>
      </c>
      <c r="T56" s="108"/>
    </row>
    <row r="57" spans="1:20" x14ac:dyDescent="0.25">
      <c r="A57" s="38"/>
      <c r="B57" s="51" t="s">
        <v>162</v>
      </c>
      <c r="C57" s="69">
        <f>+C56+E56</f>
        <v>0</v>
      </c>
      <c r="D57" s="70">
        <v>0</v>
      </c>
      <c r="E57" s="71">
        <f>+C57*D57</f>
        <v>0</v>
      </c>
      <c r="F57" s="108"/>
      <c r="G57" s="69">
        <f>+G56+I56</f>
        <v>0</v>
      </c>
      <c r="H57" s="70">
        <v>0</v>
      </c>
      <c r="I57" s="71">
        <f>+G57*H57</f>
        <v>0</v>
      </c>
      <c r="J57" s="108"/>
      <c r="K57" s="108"/>
      <c r="L57" s="51" t="s">
        <v>162</v>
      </c>
      <c r="M57" s="69">
        <f>+M56+O56</f>
        <v>0</v>
      </c>
      <c r="N57" s="70">
        <v>0</v>
      </c>
      <c r="O57" s="71">
        <f>+M57*N57</f>
        <v>0</v>
      </c>
      <c r="P57" s="108"/>
      <c r="Q57" s="69">
        <f>+Q56+S56</f>
        <v>0</v>
      </c>
      <c r="R57" s="70">
        <v>0</v>
      </c>
      <c r="S57" s="71">
        <f>+Q57*R57</f>
        <v>0</v>
      </c>
      <c r="T57" s="108"/>
    </row>
    <row r="58" spans="1:20" x14ac:dyDescent="0.25">
      <c r="A58" s="38"/>
      <c r="B58" s="51" t="s">
        <v>163</v>
      </c>
      <c r="C58" s="69">
        <f>+C56</f>
        <v>0</v>
      </c>
      <c r="D58" s="70">
        <v>0</v>
      </c>
      <c r="E58" s="71">
        <f>+C58*D58</f>
        <v>0</v>
      </c>
      <c r="F58" s="100"/>
      <c r="G58" s="69">
        <f>+G56</f>
        <v>0</v>
      </c>
      <c r="H58" s="70">
        <v>0</v>
      </c>
      <c r="I58" s="71">
        <f>+G58*H58</f>
        <v>0</v>
      </c>
      <c r="J58" s="100"/>
      <c r="K58" s="100"/>
      <c r="L58" s="51" t="s">
        <v>163</v>
      </c>
      <c r="M58" s="69">
        <f>+M56</f>
        <v>0</v>
      </c>
      <c r="N58" s="70">
        <v>0</v>
      </c>
      <c r="O58" s="71">
        <f>+M58*N58</f>
        <v>0</v>
      </c>
      <c r="P58" s="100"/>
      <c r="Q58" s="69">
        <f>+Q56</f>
        <v>0</v>
      </c>
      <c r="R58" s="70">
        <v>0</v>
      </c>
      <c r="S58" s="71">
        <f>+Q58*R58</f>
        <v>0</v>
      </c>
      <c r="T58" s="100"/>
    </row>
    <row r="59" spans="1:20" x14ac:dyDescent="0.25">
      <c r="A59" s="38"/>
      <c r="B59" s="51" t="s">
        <v>164</v>
      </c>
      <c r="C59" s="69">
        <f>+C57+E57</f>
        <v>0</v>
      </c>
      <c r="D59" s="70">
        <v>0</v>
      </c>
      <c r="E59" s="71">
        <f>+C59*D59</f>
        <v>0</v>
      </c>
      <c r="F59" s="100"/>
      <c r="G59" s="69">
        <f>+G57+I57</f>
        <v>0</v>
      </c>
      <c r="H59" s="70">
        <v>0</v>
      </c>
      <c r="I59" s="71">
        <f>+G59*H59</f>
        <v>0</v>
      </c>
      <c r="J59" s="100"/>
      <c r="K59" s="100"/>
      <c r="L59" s="51" t="s">
        <v>164</v>
      </c>
      <c r="M59" s="69">
        <f>+M57+O57</f>
        <v>0</v>
      </c>
      <c r="N59" s="70">
        <v>0</v>
      </c>
      <c r="O59" s="71">
        <f>+M59*N59</f>
        <v>0</v>
      </c>
      <c r="P59" s="100"/>
      <c r="Q59" s="69">
        <f>+Q57+S57</f>
        <v>0</v>
      </c>
      <c r="R59" s="70">
        <v>0</v>
      </c>
      <c r="S59" s="71">
        <f>+Q59*R59</f>
        <v>0</v>
      </c>
      <c r="T59" s="100"/>
    </row>
    <row r="60" spans="1:20" x14ac:dyDescent="0.25">
      <c r="A60" s="38"/>
      <c r="B60" s="51" t="s">
        <v>175</v>
      </c>
      <c r="C60" s="84"/>
      <c r="D60" s="85"/>
      <c r="E60" s="71">
        <f>+ROUND(SUM(E55:E57),0)</f>
        <v>0</v>
      </c>
      <c r="F60" s="100"/>
      <c r="G60" s="84"/>
      <c r="H60" s="85"/>
      <c r="I60" s="71">
        <f>+ROUND(SUM(I55:I57),0)</f>
        <v>0</v>
      </c>
      <c r="J60" s="100"/>
      <c r="K60" s="100"/>
      <c r="L60" s="51" t="s">
        <v>270</v>
      </c>
      <c r="M60" s="84"/>
      <c r="N60" s="85"/>
      <c r="O60" s="71">
        <f>+ROUND(SUM(O55:O57),0)</f>
        <v>0</v>
      </c>
      <c r="P60" s="100"/>
      <c r="Q60" s="84"/>
      <c r="R60" s="85"/>
      <c r="S60" s="71">
        <f>+ROUND(SUM(S55:S57),0)</f>
        <v>0</v>
      </c>
      <c r="T60" s="100"/>
    </row>
    <row r="61" spans="1:20" x14ac:dyDescent="0.25">
      <c r="A61" s="38"/>
      <c r="B61" s="51" t="s">
        <v>176</v>
      </c>
      <c r="C61" s="81"/>
      <c r="D61" s="86"/>
      <c r="E61" s="71">
        <f>+ROUND(E58,0)</f>
        <v>0</v>
      </c>
      <c r="F61" s="100"/>
      <c r="G61" s="81"/>
      <c r="H61" s="86"/>
      <c r="I61" s="71">
        <f>+ROUND(I58,0)</f>
        <v>0</v>
      </c>
      <c r="J61" s="100"/>
      <c r="K61" s="100"/>
      <c r="L61" s="51" t="s">
        <v>271</v>
      </c>
      <c r="M61" s="81"/>
      <c r="N61" s="86"/>
      <c r="O61" s="71">
        <f>+ROUND(O58,0)</f>
        <v>0</v>
      </c>
      <c r="P61" s="100"/>
      <c r="Q61" s="81"/>
      <c r="R61" s="86"/>
      <c r="S61" s="71">
        <f>+ROUND(S58,0)</f>
        <v>0</v>
      </c>
      <c r="T61" s="100"/>
    </row>
    <row r="62" spans="1:20" x14ac:dyDescent="0.25">
      <c r="B62" s="51" t="s">
        <v>177</v>
      </c>
      <c r="C62" s="81"/>
      <c r="D62" s="86"/>
      <c r="E62" s="87">
        <f>+ROUND(E59,0)</f>
        <v>0</v>
      </c>
      <c r="F62" s="109"/>
      <c r="G62" s="81"/>
      <c r="H62" s="86"/>
      <c r="I62" s="87">
        <f>+ROUND(I59,0)</f>
        <v>0</v>
      </c>
      <c r="J62" s="109"/>
      <c r="K62" s="109"/>
      <c r="L62" s="51" t="s">
        <v>272</v>
      </c>
      <c r="M62" s="81"/>
      <c r="N62" s="86"/>
      <c r="O62" s="87">
        <f>+ROUND(O59,0)</f>
        <v>0</v>
      </c>
      <c r="P62" s="109"/>
      <c r="Q62" s="81"/>
      <c r="R62" s="86"/>
      <c r="S62" s="87">
        <f>+ROUND(S59,0)</f>
        <v>0</v>
      </c>
      <c r="T62" s="109"/>
    </row>
    <row r="63" spans="1:20" ht="16.5" thickBot="1" x14ac:dyDescent="0.3">
      <c r="B63" s="52" t="s">
        <v>178</v>
      </c>
      <c r="C63" s="112"/>
      <c r="D63" s="88"/>
      <c r="E63" s="64">
        <f t="shared" ref="E63" si="8">SUM(E60:E62)</f>
        <v>0</v>
      </c>
      <c r="F63" s="99"/>
      <c r="G63" s="112"/>
      <c r="H63" s="88"/>
      <c r="I63" s="64">
        <f t="shared" ref="I63" si="9">SUM(I60:I62)</f>
        <v>0</v>
      </c>
      <c r="J63" s="99"/>
      <c r="K63" s="99"/>
      <c r="L63" s="52" t="s">
        <v>273</v>
      </c>
      <c r="M63" s="112"/>
      <c r="N63" s="88"/>
      <c r="O63" s="64">
        <f t="shared" ref="O63" si="10">SUM(O60:O62)</f>
        <v>0</v>
      </c>
      <c r="P63" s="99"/>
      <c r="Q63" s="112"/>
      <c r="R63" s="88"/>
      <c r="S63" s="64">
        <f t="shared" ref="S63" si="11">SUM(S60:S62)</f>
        <v>0</v>
      </c>
      <c r="T63" s="99"/>
    </row>
    <row r="64" spans="1:20" x14ac:dyDescent="0.25">
      <c r="B64" s="41"/>
      <c r="F64" s="110"/>
      <c r="J64" s="110"/>
      <c r="K64" s="110"/>
      <c r="L64" s="41"/>
      <c r="P64" s="110"/>
      <c r="T64" s="110"/>
    </row>
    <row r="65" spans="2:20" ht="16.5" thickBot="1" x14ac:dyDescent="0.3">
      <c r="F65" s="110"/>
      <c r="J65" s="110"/>
      <c r="K65" s="110"/>
      <c r="L65" s="37"/>
      <c r="P65" s="110"/>
      <c r="T65" s="110"/>
    </row>
    <row r="66" spans="2:20" ht="16.5" thickBot="1" x14ac:dyDescent="0.3">
      <c r="B66" s="189" t="str">
        <f>B52</f>
        <v xml:space="preserve">CLINs 0003 &amp; 1003: CPFF </v>
      </c>
      <c r="C66" s="186" t="s">
        <v>183</v>
      </c>
      <c r="D66" s="187"/>
      <c r="E66" s="188"/>
      <c r="F66" s="106"/>
      <c r="G66" s="186" t="s">
        <v>183</v>
      </c>
      <c r="H66" s="187"/>
      <c r="I66" s="188"/>
      <c r="J66" s="106"/>
      <c r="K66" s="106"/>
      <c r="L66" s="149"/>
      <c r="M66" s="186" t="s">
        <v>183</v>
      </c>
      <c r="N66" s="187"/>
      <c r="O66" s="188"/>
      <c r="P66" s="106"/>
      <c r="Q66" s="186" t="s">
        <v>183</v>
      </c>
      <c r="R66" s="187"/>
      <c r="S66" s="188"/>
      <c r="T66" s="106"/>
    </row>
    <row r="67" spans="2:20" ht="16.5" thickBot="1" x14ac:dyDescent="0.3">
      <c r="B67" s="190"/>
      <c r="C67" s="89"/>
      <c r="D67" s="55"/>
      <c r="E67" s="90" t="s">
        <v>292</v>
      </c>
      <c r="F67" s="111"/>
      <c r="G67" s="89"/>
      <c r="H67" s="55"/>
      <c r="I67" s="90" t="s">
        <v>293</v>
      </c>
      <c r="J67" s="111"/>
      <c r="K67" s="111"/>
      <c r="L67" s="150"/>
      <c r="M67" s="89"/>
      <c r="N67" s="55"/>
      <c r="O67" s="90" t="s">
        <v>294</v>
      </c>
      <c r="P67" s="111"/>
      <c r="Q67" s="89"/>
      <c r="R67" s="55"/>
      <c r="S67" s="90" t="s">
        <v>295</v>
      </c>
      <c r="T67" s="111"/>
    </row>
    <row r="68" spans="2:20" x14ac:dyDescent="0.25">
      <c r="B68" s="51" t="s">
        <v>175</v>
      </c>
      <c r="C68" s="91"/>
      <c r="D68" s="91"/>
      <c r="E68" s="92">
        <f>+ROUND(E33+E47+E60,0)</f>
        <v>0</v>
      </c>
      <c r="F68" s="100"/>
      <c r="G68" s="91"/>
      <c r="H68" s="91"/>
      <c r="I68" s="92">
        <f>+ROUND(I33+I47+I60,0)</f>
        <v>0</v>
      </c>
      <c r="J68" s="100"/>
      <c r="K68" s="100"/>
      <c r="L68" s="51" t="s">
        <v>270</v>
      </c>
      <c r="M68" s="91"/>
      <c r="N68" s="91"/>
      <c r="O68" s="92">
        <f>+ROUND(O33+O47+O60,0)</f>
        <v>0</v>
      </c>
      <c r="P68" s="100"/>
      <c r="Q68" s="91"/>
      <c r="R68" s="91"/>
      <c r="S68" s="92">
        <f>+ROUND(S33+S47+S60,0)</f>
        <v>0</v>
      </c>
      <c r="T68" s="100"/>
    </row>
    <row r="69" spans="2:20" x14ac:dyDescent="0.25">
      <c r="B69" s="51" t="s">
        <v>176</v>
      </c>
      <c r="C69" s="91"/>
      <c r="D69" s="91"/>
      <c r="E69" s="71">
        <f>+ROUND(E34+E48+E61,0)</f>
        <v>0</v>
      </c>
      <c r="F69" s="100"/>
      <c r="G69" s="91"/>
      <c r="H69" s="91"/>
      <c r="I69" s="71">
        <f>+ROUND(I34+I48+I61,0)</f>
        <v>0</v>
      </c>
      <c r="J69" s="100"/>
      <c r="K69" s="100"/>
      <c r="L69" s="51" t="s">
        <v>271</v>
      </c>
      <c r="M69" s="91"/>
      <c r="N69" s="91"/>
      <c r="O69" s="71">
        <f>+ROUND(O34+O48+O61,0)</f>
        <v>0</v>
      </c>
      <c r="P69" s="100"/>
      <c r="Q69" s="91"/>
      <c r="R69" s="91"/>
      <c r="S69" s="71">
        <f>+ROUND(S34+S48+S61,0)</f>
        <v>0</v>
      </c>
      <c r="T69" s="100"/>
    </row>
    <row r="70" spans="2:20" x14ac:dyDescent="0.25">
      <c r="B70" s="51" t="s">
        <v>177</v>
      </c>
      <c r="C70" s="91"/>
      <c r="D70" s="91"/>
      <c r="E70" s="74">
        <f>+ROUND(E35+E49+E62,0)</f>
        <v>0</v>
      </c>
      <c r="F70" s="102"/>
      <c r="G70" s="91"/>
      <c r="H70" s="91"/>
      <c r="I70" s="74">
        <f>+ROUND(I35+I49+I62,0)</f>
        <v>0</v>
      </c>
      <c r="J70" s="102"/>
      <c r="K70" s="102"/>
      <c r="L70" s="51" t="s">
        <v>272</v>
      </c>
      <c r="M70" s="91"/>
      <c r="N70" s="91"/>
      <c r="O70" s="74">
        <f>+ROUND(O35+O49+O62,0)</f>
        <v>0</v>
      </c>
      <c r="P70" s="102"/>
      <c r="Q70" s="91"/>
      <c r="R70" s="91"/>
      <c r="S70" s="74">
        <f>+ROUND(S35+S49+S62,0)</f>
        <v>0</v>
      </c>
      <c r="T70" s="102"/>
    </row>
    <row r="71" spans="2:20" ht="16.5" thickBot="1" x14ac:dyDescent="0.3">
      <c r="B71" s="52" t="s">
        <v>178</v>
      </c>
      <c r="C71" s="93"/>
      <c r="D71" s="93"/>
      <c r="E71" s="77">
        <f>SUM(E68:E70)</f>
        <v>0</v>
      </c>
      <c r="F71" s="103"/>
      <c r="G71" s="93"/>
      <c r="H71" s="93"/>
      <c r="I71" s="77">
        <f>SUM(I68:I70)</f>
        <v>0</v>
      </c>
      <c r="J71" s="103"/>
      <c r="K71" s="103"/>
      <c r="L71" s="52" t="s">
        <v>273</v>
      </c>
      <c r="M71" s="93"/>
      <c r="N71" s="93"/>
      <c r="O71" s="77">
        <f>SUM(O68:O70)</f>
        <v>0</v>
      </c>
      <c r="P71" s="103"/>
      <c r="Q71" s="93"/>
      <c r="R71" s="93"/>
      <c r="S71" s="77">
        <f>SUM(S68:S70)</f>
        <v>0</v>
      </c>
      <c r="T71" s="103"/>
    </row>
  </sheetData>
  <mergeCells count="21">
    <mergeCell ref="Q10:S10"/>
    <mergeCell ref="B10:B11"/>
    <mergeCell ref="C10:E10"/>
    <mergeCell ref="G10:I10"/>
    <mergeCell ref="L10:L11"/>
    <mergeCell ref="M10:O10"/>
    <mergeCell ref="B39:B40"/>
    <mergeCell ref="C39:E39"/>
    <mergeCell ref="G39:I39"/>
    <mergeCell ref="M39:O39"/>
    <mergeCell ref="Q39:S39"/>
    <mergeCell ref="B52:B53"/>
    <mergeCell ref="C52:E52"/>
    <mergeCell ref="G52:I52"/>
    <mergeCell ref="M52:O52"/>
    <mergeCell ref="Q52:S52"/>
    <mergeCell ref="B66:B67"/>
    <mergeCell ref="C66:E66"/>
    <mergeCell ref="G66:I66"/>
    <mergeCell ref="M66:O66"/>
    <mergeCell ref="Q66:S66"/>
  </mergeCells>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4F2E1-D035-4999-A5DC-046C2A668BCB}">
  <sheetPr>
    <tabColor theme="9" tint="0.79998168889431442"/>
  </sheetPr>
  <dimension ref="A1:T71"/>
  <sheetViews>
    <sheetView topLeftCell="J48" workbookViewId="0">
      <selection activeCell="B2" sqref="B2:G7"/>
    </sheetView>
  </sheetViews>
  <sheetFormatPr defaultColWidth="15.85546875" defaultRowHeight="15.75" x14ac:dyDescent="0.25"/>
  <cols>
    <col min="1" max="1" width="3.42578125" style="33" customWidth="1"/>
    <col min="2" max="2" width="49.140625" style="37" customWidth="1"/>
    <col min="3" max="3" width="32.85546875" style="35" customWidth="1"/>
    <col min="4" max="4" width="28.85546875" style="35" customWidth="1"/>
    <col min="5" max="5" width="40.140625" style="35" customWidth="1"/>
    <col min="6" max="6" width="3.140625" style="35" customWidth="1"/>
    <col min="7" max="7" width="28.28515625" style="35" customWidth="1"/>
    <col min="8" max="8" width="25.42578125" style="35" customWidth="1"/>
    <col min="9" max="9" width="35.42578125" style="35" customWidth="1"/>
    <col min="10" max="11" width="3.140625" style="35" customWidth="1"/>
    <col min="12" max="12" width="45" style="35" bestFit="1" customWidth="1"/>
    <col min="13" max="13" width="28.28515625" style="35" customWidth="1"/>
    <col min="14" max="14" width="25.42578125" style="35" customWidth="1"/>
    <col min="15" max="15" width="35.42578125" style="35" customWidth="1"/>
    <col min="16" max="16" width="3.140625" style="35" customWidth="1"/>
    <col min="17" max="17" width="28.28515625" style="35" customWidth="1"/>
    <col min="18" max="18" width="25.42578125" style="35" customWidth="1"/>
    <col min="19" max="19" width="35.42578125" style="35" customWidth="1"/>
    <col min="20" max="20" width="3.140625" style="35" customWidth="1"/>
    <col min="21" max="16384" width="15.85546875" style="35"/>
  </cols>
  <sheetData>
    <row r="1" spans="1:20" x14ac:dyDescent="0.2">
      <c r="B1" s="34" t="s">
        <v>147</v>
      </c>
    </row>
    <row r="2" spans="1:20" x14ac:dyDescent="0.25">
      <c r="A2" s="36"/>
      <c r="B2" s="153" t="s">
        <v>167</v>
      </c>
      <c r="C2" s="94"/>
      <c r="D2" s="94"/>
      <c r="E2" s="94"/>
      <c r="F2" s="94"/>
      <c r="G2" s="94"/>
      <c r="H2" s="94"/>
      <c r="I2" s="94"/>
      <c r="J2" s="94"/>
      <c r="K2" s="94"/>
      <c r="L2" s="94"/>
      <c r="M2" s="94"/>
      <c r="N2" s="94"/>
      <c r="O2" s="94"/>
      <c r="P2" s="94"/>
      <c r="Q2" s="94"/>
      <c r="R2" s="94"/>
      <c r="S2" s="94"/>
      <c r="T2" s="94"/>
    </row>
    <row r="3" spans="1:20" x14ac:dyDescent="0.25">
      <c r="A3" s="36"/>
      <c r="B3" s="153" t="s">
        <v>355</v>
      </c>
      <c r="C3" s="94"/>
      <c r="D3" s="94"/>
      <c r="E3" s="94"/>
      <c r="F3" s="94"/>
      <c r="G3" s="94"/>
      <c r="H3" s="94"/>
      <c r="I3" s="94"/>
      <c r="J3" s="94"/>
      <c r="K3" s="94"/>
      <c r="L3" s="94"/>
      <c r="M3" s="94"/>
      <c r="N3" s="94"/>
      <c r="O3" s="94"/>
      <c r="P3" s="94"/>
      <c r="Q3" s="94"/>
      <c r="R3" s="94"/>
      <c r="S3" s="94"/>
      <c r="T3" s="94"/>
    </row>
    <row r="4" spans="1:20" x14ac:dyDescent="0.25">
      <c r="A4" s="36"/>
      <c r="B4" s="153" t="s">
        <v>356</v>
      </c>
      <c r="C4" s="94"/>
      <c r="D4" s="94"/>
      <c r="E4" s="94"/>
      <c r="F4" s="94"/>
      <c r="G4" s="94"/>
      <c r="H4" s="94"/>
      <c r="I4" s="94"/>
      <c r="J4" s="94"/>
      <c r="K4" s="94"/>
      <c r="L4" s="94"/>
      <c r="M4" s="94"/>
      <c r="N4" s="94"/>
      <c r="O4" s="94"/>
      <c r="P4" s="94"/>
      <c r="Q4" s="94"/>
      <c r="R4" s="94"/>
      <c r="S4" s="94"/>
      <c r="T4" s="94"/>
    </row>
    <row r="5" spans="1:20" x14ac:dyDescent="0.25">
      <c r="A5" s="36"/>
      <c r="B5" s="153" t="s">
        <v>357</v>
      </c>
      <c r="C5" s="94"/>
      <c r="D5" s="94"/>
      <c r="E5" s="94"/>
      <c r="F5" s="94"/>
      <c r="G5" s="94"/>
      <c r="H5" s="94"/>
      <c r="I5" s="94"/>
      <c r="J5" s="94"/>
      <c r="K5" s="94"/>
      <c r="L5" s="94"/>
      <c r="M5" s="94"/>
      <c r="N5" s="94"/>
      <c r="O5" s="94"/>
      <c r="P5" s="94"/>
      <c r="Q5" s="94"/>
      <c r="R5" s="94"/>
      <c r="S5" s="94"/>
      <c r="T5" s="94"/>
    </row>
    <row r="6" spans="1:20" x14ac:dyDescent="0.25">
      <c r="A6" s="36"/>
      <c r="B6" s="153" t="s">
        <v>358</v>
      </c>
      <c r="C6" s="94"/>
      <c r="D6" s="94"/>
      <c r="E6" s="94"/>
      <c r="F6" s="94"/>
      <c r="G6" s="94"/>
      <c r="H6" s="94"/>
      <c r="I6" s="94"/>
      <c r="J6" s="94"/>
      <c r="K6" s="94"/>
      <c r="L6" s="94"/>
      <c r="M6" s="94"/>
      <c r="N6" s="94"/>
      <c r="O6" s="94"/>
      <c r="P6" s="94"/>
      <c r="Q6" s="94"/>
      <c r="R6" s="94"/>
      <c r="S6" s="94"/>
      <c r="T6" s="94"/>
    </row>
    <row r="7" spans="1:20" x14ac:dyDescent="0.25">
      <c r="A7" s="36"/>
      <c r="B7" s="153" t="s">
        <v>274</v>
      </c>
      <c r="C7" s="94"/>
      <c r="D7" s="94"/>
      <c r="E7" s="94"/>
      <c r="F7" s="94"/>
      <c r="G7" s="94"/>
      <c r="H7" s="94"/>
      <c r="I7" s="94"/>
      <c r="J7" s="94"/>
      <c r="K7" s="94"/>
      <c r="L7" s="94"/>
      <c r="M7" s="94"/>
      <c r="N7" s="94"/>
      <c r="O7" s="94"/>
      <c r="P7" s="94"/>
      <c r="Q7" s="94"/>
      <c r="R7" s="94"/>
      <c r="S7" s="94"/>
      <c r="T7" s="94"/>
    </row>
    <row r="9" spans="1:20" ht="16.5" thickBot="1" x14ac:dyDescent="0.3"/>
    <row r="10" spans="1:20" ht="16.5" thickBot="1" x14ac:dyDescent="0.3">
      <c r="A10" s="38"/>
      <c r="B10" s="189" t="s">
        <v>302</v>
      </c>
      <c r="C10" s="186" t="s">
        <v>170</v>
      </c>
      <c r="D10" s="187"/>
      <c r="E10" s="188"/>
      <c r="F10" s="95"/>
      <c r="G10" s="186" t="s">
        <v>170</v>
      </c>
      <c r="H10" s="187"/>
      <c r="I10" s="188"/>
      <c r="J10" s="95"/>
      <c r="K10" s="95"/>
      <c r="L10" s="189" t="s">
        <v>303</v>
      </c>
      <c r="M10" s="186" t="s">
        <v>170</v>
      </c>
      <c r="N10" s="187"/>
      <c r="O10" s="188"/>
      <c r="P10" s="95"/>
      <c r="Q10" s="186" t="s">
        <v>170</v>
      </c>
      <c r="R10" s="187"/>
      <c r="S10" s="188"/>
      <c r="T10" s="95"/>
    </row>
    <row r="11" spans="1:20" ht="16.5" thickBot="1" x14ac:dyDescent="0.3">
      <c r="A11" s="38"/>
      <c r="B11" s="190"/>
      <c r="C11" s="129" t="s">
        <v>304</v>
      </c>
      <c r="D11" s="130"/>
      <c r="E11" s="131"/>
      <c r="F11" s="96"/>
      <c r="G11" s="132" t="s">
        <v>305</v>
      </c>
      <c r="H11" s="133"/>
      <c r="I11" s="134"/>
      <c r="J11" s="96"/>
      <c r="K11" s="96"/>
      <c r="L11" s="190"/>
      <c r="M11" s="132" t="s">
        <v>306</v>
      </c>
      <c r="N11" s="133"/>
      <c r="O11" s="134"/>
      <c r="P11" s="96"/>
      <c r="Q11" s="132" t="s">
        <v>307</v>
      </c>
      <c r="R11" s="133"/>
      <c r="S11" s="134"/>
      <c r="T11" s="96"/>
    </row>
    <row r="12" spans="1:20" x14ac:dyDescent="0.25">
      <c r="A12" s="38"/>
      <c r="B12" s="56" t="s">
        <v>157</v>
      </c>
      <c r="C12" s="56" t="s">
        <v>171</v>
      </c>
      <c r="D12" s="57" t="s">
        <v>172</v>
      </c>
      <c r="E12" s="58" t="s">
        <v>10</v>
      </c>
      <c r="F12" s="97"/>
      <c r="G12" s="56" t="s">
        <v>171</v>
      </c>
      <c r="H12" s="57" t="s">
        <v>172</v>
      </c>
      <c r="I12" s="58" t="s">
        <v>10</v>
      </c>
      <c r="J12" s="97"/>
      <c r="K12" s="97"/>
      <c r="L12" s="56" t="s">
        <v>157</v>
      </c>
      <c r="M12" s="56" t="s">
        <v>171</v>
      </c>
      <c r="N12" s="57" t="s">
        <v>172</v>
      </c>
      <c r="O12" s="58" t="s">
        <v>10</v>
      </c>
      <c r="P12" s="97"/>
      <c r="Q12" s="56" t="s">
        <v>171</v>
      </c>
      <c r="R12" s="57" t="s">
        <v>172</v>
      </c>
      <c r="S12" s="58" t="s">
        <v>10</v>
      </c>
      <c r="T12" s="97"/>
    </row>
    <row r="13" spans="1:20" x14ac:dyDescent="0.25">
      <c r="A13" s="38"/>
      <c r="B13" s="59" t="s">
        <v>184</v>
      </c>
      <c r="C13" s="60"/>
      <c r="D13" s="61">
        <v>0</v>
      </c>
      <c r="E13" s="62">
        <f>+C13*D13</f>
        <v>0</v>
      </c>
      <c r="F13" s="98"/>
      <c r="G13" s="60"/>
      <c r="H13" s="61">
        <v>0</v>
      </c>
      <c r="I13" s="62">
        <f>+G13*H13</f>
        <v>0</v>
      </c>
      <c r="J13" s="98"/>
      <c r="K13" s="98"/>
      <c r="L13" s="151" t="s">
        <v>184</v>
      </c>
      <c r="M13" s="60"/>
      <c r="N13" s="61">
        <v>0</v>
      </c>
      <c r="O13" s="62">
        <f>+M13*N13</f>
        <v>0</v>
      </c>
      <c r="P13" s="98"/>
      <c r="Q13" s="60"/>
      <c r="R13" s="61">
        <v>0</v>
      </c>
      <c r="S13" s="62">
        <f>+Q13*R13</f>
        <v>0</v>
      </c>
      <c r="T13" s="98"/>
    </row>
    <row r="14" spans="1:20" x14ac:dyDescent="0.25">
      <c r="A14" s="38"/>
      <c r="B14" s="59" t="s">
        <v>185</v>
      </c>
      <c r="C14" s="60"/>
      <c r="D14" s="61">
        <v>0</v>
      </c>
      <c r="E14" s="62">
        <f t="shared" ref="E14:E25" si="0">+C14*D14</f>
        <v>0</v>
      </c>
      <c r="F14" s="98"/>
      <c r="G14" s="60"/>
      <c r="H14" s="61">
        <v>0</v>
      </c>
      <c r="I14" s="62">
        <f t="shared" ref="I14:I25" si="1">+G14*H14</f>
        <v>0</v>
      </c>
      <c r="J14" s="98"/>
      <c r="K14" s="98"/>
      <c r="L14" s="59" t="s">
        <v>185</v>
      </c>
      <c r="M14" s="60"/>
      <c r="N14" s="61">
        <v>0</v>
      </c>
      <c r="O14" s="62">
        <f t="shared" ref="O14:O25" si="2">+M14*N14</f>
        <v>0</v>
      </c>
      <c r="P14" s="98"/>
      <c r="Q14" s="60"/>
      <c r="R14" s="61">
        <v>0</v>
      </c>
      <c r="S14" s="62">
        <f t="shared" ref="S14:S25" si="3">+Q14*R14</f>
        <v>0</v>
      </c>
      <c r="T14" s="98"/>
    </row>
    <row r="15" spans="1:20" x14ac:dyDescent="0.25">
      <c r="A15" s="38"/>
      <c r="B15" s="59" t="s">
        <v>186</v>
      </c>
      <c r="C15" s="60"/>
      <c r="D15" s="61">
        <v>0</v>
      </c>
      <c r="E15" s="62">
        <f t="shared" si="0"/>
        <v>0</v>
      </c>
      <c r="F15" s="98"/>
      <c r="G15" s="60"/>
      <c r="H15" s="61">
        <v>0</v>
      </c>
      <c r="I15" s="62">
        <f t="shared" si="1"/>
        <v>0</v>
      </c>
      <c r="J15" s="98"/>
      <c r="K15" s="98"/>
      <c r="L15" s="59" t="s">
        <v>186</v>
      </c>
      <c r="M15" s="60"/>
      <c r="N15" s="61">
        <v>0</v>
      </c>
      <c r="O15" s="62">
        <f t="shared" si="2"/>
        <v>0</v>
      </c>
      <c r="P15" s="98"/>
      <c r="Q15" s="60"/>
      <c r="R15" s="61">
        <v>0</v>
      </c>
      <c r="S15" s="62">
        <f t="shared" si="3"/>
        <v>0</v>
      </c>
      <c r="T15" s="98"/>
    </row>
    <row r="16" spans="1:20" x14ac:dyDescent="0.25">
      <c r="A16" s="38"/>
      <c r="B16" s="59" t="s">
        <v>187</v>
      </c>
      <c r="C16" s="60"/>
      <c r="D16" s="61">
        <v>0</v>
      </c>
      <c r="E16" s="62">
        <f t="shared" si="0"/>
        <v>0</v>
      </c>
      <c r="F16" s="98"/>
      <c r="G16" s="60"/>
      <c r="H16" s="61">
        <v>0</v>
      </c>
      <c r="I16" s="62">
        <f t="shared" si="1"/>
        <v>0</v>
      </c>
      <c r="J16" s="98"/>
      <c r="K16" s="98"/>
      <c r="L16" s="59" t="s">
        <v>187</v>
      </c>
      <c r="M16" s="60"/>
      <c r="N16" s="61">
        <v>0</v>
      </c>
      <c r="O16" s="62">
        <f t="shared" si="2"/>
        <v>0</v>
      </c>
      <c r="P16" s="98"/>
      <c r="Q16" s="60"/>
      <c r="R16" s="61">
        <v>0</v>
      </c>
      <c r="S16" s="62">
        <f t="shared" si="3"/>
        <v>0</v>
      </c>
      <c r="T16" s="98"/>
    </row>
    <row r="17" spans="1:20" x14ac:dyDescent="0.25">
      <c r="A17" s="38"/>
      <c r="B17" s="59" t="s">
        <v>188</v>
      </c>
      <c r="C17" s="60"/>
      <c r="D17" s="61">
        <v>0</v>
      </c>
      <c r="E17" s="62">
        <f t="shared" si="0"/>
        <v>0</v>
      </c>
      <c r="F17" s="98"/>
      <c r="G17" s="60"/>
      <c r="H17" s="61">
        <v>0</v>
      </c>
      <c r="I17" s="62">
        <f t="shared" si="1"/>
        <v>0</v>
      </c>
      <c r="J17" s="98"/>
      <c r="K17" s="98"/>
      <c r="L17" s="59" t="s">
        <v>188</v>
      </c>
      <c r="M17" s="60"/>
      <c r="N17" s="61">
        <v>0</v>
      </c>
      <c r="O17" s="62">
        <f t="shared" si="2"/>
        <v>0</v>
      </c>
      <c r="P17" s="98"/>
      <c r="Q17" s="60"/>
      <c r="R17" s="61">
        <v>0</v>
      </c>
      <c r="S17" s="62">
        <f t="shared" si="3"/>
        <v>0</v>
      </c>
      <c r="T17" s="98"/>
    </row>
    <row r="18" spans="1:20" x14ac:dyDescent="0.25">
      <c r="A18" s="38"/>
      <c r="B18" s="59" t="s">
        <v>189</v>
      </c>
      <c r="C18" s="60"/>
      <c r="D18" s="61">
        <v>0</v>
      </c>
      <c r="E18" s="62">
        <f t="shared" si="0"/>
        <v>0</v>
      </c>
      <c r="F18" s="98"/>
      <c r="G18" s="60"/>
      <c r="H18" s="61">
        <v>0</v>
      </c>
      <c r="I18" s="62">
        <f t="shared" si="1"/>
        <v>0</v>
      </c>
      <c r="J18" s="98"/>
      <c r="K18" s="98"/>
      <c r="L18" s="59" t="s">
        <v>189</v>
      </c>
      <c r="M18" s="60"/>
      <c r="N18" s="61">
        <v>0</v>
      </c>
      <c r="O18" s="62">
        <f t="shared" si="2"/>
        <v>0</v>
      </c>
      <c r="P18" s="98"/>
      <c r="Q18" s="60"/>
      <c r="R18" s="61">
        <v>0</v>
      </c>
      <c r="S18" s="62">
        <f t="shared" si="3"/>
        <v>0</v>
      </c>
      <c r="T18" s="98"/>
    </row>
    <row r="19" spans="1:20" x14ac:dyDescent="0.25">
      <c r="A19" s="38"/>
      <c r="B19" s="59" t="s">
        <v>190</v>
      </c>
      <c r="C19" s="60"/>
      <c r="D19" s="61">
        <v>0</v>
      </c>
      <c r="E19" s="62">
        <f t="shared" si="0"/>
        <v>0</v>
      </c>
      <c r="F19" s="98"/>
      <c r="G19" s="60"/>
      <c r="H19" s="61">
        <v>0</v>
      </c>
      <c r="I19" s="62">
        <f t="shared" si="1"/>
        <v>0</v>
      </c>
      <c r="J19" s="98"/>
      <c r="K19" s="98"/>
      <c r="L19" s="59" t="s">
        <v>190</v>
      </c>
      <c r="M19" s="60"/>
      <c r="N19" s="61">
        <v>0</v>
      </c>
      <c r="O19" s="62">
        <f t="shared" si="2"/>
        <v>0</v>
      </c>
      <c r="P19" s="98"/>
      <c r="Q19" s="60"/>
      <c r="R19" s="61">
        <v>0</v>
      </c>
      <c r="S19" s="62">
        <f t="shared" si="3"/>
        <v>0</v>
      </c>
      <c r="T19" s="98"/>
    </row>
    <row r="20" spans="1:20" x14ac:dyDescent="0.25">
      <c r="A20" s="38"/>
      <c r="B20" s="59" t="s">
        <v>191</v>
      </c>
      <c r="C20" s="60"/>
      <c r="D20" s="61">
        <v>0</v>
      </c>
      <c r="E20" s="62">
        <f t="shared" si="0"/>
        <v>0</v>
      </c>
      <c r="F20" s="98"/>
      <c r="G20" s="60"/>
      <c r="H20" s="61">
        <v>0</v>
      </c>
      <c r="I20" s="62">
        <f t="shared" si="1"/>
        <v>0</v>
      </c>
      <c r="J20" s="98"/>
      <c r="K20" s="98"/>
      <c r="L20" s="59" t="s">
        <v>191</v>
      </c>
      <c r="M20" s="60"/>
      <c r="N20" s="61">
        <v>0</v>
      </c>
      <c r="O20" s="62">
        <f t="shared" si="2"/>
        <v>0</v>
      </c>
      <c r="P20" s="98"/>
      <c r="Q20" s="60"/>
      <c r="R20" s="61">
        <v>0</v>
      </c>
      <c r="S20" s="62">
        <f t="shared" si="3"/>
        <v>0</v>
      </c>
      <c r="T20" s="98"/>
    </row>
    <row r="21" spans="1:20" x14ac:dyDescent="0.25">
      <c r="A21" s="38"/>
      <c r="B21" s="59" t="s">
        <v>192</v>
      </c>
      <c r="C21" s="60"/>
      <c r="D21" s="61">
        <v>0</v>
      </c>
      <c r="E21" s="62">
        <f t="shared" si="0"/>
        <v>0</v>
      </c>
      <c r="F21" s="98"/>
      <c r="G21" s="60"/>
      <c r="H21" s="61">
        <v>0</v>
      </c>
      <c r="I21" s="62">
        <f t="shared" si="1"/>
        <v>0</v>
      </c>
      <c r="J21" s="98"/>
      <c r="K21" s="98"/>
      <c r="L21" s="59" t="s">
        <v>192</v>
      </c>
      <c r="M21" s="60"/>
      <c r="N21" s="61">
        <v>0</v>
      </c>
      <c r="O21" s="62">
        <f t="shared" si="2"/>
        <v>0</v>
      </c>
      <c r="P21" s="98"/>
      <c r="Q21" s="60"/>
      <c r="R21" s="61">
        <v>0</v>
      </c>
      <c r="S21" s="62">
        <f t="shared" si="3"/>
        <v>0</v>
      </c>
      <c r="T21" s="98"/>
    </row>
    <row r="22" spans="1:20" ht="15" customHeight="1" x14ac:dyDescent="0.25">
      <c r="A22" s="38"/>
      <c r="B22" s="59" t="s">
        <v>193</v>
      </c>
      <c r="C22" s="60"/>
      <c r="D22" s="61">
        <v>0</v>
      </c>
      <c r="E22" s="62">
        <f t="shared" si="0"/>
        <v>0</v>
      </c>
      <c r="F22" s="98"/>
      <c r="G22" s="60"/>
      <c r="H22" s="61">
        <v>0</v>
      </c>
      <c r="I22" s="62">
        <f t="shared" si="1"/>
        <v>0</v>
      </c>
      <c r="J22" s="98"/>
      <c r="K22" s="98"/>
      <c r="L22" s="59" t="s">
        <v>193</v>
      </c>
      <c r="M22" s="60"/>
      <c r="N22" s="61">
        <v>0</v>
      </c>
      <c r="O22" s="62">
        <f t="shared" si="2"/>
        <v>0</v>
      </c>
      <c r="P22" s="98"/>
      <c r="Q22" s="60"/>
      <c r="R22" s="61">
        <v>0</v>
      </c>
      <c r="S22" s="62">
        <f t="shared" si="3"/>
        <v>0</v>
      </c>
      <c r="T22" s="98"/>
    </row>
    <row r="23" spans="1:20" ht="15" customHeight="1" x14ac:dyDescent="0.25">
      <c r="A23" s="38"/>
      <c r="B23" s="59" t="s">
        <v>194</v>
      </c>
      <c r="C23" s="60"/>
      <c r="D23" s="61">
        <v>0</v>
      </c>
      <c r="E23" s="62">
        <f t="shared" si="0"/>
        <v>0</v>
      </c>
      <c r="F23" s="98"/>
      <c r="G23" s="60"/>
      <c r="H23" s="61">
        <v>0</v>
      </c>
      <c r="I23" s="62">
        <f t="shared" si="1"/>
        <v>0</v>
      </c>
      <c r="J23" s="98"/>
      <c r="K23" s="98"/>
      <c r="L23" s="59" t="s">
        <v>194</v>
      </c>
      <c r="M23" s="60"/>
      <c r="N23" s="61">
        <v>0</v>
      </c>
      <c r="O23" s="62">
        <f t="shared" si="2"/>
        <v>0</v>
      </c>
      <c r="P23" s="98"/>
      <c r="Q23" s="60"/>
      <c r="R23" s="61">
        <v>0</v>
      </c>
      <c r="S23" s="62">
        <f t="shared" si="3"/>
        <v>0</v>
      </c>
      <c r="T23" s="98"/>
    </row>
    <row r="24" spans="1:20" ht="15" customHeight="1" x14ac:dyDescent="0.25">
      <c r="A24" s="38"/>
      <c r="B24" s="59" t="s">
        <v>195</v>
      </c>
      <c r="C24" s="60"/>
      <c r="D24" s="61">
        <v>0</v>
      </c>
      <c r="E24" s="62">
        <f t="shared" si="0"/>
        <v>0</v>
      </c>
      <c r="F24" s="98"/>
      <c r="G24" s="60"/>
      <c r="H24" s="61">
        <v>0</v>
      </c>
      <c r="I24" s="62">
        <f t="shared" si="1"/>
        <v>0</v>
      </c>
      <c r="J24" s="98"/>
      <c r="K24" s="98"/>
      <c r="L24" s="59" t="s">
        <v>195</v>
      </c>
      <c r="M24" s="60"/>
      <c r="N24" s="61">
        <v>0</v>
      </c>
      <c r="O24" s="62">
        <f t="shared" si="2"/>
        <v>0</v>
      </c>
      <c r="P24" s="98"/>
      <c r="Q24" s="60"/>
      <c r="R24" s="61">
        <v>0</v>
      </c>
      <c r="S24" s="62">
        <f t="shared" si="3"/>
        <v>0</v>
      </c>
      <c r="T24" s="98"/>
    </row>
    <row r="25" spans="1:20" ht="15" customHeight="1" thickBot="1" x14ac:dyDescent="0.3">
      <c r="A25" s="38"/>
      <c r="B25" s="59" t="s">
        <v>196</v>
      </c>
      <c r="C25" s="63"/>
      <c r="D25" s="39">
        <v>0</v>
      </c>
      <c r="E25" s="64">
        <f t="shared" si="0"/>
        <v>0</v>
      </c>
      <c r="F25" s="99"/>
      <c r="G25" s="63"/>
      <c r="H25" s="39">
        <v>0</v>
      </c>
      <c r="I25" s="64">
        <f t="shared" si="1"/>
        <v>0</v>
      </c>
      <c r="J25" s="99"/>
      <c r="K25" s="99"/>
      <c r="L25" s="59" t="s">
        <v>196</v>
      </c>
      <c r="M25" s="63"/>
      <c r="N25" s="39">
        <v>0</v>
      </c>
      <c r="O25" s="64">
        <f t="shared" si="2"/>
        <v>0</v>
      </c>
      <c r="P25" s="99"/>
      <c r="Q25" s="63"/>
      <c r="R25" s="39">
        <v>0</v>
      </c>
      <c r="S25" s="64">
        <f t="shared" si="3"/>
        <v>0</v>
      </c>
      <c r="T25" s="99"/>
    </row>
    <row r="26" spans="1:20" ht="16.5" thickBot="1" x14ac:dyDescent="0.3">
      <c r="A26" s="38"/>
      <c r="B26" s="113" t="s">
        <v>173</v>
      </c>
      <c r="C26" s="65">
        <f>SUM(C13:C25)</f>
        <v>0</v>
      </c>
      <c r="D26" s="66"/>
      <c r="E26" s="67">
        <f>SUM(E13:E25)</f>
        <v>0</v>
      </c>
      <c r="F26" s="100"/>
      <c r="G26" s="65">
        <f>SUM(G13:G25)</f>
        <v>0</v>
      </c>
      <c r="H26" s="66"/>
      <c r="I26" s="67">
        <f>SUM(I13:I25)</f>
        <v>0</v>
      </c>
      <c r="J26" s="100"/>
      <c r="K26" s="100"/>
      <c r="L26" s="113" t="s">
        <v>173</v>
      </c>
      <c r="M26" s="65">
        <f>SUM(M13:M25)</f>
        <v>0</v>
      </c>
      <c r="N26" s="66"/>
      <c r="O26" s="67">
        <f>SUM(O13:O25)</f>
        <v>0</v>
      </c>
      <c r="P26" s="100"/>
      <c r="Q26" s="65">
        <f>SUM(Q13:Q25)</f>
        <v>0</v>
      </c>
      <c r="R26" s="66"/>
      <c r="S26" s="67">
        <f>SUM(S13:S25)</f>
        <v>0</v>
      </c>
      <c r="T26" s="100"/>
    </row>
    <row r="27" spans="1:20" x14ac:dyDescent="0.25">
      <c r="A27" s="38"/>
      <c r="B27" s="68"/>
      <c r="C27" s="56" t="s">
        <v>174</v>
      </c>
      <c r="D27" s="57" t="s">
        <v>172</v>
      </c>
      <c r="E27" s="58" t="s">
        <v>10</v>
      </c>
      <c r="F27" s="101"/>
      <c r="G27" s="56" t="s">
        <v>174</v>
      </c>
      <c r="H27" s="57" t="s">
        <v>172</v>
      </c>
      <c r="I27" s="58" t="s">
        <v>10</v>
      </c>
      <c r="J27" s="101"/>
      <c r="K27" s="101"/>
      <c r="L27" s="68"/>
      <c r="M27" s="56" t="s">
        <v>174</v>
      </c>
      <c r="N27" s="57" t="s">
        <v>172</v>
      </c>
      <c r="O27" s="58" t="s">
        <v>10</v>
      </c>
      <c r="P27" s="101"/>
      <c r="Q27" s="56" t="s">
        <v>174</v>
      </c>
      <c r="R27" s="57" t="s">
        <v>172</v>
      </c>
      <c r="S27" s="58" t="s">
        <v>10</v>
      </c>
      <c r="T27" s="101"/>
    </row>
    <row r="28" spans="1:20" x14ac:dyDescent="0.25">
      <c r="A28" s="38"/>
      <c r="B28" s="51" t="s">
        <v>160</v>
      </c>
      <c r="C28" s="69">
        <f>+E26</f>
        <v>0</v>
      </c>
      <c r="D28" s="70">
        <v>0</v>
      </c>
      <c r="E28" s="71">
        <f>+C28*D28</f>
        <v>0</v>
      </c>
      <c r="F28" s="100"/>
      <c r="G28" s="69">
        <f>+I26</f>
        <v>0</v>
      </c>
      <c r="H28" s="70">
        <v>0</v>
      </c>
      <c r="I28" s="71">
        <f>+G28*H28</f>
        <v>0</v>
      </c>
      <c r="J28" s="100"/>
      <c r="K28" s="100"/>
      <c r="L28" s="51" t="s">
        <v>269</v>
      </c>
      <c r="M28" s="69">
        <f>+O26</f>
        <v>0</v>
      </c>
      <c r="N28" s="70">
        <v>0</v>
      </c>
      <c r="O28" s="71">
        <f>+M28*N28</f>
        <v>0</v>
      </c>
      <c r="P28" s="100"/>
      <c r="Q28" s="69">
        <f>+S26</f>
        <v>0</v>
      </c>
      <c r="R28" s="70">
        <v>0</v>
      </c>
      <c r="S28" s="71">
        <f>+Q28*R28</f>
        <v>0</v>
      </c>
      <c r="T28" s="100"/>
    </row>
    <row r="29" spans="1:20" x14ac:dyDescent="0.25">
      <c r="A29" s="38"/>
      <c r="B29" s="51" t="s">
        <v>161</v>
      </c>
      <c r="C29" s="69">
        <f>+C28+E28</f>
        <v>0</v>
      </c>
      <c r="D29" s="70">
        <v>0</v>
      </c>
      <c r="E29" s="71">
        <f>+C29*D29</f>
        <v>0</v>
      </c>
      <c r="F29" s="100"/>
      <c r="G29" s="69">
        <f>+G28+I28</f>
        <v>0</v>
      </c>
      <c r="H29" s="70">
        <v>0</v>
      </c>
      <c r="I29" s="71">
        <f>+G29*H29</f>
        <v>0</v>
      </c>
      <c r="J29" s="100"/>
      <c r="K29" s="100"/>
      <c r="L29" s="51" t="s">
        <v>161</v>
      </c>
      <c r="M29" s="69">
        <f>+M28+O28</f>
        <v>0</v>
      </c>
      <c r="N29" s="70">
        <v>0</v>
      </c>
      <c r="O29" s="71">
        <f>+M29*N29</f>
        <v>0</v>
      </c>
      <c r="P29" s="100"/>
      <c r="Q29" s="69">
        <f>+Q28+S28</f>
        <v>0</v>
      </c>
      <c r="R29" s="70">
        <v>0</v>
      </c>
      <c r="S29" s="71">
        <f>+Q29*R29</f>
        <v>0</v>
      </c>
      <c r="T29" s="100"/>
    </row>
    <row r="30" spans="1:20" x14ac:dyDescent="0.25">
      <c r="A30" s="38"/>
      <c r="B30" s="51" t="s">
        <v>162</v>
      </c>
      <c r="C30" s="69">
        <f>+C29+E29</f>
        <v>0</v>
      </c>
      <c r="D30" s="70">
        <v>0</v>
      </c>
      <c r="E30" s="71">
        <f>+C30*D30</f>
        <v>0</v>
      </c>
      <c r="F30" s="100"/>
      <c r="G30" s="69">
        <f>+G29+I29</f>
        <v>0</v>
      </c>
      <c r="H30" s="70">
        <v>0</v>
      </c>
      <c r="I30" s="71">
        <f>+G30*H30</f>
        <v>0</v>
      </c>
      <c r="J30" s="100"/>
      <c r="K30" s="100"/>
      <c r="L30" s="51" t="s">
        <v>162</v>
      </c>
      <c r="M30" s="69">
        <f>+M29+O29</f>
        <v>0</v>
      </c>
      <c r="N30" s="70">
        <v>0</v>
      </c>
      <c r="O30" s="71">
        <f>+M30*N30</f>
        <v>0</v>
      </c>
      <c r="P30" s="100"/>
      <c r="Q30" s="69">
        <f>+Q29+S29</f>
        <v>0</v>
      </c>
      <c r="R30" s="70">
        <v>0</v>
      </c>
      <c r="S30" s="71">
        <f>+Q30*R30</f>
        <v>0</v>
      </c>
      <c r="T30" s="100"/>
    </row>
    <row r="31" spans="1:20" x14ac:dyDescent="0.25">
      <c r="A31" s="38"/>
      <c r="B31" s="51" t="s">
        <v>163</v>
      </c>
      <c r="C31" s="69">
        <f>+C28</f>
        <v>0</v>
      </c>
      <c r="D31" s="70">
        <v>0</v>
      </c>
      <c r="E31" s="71">
        <f>+C31*D31</f>
        <v>0</v>
      </c>
      <c r="F31" s="100"/>
      <c r="G31" s="69">
        <f>+G28</f>
        <v>0</v>
      </c>
      <c r="H31" s="70">
        <v>0</v>
      </c>
      <c r="I31" s="71">
        <f>+G31*H31</f>
        <v>0</v>
      </c>
      <c r="J31" s="100"/>
      <c r="K31" s="100"/>
      <c r="L31" s="51" t="s">
        <v>163</v>
      </c>
      <c r="M31" s="69">
        <f>+M28</f>
        <v>0</v>
      </c>
      <c r="N31" s="70">
        <v>0</v>
      </c>
      <c r="O31" s="71">
        <f>+M31*N31</f>
        <v>0</v>
      </c>
      <c r="P31" s="100"/>
      <c r="Q31" s="69">
        <f>+Q28</f>
        <v>0</v>
      </c>
      <c r="R31" s="70">
        <v>0</v>
      </c>
      <c r="S31" s="71">
        <f>+Q31*R31</f>
        <v>0</v>
      </c>
      <c r="T31" s="100"/>
    </row>
    <row r="32" spans="1:20" x14ac:dyDescent="0.25">
      <c r="A32" s="38"/>
      <c r="B32" s="51" t="s">
        <v>164</v>
      </c>
      <c r="C32" s="69">
        <f>+C30+E30</f>
        <v>0</v>
      </c>
      <c r="D32" s="70">
        <v>0</v>
      </c>
      <c r="E32" s="71">
        <f>+C32*D32</f>
        <v>0</v>
      </c>
      <c r="F32" s="100"/>
      <c r="G32" s="69">
        <f>+G30+I30</f>
        <v>0</v>
      </c>
      <c r="H32" s="70">
        <v>0</v>
      </c>
      <c r="I32" s="71">
        <f>+G32*H32</f>
        <v>0</v>
      </c>
      <c r="J32" s="100"/>
      <c r="K32" s="100"/>
      <c r="L32" s="51" t="s">
        <v>164</v>
      </c>
      <c r="M32" s="69">
        <f>+M30+O30</f>
        <v>0</v>
      </c>
      <c r="N32" s="70">
        <v>0</v>
      </c>
      <c r="O32" s="71">
        <f>+M32*N32</f>
        <v>0</v>
      </c>
      <c r="P32" s="100"/>
      <c r="Q32" s="69">
        <f>+Q30+S30</f>
        <v>0</v>
      </c>
      <c r="R32" s="70">
        <v>0</v>
      </c>
      <c r="S32" s="71">
        <f>+Q32*R32</f>
        <v>0</v>
      </c>
      <c r="T32" s="100"/>
    </row>
    <row r="33" spans="1:20" x14ac:dyDescent="0.25">
      <c r="A33" s="38"/>
      <c r="B33" s="51" t="s">
        <v>175</v>
      </c>
      <c r="C33" s="72"/>
      <c r="D33" s="73"/>
      <c r="E33" s="71">
        <f>+SUM(E26,E28,E29,E30)</f>
        <v>0</v>
      </c>
      <c r="F33" s="100"/>
      <c r="G33" s="72"/>
      <c r="H33" s="73"/>
      <c r="I33" s="71">
        <f>+SUM(I26,I28,I29,I30)</f>
        <v>0</v>
      </c>
      <c r="J33" s="100"/>
      <c r="K33" s="100"/>
      <c r="L33" s="51" t="s">
        <v>270</v>
      </c>
      <c r="M33" s="72"/>
      <c r="N33" s="73"/>
      <c r="O33" s="71">
        <f>+SUM(O26,O28,O29,O30)</f>
        <v>0</v>
      </c>
      <c r="P33" s="100"/>
      <c r="Q33" s="72"/>
      <c r="R33" s="73"/>
      <c r="S33" s="71">
        <f>+SUM(S26,S28,S29,S30)</f>
        <v>0</v>
      </c>
      <c r="T33" s="100"/>
    </row>
    <row r="34" spans="1:20" x14ac:dyDescent="0.25">
      <c r="A34" s="38"/>
      <c r="B34" s="51" t="s">
        <v>176</v>
      </c>
      <c r="C34" s="72"/>
      <c r="D34" s="73"/>
      <c r="E34" s="71">
        <f>+E31</f>
        <v>0</v>
      </c>
      <c r="F34" s="100"/>
      <c r="G34" s="72"/>
      <c r="H34" s="73"/>
      <c r="I34" s="71">
        <f>+I31</f>
        <v>0</v>
      </c>
      <c r="J34" s="100"/>
      <c r="K34" s="100"/>
      <c r="L34" s="51" t="s">
        <v>271</v>
      </c>
      <c r="M34" s="72"/>
      <c r="N34" s="73"/>
      <c r="O34" s="71">
        <f>+O31</f>
        <v>0</v>
      </c>
      <c r="P34" s="100"/>
      <c r="Q34" s="72"/>
      <c r="R34" s="73"/>
      <c r="S34" s="71">
        <f>+S31</f>
        <v>0</v>
      </c>
      <c r="T34" s="100"/>
    </row>
    <row r="35" spans="1:20" x14ac:dyDescent="0.25">
      <c r="A35" s="38"/>
      <c r="B35" s="51" t="s">
        <v>177</v>
      </c>
      <c r="C35" s="72"/>
      <c r="D35" s="73"/>
      <c r="E35" s="74">
        <f>+E32</f>
        <v>0</v>
      </c>
      <c r="F35" s="102"/>
      <c r="G35" s="72"/>
      <c r="H35" s="73"/>
      <c r="I35" s="74">
        <f>+I32</f>
        <v>0</v>
      </c>
      <c r="J35" s="102"/>
      <c r="K35" s="102"/>
      <c r="L35" s="51" t="s">
        <v>272</v>
      </c>
      <c r="M35" s="72"/>
      <c r="N35" s="73"/>
      <c r="O35" s="74">
        <f>+O32</f>
        <v>0</v>
      </c>
      <c r="P35" s="102"/>
      <c r="Q35" s="72"/>
      <c r="R35" s="73"/>
      <c r="S35" s="74">
        <f>+S32</f>
        <v>0</v>
      </c>
      <c r="T35" s="102"/>
    </row>
    <row r="36" spans="1:20" ht="16.5" thickBot="1" x14ac:dyDescent="0.3">
      <c r="A36" s="38"/>
      <c r="B36" s="52" t="s">
        <v>178</v>
      </c>
      <c r="C36" s="75"/>
      <c r="D36" s="76"/>
      <c r="E36" s="77">
        <f>SUM(E33:E35)</f>
        <v>0</v>
      </c>
      <c r="F36" s="103"/>
      <c r="G36" s="75"/>
      <c r="H36" s="76"/>
      <c r="I36" s="77">
        <f>SUM(I33:I35)</f>
        <v>0</v>
      </c>
      <c r="J36" s="103"/>
      <c r="K36" s="103"/>
      <c r="L36" s="52" t="s">
        <v>273</v>
      </c>
      <c r="M36" s="75"/>
      <c r="N36" s="76"/>
      <c r="O36" s="77">
        <f>SUM(O33:O35)</f>
        <v>0</v>
      </c>
      <c r="P36" s="103"/>
      <c r="Q36" s="75"/>
      <c r="R36" s="76"/>
      <c r="S36" s="77">
        <f>SUM(S33:S35)</f>
        <v>0</v>
      </c>
      <c r="T36" s="103"/>
    </row>
    <row r="37" spans="1:20" x14ac:dyDescent="0.25">
      <c r="A37" s="38"/>
      <c r="B37" s="41"/>
      <c r="C37" s="78"/>
      <c r="D37" s="78"/>
      <c r="E37" s="78"/>
      <c r="F37" s="104"/>
      <c r="G37" s="78"/>
      <c r="H37" s="78"/>
      <c r="I37" s="78"/>
      <c r="J37" s="104"/>
      <c r="K37" s="104"/>
      <c r="L37" s="41"/>
      <c r="M37" s="78"/>
      <c r="N37" s="78"/>
      <c r="O37" s="78"/>
      <c r="P37" s="104"/>
      <c r="Q37" s="78"/>
      <c r="R37" s="78"/>
      <c r="S37" s="78"/>
      <c r="T37" s="104"/>
    </row>
    <row r="38" spans="1:20" ht="16.5" thickBot="1" x14ac:dyDescent="0.3">
      <c r="A38" s="38"/>
      <c r="C38" s="37"/>
      <c r="D38" s="37"/>
      <c r="E38" s="37"/>
      <c r="F38" s="105"/>
      <c r="G38" s="37"/>
      <c r="H38" s="37"/>
      <c r="I38" s="37"/>
      <c r="J38" s="105"/>
      <c r="K38" s="105"/>
      <c r="L38" s="37"/>
      <c r="M38" s="37"/>
      <c r="N38" s="37"/>
      <c r="O38" s="37"/>
      <c r="P38" s="105"/>
      <c r="Q38" s="37"/>
      <c r="R38" s="37"/>
      <c r="S38" s="37"/>
      <c r="T38" s="105"/>
    </row>
    <row r="39" spans="1:20" ht="16.5" thickBot="1" x14ac:dyDescent="0.3">
      <c r="A39" s="38"/>
      <c r="B39" s="189" t="str">
        <f>B10</f>
        <v xml:space="preserve">CLINs 0004 &amp; 1004: CPFF </v>
      </c>
      <c r="C39" s="186" t="s">
        <v>179</v>
      </c>
      <c r="D39" s="187"/>
      <c r="E39" s="188"/>
      <c r="F39" s="106"/>
      <c r="G39" s="186" t="s">
        <v>179</v>
      </c>
      <c r="H39" s="187"/>
      <c r="I39" s="188"/>
      <c r="J39" s="106"/>
      <c r="K39" s="106"/>
      <c r="L39" s="149"/>
      <c r="M39" s="186" t="s">
        <v>179</v>
      </c>
      <c r="N39" s="187"/>
      <c r="O39" s="188"/>
      <c r="P39" s="106"/>
      <c r="Q39" s="186" t="s">
        <v>179</v>
      </c>
      <c r="R39" s="187"/>
      <c r="S39" s="188"/>
      <c r="T39" s="106"/>
    </row>
    <row r="40" spans="1:20" ht="16.5" thickBot="1" x14ac:dyDescent="0.3">
      <c r="A40" s="38"/>
      <c r="B40" s="190"/>
      <c r="C40" s="129" t="str">
        <f>C11</f>
        <v>0004: F-16 I-Level Fault Isolation Tester design and digital development - Basic Period</v>
      </c>
      <c r="D40" s="130"/>
      <c r="E40" s="131"/>
      <c r="F40" s="107"/>
      <c r="G40" s="132" t="str">
        <f>G11</f>
        <v>1004: F-16 I-Level Fault Isolation Tester EMD - Option Period 1</v>
      </c>
      <c r="H40" s="133"/>
      <c r="I40" s="134"/>
      <c r="J40" s="107"/>
      <c r="K40" s="107"/>
      <c r="L40" s="150"/>
      <c r="M40" s="132" t="str">
        <f>M11</f>
        <v>2004: F-15 I-Level Fault Isolation Tester EMD - Option Period 2</v>
      </c>
      <c r="N40" s="133"/>
      <c r="O40" s="134"/>
      <c r="P40" s="107"/>
      <c r="Q40" s="132" t="str">
        <f>Q11</f>
        <v>3004: A-10 I-Level Fault Isolation Tester EMD - Option Period 3</v>
      </c>
      <c r="R40" s="133"/>
      <c r="S40" s="134"/>
      <c r="T40" s="107"/>
    </row>
    <row r="41" spans="1:20" x14ac:dyDescent="0.25">
      <c r="A41" s="38"/>
      <c r="B41" s="79"/>
      <c r="C41" s="56" t="s">
        <v>174</v>
      </c>
      <c r="D41" s="57" t="s">
        <v>172</v>
      </c>
      <c r="E41" s="58" t="s">
        <v>10</v>
      </c>
      <c r="F41" s="101"/>
      <c r="G41" s="56" t="s">
        <v>174</v>
      </c>
      <c r="H41" s="57" t="s">
        <v>172</v>
      </c>
      <c r="I41" s="58" t="s">
        <v>10</v>
      </c>
      <c r="J41" s="101"/>
      <c r="K41" s="101"/>
      <c r="L41" s="79"/>
      <c r="M41" s="56" t="s">
        <v>174</v>
      </c>
      <c r="N41" s="57" t="s">
        <v>172</v>
      </c>
      <c r="O41" s="58" t="s">
        <v>10</v>
      </c>
      <c r="P41" s="101"/>
      <c r="Q41" s="56" t="s">
        <v>174</v>
      </c>
      <c r="R41" s="57" t="s">
        <v>172</v>
      </c>
      <c r="S41" s="58" t="s">
        <v>10</v>
      </c>
      <c r="T41" s="101"/>
    </row>
    <row r="42" spans="1:20" x14ac:dyDescent="0.25">
      <c r="A42" s="38"/>
      <c r="B42" s="80" t="s">
        <v>180</v>
      </c>
      <c r="C42" s="81"/>
      <c r="D42" s="82"/>
      <c r="E42" s="83"/>
      <c r="F42" s="100"/>
      <c r="G42" s="81"/>
      <c r="H42" s="82"/>
      <c r="I42" s="83"/>
      <c r="J42" s="100"/>
      <c r="K42" s="100"/>
      <c r="L42" s="80" t="s">
        <v>180</v>
      </c>
      <c r="M42" s="81"/>
      <c r="N42" s="82"/>
      <c r="O42" s="83"/>
      <c r="P42" s="100"/>
      <c r="Q42" s="81"/>
      <c r="R42" s="82"/>
      <c r="S42" s="83"/>
      <c r="T42" s="100"/>
    </row>
    <row r="43" spans="1:20" x14ac:dyDescent="0.25">
      <c r="A43" s="38"/>
      <c r="B43" s="51" t="s">
        <v>161</v>
      </c>
      <c r="C43" s="69">
        <f>+E42</f>
        <v>0</v>
      </c>
      <c r="D43" s="70">
        <v>0</v>
      </c>
      <c r="E43" s="71">
        <f>+C43*D43</f>
        <v>0</v>
      </c>
      <c r="F43" s="108"/>
      <c r="G43" s="69">
        <f>+I42</f>
        <v>0</v>
      </c>
      <c r="H43" s="70">
        <v>0</v>
      </c>
      <c r="I43" s="71">
        <f>+G43*H43</f>
        <v>0</v>
      </c>
      <c r="J43" s="108"/>
      <c r="K43" s="108"/>
      <c r="L43" s="51" t="s">
        <v>161</v>
      </c>
      <c r="M43" s="69">
        <f>+O42</f>
        <v>0</v>
      </c>
      <c r="N43" s="70">
        <v>0</v>
      </c>
      <c r="O43" s="71">
        <f>+M43*N43</f>
        <v>0</v>
      </c>
      <c r="P43" s="108"/>
      <c r="Q43" s="69">
        <f>+S42</f>
        <v>0</v>
      </c>
      <c r="R43" s="70">
        <v>0</v>
      </c>
      <c r="S43" s="71">
        <f>+Q43*R43</f>
        <v>0</v>
      </c>
      <c r="T43" s="108"/>
    </row>
    <row r="44" spans="1:20" x14ac:dyDescent="0.25">
      <c r="A44" s="38"/>
      <c r="B44" s="51" t="s">
        <v>162</v>
      </c>
      <c r="C44" s="69">
        <f>+C43+E43</f>
        <v>0</v>
      </c>
      <c r="D44" s="70">
        <v>0</v>
      </c>
      <c r="E44" s="71">
        <f>+C44*D44</f>
        <v>0</v>
      </c>
      <c r="F44" s="108"/>
      <c r="G44" s="69">
        <f>+G43+I43</f>
        <v>0</v>
      </c>
      <c r="H44" s="70">
        <v>0</v>
      </c>
      <c r="I44" s="71">
        <f>+G44*H44</f>
        <v>0</v>
      </c>
      <c r="J44" s="108"/>
      <c r="K44" s="108"/>
      <c r="L44" s="51" t="s">
        <v>162</v>
      </c>
      <c r="M44" s="69">
        <f>+M43+O43</f>
        <v>0</v>
      </c>
      <c r="N44" s="70">
        <v>0</v>
      </c>
      <c r="O44" s="71">
        <f>+M44*N44</f>
        <v>0</v>
      </c>
      <c r="P44" s="108"/>
      <c r="Q44" s="69">
        <f>+Q43+S43</f>
        <v>0</v>
      </c>
      <c r="R44" s="70">
        <v>0</v>
      </c>
      <c r="S44" s="71">
        <f>+Q44*R44</f>
        <v>0</v>
      </c>
      <c r="T44" s="108"/>
    </row>
    <row r="45" spans="1:20" x14ac:dyDescent="0.25">
      <c r="A45" s="38"/>
      <c r="B45" s="51" t="s">
        <v>163</v>
      </c>
      <c r="C45" s="69">
        <f>+C43</f>
        <v>0</v>
      </c>
      <c r="D45" s="70">
        <v>0</v>
      </c>
      <c r="E45" s="71">
        <f>+C45*D45</f>
        <v>0</v>
      </c>
      <c r="F45" s="100"/>
      <c r="G45" s="69">
        <f>+G43</f>
        <v>0</v>
      </c>
      <c r="H45" s="70">
        <v>0</v>
      </c>
      <c r="I45" s="71">
        <f>+G45*H45</f>
        <v>0</v>
      </c>
      <c r="J45" s="100"/>
      <c r="K45" s="100"/>
      <c r="L45" s="51" t="s">
        <v>163</v>
      </c>
      <c r="M45" s="69">
        <f>+M43</f>
        <v>0</v>
      </c>
      <c r="N45" s="70">
        <v>0</v>
      </c>
      <c r="O45" s="71">
        <f>+M45*N45</f>
        <v>0</v>
      </c>
      <c r="P45" s="100"/>
      <c r="Q45" s="69">
        <f>+Q43</f>
        <v>0</v>
      </c>
      <c r="R45" s="70">
        <v>0</v>
      </c>
      <c r="S45" s="71">
        <f>+Q45*R45</f>
        <v>0</v>
      </c>
      <c r="T45" s="100"/>
    </row>
    <row r="46" spans="1:20" x14ac:dyDescent="0.25">
      <c r="A46" s="38"/>
      <c r="B46" s="51" t="s">
        <v>164</v>
      </c>
      <c r="C46" s="69">
        <f>+C44+E44</f>
        <v>0</v>
      </c>
      <c r="D46" s="70">
        <v>0</v>
      </c>
      <c r="E46" s="71">
        <f>+C46*D46</f>
        <v>0</v>
      </c>
      <c r="F46" s="100"/>
      <c r="G46" s="69">
        <f>+G44+I44</f>
        <v>0</v>
      </c>
      <c r="H46" s="70">
        <v>0</v>
      </c>
      <c r="I46" s="71">
        <f>+G46*H46</f>
        <v>0</v>
      </c>
      <c r="J46" s="100"/>
      <c r="K46" s="100"/>
      <c r="L46" s="51" t="s">
        <v>164</v>
      </c>
      <c r="M46" s="69">
        <f>+M44+O44</f>
        <v>0</v>
      </c>
      <c r="N46" s="70">
        <v>0</v>
      </c>
      <c r="O46" s="71">
        <f>+M46*N46</f>
        <v>0</v>
      </c>
      <c r="P46" s="100"/>
      <c r="Q46" s="69">
        <f>+Q44+S44</f>
        <v>0</v>
      </c>
      <c r="R46" s="70">
        <v>0</v>
      </c>
      <c r="S46" s="71">
        <f>+Q46*R46</f>
        <v>0</v>
      </c>
      <c r="T46" s="100"/>
    </row>
    <row r="47" spans="1:20" x14ac:dyDescent="0.25">
      <c r="A47" s="38"/>
      <c r="B47" s="51" t="s">
        <v>175</v>
      </c>
      <c r="C47" s="84"/>
      <c r="D47" s="85"/>
      <c r="E47" s="71">
        <f>+ROUND(SUM(E42:E44),0)</f>
        <v>0</v>
      </c>
      <c r="F47" s="100"/>
      <c r="G47" s="84"/>
      <c r="H47" s="85"/>
      <c r="I47" s="71">
        <f>+ROUND(SUM(I42:I44),0)</f>
        <v>0</v>
      </c>
      <c r="J47" s="100"/>
      <c r="K47" s="100"/>
      <c r="L47" s="51" t="s">
        <v>270</v>
      </c>
      <c r="M47" s="84"/>
      <c r="N47" s="85"/>
      <c r="O47" s="71">
        <f>+ROUND(SUM(O42:O44),0)</f>
        <v>0</v>
      </c>
      <c r="P47" s="100"/>
      <c r="Q47" s="84"/>
      <c r="R47" s="85"/>
      <c r="S47" s="71">
        <f>+ROUND(SUM(S42:S44),0)</f>
        <v>0</v>
      </c>
      <c r="T47" s="100"/>
    </row>
    <row r="48" spans="1:20" x14ac:dyDescent="0.25">
      <c r="A48" s="38"/>
      <c r="B48" s="51" t="s">
        <v>176</v>
      </c>
      <c r="C48" s="81"/>
      <c r="D48" s="86"/>
      <c r="E48" s="71">
        <f>+ROUND(E45,0)</f>
        <v>0</v>
      </c>
      <c r="F48" s="100"/>
      <c r="G48" s="81"/>
      <c r="H48" s="86"/>
      <c r="I48" s="71">
        <f>+ROUND(I45,0)</f>
        <v>0</v>
      </c>
      <c r="J48" s="100"/>
      <c r="K48" s="100"/>
      <c r="L48" s="51" t="s">
        <v>271</v>
      </c>
      <c r="M48" s="81"/>
      <c r="N48" s="86"/>
      <c r="O48" s="71">
        <f>+ROUND(O45,0)</f>
        <v>0</v>
      </c>
      <c r="P48" s="100"/>
      <c r="Q48" s="81"/>
      <c r="R48" s="86"/>
      <c r="S48" s="71">
        <f>+ROUND(S45,0)</f>
        <v>0</v>
      </c>
      <c r="T48" s="100"/>
    </row>
    <row r="49" spans="1:20" x14ac:dyDescent="0.25">
      <c r="B49" s="51" t="s">
        <v>177</v>
      </c>
      <c r="C49" s="81"/>
      <c r="D49" s="86"/>
      <c r="E49" s="87">
        <f>+ROUND(E46,0)</f>
        <v>0</v>
      </c>
      <c r="F49" s="109"/>
      <c r="G49" s="81"/>
      <c r="H49" s="86"/>
      <c r="I49" s="87">
        <f>+ROUND(I46,0)</f>
        <v>0</v>
      </c>
      <c r="J49" s="109"/>
      <c r="K49" s="109"/>
      <c r="L49" s="51" t="s">
        <v>272</v>
      </c>
      <c r="M49" s="81"/>
      <c r="N49" s="86"/>
      <c r="O49" s="87">
        <f>+ROUND(O46,0)</f>
        <v>0</v>
      </c>
      <c r="P49" s="109"/>
      <c r="Q49" s="81"/>
      <c r="R49" s="86"/>
      <c r="S49" s="87">
        <f>+ROUND(S46,0)</f>
        <v>0</v>
      </c>
      <c r="T49" s="109"/>
    </row>
    <row r="50" spans="1:20" ht="16.5" thickBot="1" x14ac:dyDescent="0.3">
      <c r="B50" s="52" t="s">
        <v>178</v>
      </c>
      <c r="C50" s="112"/>
      <c r="D50" s="88"/>
      <c r="E50" s="64">
        <f t="shared" ref="E50" si="4">SUM(E47:E49)</f>
        <v>0</v>
      </c>
      <c r="F50" s="99"/>
      <c r="G50" s="112"/>
      <c r="H50" s="88"/>
      <c r="I50" s="64">
        <f t="shared" ref="I50" si="5">SUM(I47:I49)</f>
        <v>0</v>
      </c>
      <c r="J50" s="99"/>
      <c r="K50" s="99"/>
      <c r="L50" s="52" t="s">
        <v>273</v>
      </c>
      <c r="M50" s="112"/>
      <c r="N50" s="88"/>
      <c r="O50" s="64">
        <f t="shared" ref="O50" si="6">SUM(O47:O49)</f>
        <v>0</v>
      </c>
      <c r="P50" s="99"/>
      <c r="Q50" s="112"/>
      <c r="R50" s="88"/>
      <c r="S50" s="64">
        <f t="shared" ref="S50" si="7">SUM(S47:S49)</f>
        <v>0</v>
      </c>
      <c r="T50" s="99"/>
    </row>
    <row r="51" spans="1:20" ht="16.5" thickBot="1" x14ac:dyDescent="0.3">
      <c r="B51" s="41"/>
      <c r="F51" s="110"/>
      <c r="J51" s="110"/>
      <c r="K51" s="110"/>
      <c r="L51" s="41"/>
      <c r="P51" s="110"/>
      <c r="T51" s="110"/>
    </row>
    <row r="52" spans="1:20" ht="16.5" thickBot="1" x14ac:dyDescent="0.3">
      <c r="A52" s="38"/>
      <c r="B52" s="189" t="str">
        <f>B39</f>
        <v xml:space="preserve">CLINs 0004 &amp; 1004: CPFF </v>
      </c>
      <c r="C52" s="186" t="s">
        <v>181</v>
      </c>
      <c r="D52" s="187"/>
      <c r="E52" s="188"/>
      <c r="F52" s="106"/>
      <c r="G52" s="186" t="s">
        <v>181</v>
      </c>
      <c r="H52" s="187"/>
      <c r="I52" s="188"/>
      <c r="J52" s="106"/>
      <c r="K52" s="106"/>
      <c r="L52" s="149"/>
      <c r="M52" s="186" t="s">
        <v>181</v>
      </c>
      <c r="N52" s="187"/>
      <c r="O52" s="188"/>
      <c r="P52" s="106"/>
      <c r="Q52" s="186" t="s">
        <v>181</v>
      </c>
      <c r="R52" s="187"/>
      <c r="S52" s="188"/>
      <c r="T52" s="106"/>
    </row>
    <row r="53" spans="1:20" ht="16.5" thickBot="1" x14ac:dyDescent="0.3">
      <c r="A53" s="38"/>
      <c r="B53" s="190"/>
      <c r="C53" s="129" t="str">
        <f>C40</f>
        <v>0004: F-16 I-Level Fault Isolation Tester design and digital development - Basic Period</v>
      </c>
      <c r="D53" s="130"/>
      <c r="E53" s="131"/>
      <c r="F53" s="107"/>
      <c r="G53" s="132" t="str">
        <f>G40</f>
        <v>1004: F-16 I-Level Fault Isolation Tester EMD - Option Period 1</v>
      </c>
      <c r="H53" s="133"/>
      <c r="I53" s="134"/>
      <c r="J53" s="107"/>
      <c r="K53" s="107"/>
      <c r="L53" s="150"/>
      <c r="M53" s="132" t="str">
        <f>M40</f>
        <v>2004: F-15 I-Level Fault Isolation Tester EMD - Option Period 2</v>
      </c>
      <c r="N53" s="133"/>
      <c r="O53" s="134"/>
      <c r="P53" s="107"/>
      <c r="Q53" s="132" t="str">
        <f>Q40</f>
        <v>3004: A-10 I-Level Fault Isolation Tester EMD - Option Period 3</v>
      </c>
      <c r="R53" s="133"/>
      <c r="S53" s="134"/>
      <c r="T53" s="107"/>
    </row>
    <row r="54" spans="1:20" x14ac:dyDescent="0.25">
      <c r="A54" s="38"/>
      <c r="B54" s="79"/>
      <c r="C54" s="56" t="s">
        <v>174</v>
      </c>
      <c r="D54" s="57" t="s">
        <v>172</v>
      </c>
      <c r="E54" s="58" t="s">
        <v>10</v>
      </c>
      <c r="F54" s="101"/>
      <c r="G54" s="56" t="s">
        <v>174</v>
      </c>
      <c r="H54" s="57" t="s">
        <v>172</v>
      </c>
      <c r="I54" s="58" t="s">
        <v>10</v>
      </c>
      <c r="J54" s="101"/>
      <c r="K54" s="101"/>
      <c r="L54" s="79"/>
      <c r="M54" s="56" t="s">
        <v>174</v>
      </c>
      <c r="N54" s="57" t="s">
        <v>172</v>
      </c>
      <c r="O54" s="58" t="s">
        <v>10</v>
      </c>
      <c r="P54" s="101"/>
      <c r="Q54" s="56" t="s">
        <v>174</v>
      </c>
      <c r="R54" s="57" t="s">
        <v>172</v>
      </c>
      <c r="S54" s="58" t="s">
        <v>10</v>
      </c>
      <c r="T54" s="101"/>
    </row>
    <row r="55" spans="1:20" x14ac:dyDescent="0.25">
      <c r="A55" s="38"/>
      <c r="B55" s="80" t="s">
        <v>182</v>
      </c>
      <c r="C55" s="81"/>
      <c r="D55" s="82"/>
      <c r="E55" s="83"/>
      <c r="F55" s="100"/>
      <c r="G55" s="81"/>
      <c r="H55" s="82"/>
      <c r="I55" s="83"/>
      <c r="J55" s="100"/>
      <c r="K55" s="100"/>
      <c r="L55" s="80" t="s">
        <v>182</v>
      </c>
      <c r="M55" s="81"/>
      <c r="N55" s="82"/>
      <c r="O55" s="83"/>
      <c r="P55" s="100"/>
      <c r="Q55" s="81"/>
      <c r="R55" s="82"/>
      <c r="S55" s="83"/>
      <c r="T55" s="100"/>
    </row>
    <row r="56" spans="1:20" x14ac:dyDescent="0.25">
      <c r="A56" s="38"/>
      <c r="B56" s="51" t="s">
        <v>161</v>
      </c>
      <c r="C56" s="69">
        <f>+E55</f>
        <v>0</v>
      </c>
      <c r="D56" s="70">
        <v>0</v>
      </c>
      <c r="E56" s="71">
        <f>+C56*D56</f>
        <v>0</v>
      </c>
      <c r="F56" s="108"/>
      <c r="G56" s="69">
        <f>+I55</f>
        <v>0</v>
      </c>
      <c r="H56" s="70">
        <v>0</v>
      </c>
      <c r="I56" s="71">
        <f>+G56*H56</f>
        <v>0</v>
      </c>
      <c r="J56" s="108"/>
      <c r="K56" s="108"/>
      <c r="L56" s="51" t="s">
        <v>161</v>
      </c>
      <c r="M56" s="69">
        <f>+O55</f>
        <v>0</v>
      </c>
      <c r="N56" s="70">
        <v>0</v>
      </c>
      <c r="O56" s="71">
        <f>+M56*N56</f>
        <v>0</v>
      </c>
      <c r="P56" s="108"/>
      <c r="Q56" s="69">
        <f>+S55</f>
        <v>0</v>
      </c>
      <c r="R56" s="70">
        <v>0</v>
      </c>
      <c r="S56" s="71">
        <f>+Q56*R56</f>
        <v>0</v>
      </c>
      <c r="T56" s="108"/>
    </row>
    <row r="57" spans="1:20" x14ac:dyDescent="0.25">
      <c r="A57" s="38"/>
      <c r="B57" s="51" t="s">
        <v>162</v>
      </c>
      <c r="C57" s="69">
        <f>+C56+E56</f>
        <v>0</v>
      </c>
      <c r="D57" s="70">
        <v>0</v>
      </c>
      <c r="E57" s="71">
        <f>+C57*D57</f>
        <v>0</v>
      </c>
      <c r="F57" s="108"/>
      <c r="G57" s="69">
        <f>+G56+I56</f>
        <v>0</v>
      </c>
      <c r="H57" s="70">
        <v>0</v>
      </c>
      <c r="I57" s="71">
        <f>+G57*H57</f>
        <v>0</v>
      </c>
      <c r="J57" s="108"/>
      <c r="K57" s="108"/>
      <c r="L57" s="51" t="s">
        <v>162</v>
      </c>
      <c r="M57" s="69">
        <f>+M56+O56</f>
        <v>0</v>
      </c>
      <c r="N57" s="70">
        <v>0</v>
      </c>
      <c r="O57" s="71">
        <f>+M57*N57</f>
        <v>0</v>
      </c>
      <c r="P57" s="108"/>
      <c r="Q57" s="69">
        <f>+Q56+S56</f>
        <v>0</v>
      </c>
      <c r="R57" s="70">
        <v>0</v>
      </c>
      <c r="S57" s="71">
        <f>+Q57*R57</f>
        <v>0</v>
      </c>
      <c r="T57" s="108"/>
    </row>
    <row r="58" spans="1:20" x14ac:dyDescent="0.25">
      <c r="A58" s="38"/>
      <c r="B58" s="51" t="s">
        <v>163</v>
      </c>
      <c r="C58" s="69">
        <f>+C56</f>
        <v>0</v>
      </c>
      <c r="D58" s="70">
        <v>0</v>
      </c>
      <c r="E58" s="71">
        <f>+C58*D58</f>
        <v>0</v>
      </c>
      <c r="F58" s="100"/>
      <c r="G58" s="69">
        <f>+G56</f>
        <v>0</v>
      </c>
      <c r="H58" s="70">
        <v>0</v>
      </c>
      <c r="I58" s="71">
        <f>+G58*H58</f>
        <v>0</v>
      </c>
      <c r="J58" s="100"/>
      <c r="K58" s="100"/>
      <c r="L58" s="51" t="s">
        <v>163</v>
      </c>
      <c r="M58" s="69">
        <f>+M56</f>
        <v>0</v>
      </c>
      <c r="N58" s="70">
        <v>0</v>
      </c>
      <c r="O58" s="71">
        <f>+M58*N58</f>
        <v>0</v>
      </c>
      <c r="P58" s="100"/>
      <c r="Q58" s="69">
        <f>+Q56</f>
        <v>0</v>
      </c>
      <c r="R58" s="70">
        <v>0</v>
      </c>
      <c r="S58" s="71">
        <f>+Q58*R58</f>
        <v>0</v>
      </c>
      <c r="T58" s="100"/>
    </row>
    <row r="59" spans="1:20" x14ac:dyDescent="0.25">
      <c r="A59" s="38"/>
      <c r="B59" s="51" t="s">
        <v>164</v>
      </c>
      <c r="C59" s="69">
        <f>+C57+E57</f>
        <v>0</v>
      </c>
      <c r="D59" s="70">
        <v>0</v>
      </c>
      <c r="E59" s="71">
        <f>+C59*D59</f>
        <v>0</v>
      </c>
      <c r="F59" s="100"/>
      <c r="G59" s="69">
        <f>+G57+I57</f>
        <v>0</v>
      </c>
      <c r="H59" s="70">
        <v>0</v>
      </c>
      <c r="I59" s="71">
        <f>+G59*H59</f>
        <v>0</v>
      </c>
      <c r="J59" s="100"/>
      <c r="K59" s="100"/>
      <c r="L59" s="51" t="s">
        <v>164</v>
      </c>
      <c r="M59" s="69">
        <f>+M57+O57</f>
        <v>0</v>
      </c>
      <c r="N59" s="70">
        <v>0</v>
      </c>
      <c r="O59" s="71">
        <f>+M59*N59</f>
        <v>0</v>
      </c>
      <c r="P59" s="100"/>
      <c r="Q59" s="69">
        <f>+Q57+S57</f>
        <v>0</v>
      </c>
      <c r="R59" s="70">
        <v>0</v>
      </c>
      <c r="S59" s="71">
        <f>+Q59*R59</f>
        <v>0</v>
      </c>
      <c r="T59" s="100"/>
    </row>
    <row r="60" spans="1:20" x14ac:dyDescent="0.25">
      <c r="A60" s="38"/>
      <c r="B60" s="51" t="s">
        <v>175</v>
      </c>
      <c r="C60" s="84"/>
      <c r="D60" s="85"/>
      <c r="E60" s="71">
        <f>+ROUND(SUM(E55:E57),0)</f>
        <v>0</v>
      </c>
      <c r="F60" s="100"/>
      <c r="G60" s="84"/>
      <c r="H60" s="85"/>
      <c r="I60" s="71">
        <f>+ROUND(SUM(I55:I57),0)</f>
        <v>0</v>
      </c>
      <c r="J60" s="100"/>
      <c r="K60" s="100"/>
      <c r="L60" s="51" t="s">
        <v>270</v>
      </c>
      <c r="M60" s="84"/>
      <c r="N60" s="85"/>
      <c r="O60" s="71">
        <f>+ROUND(SUM(O55:O57),0)</f>
        <v>0</v>
      </c>
      <c r="P60" s="100"/>
      <c r="Q60" s="84"/>
      <c r="R60" s="85"/>
      <c r="S60" s="71">
        <f>+ROUND(SUM(S55:S57),0)</f>
        <v>0</v>
      </c>
      <c r="T60" s="100"/>
    </row>
    <row r="61" spans="1:20" x14ac:dyDescent="0.25">
      <c r="A61" s="38"/>
      <c r="B61" s="51" t="s">
        <v>176</v>
      </c>
      <c r="C61" s="81"/>
      <c r="D61" s="86"/>
      <c r="E61" s="71">
        <f>+ROUND(E58,0)</f>
        <v>0</v>
      </c>
      <c r="F61" s="100"/>
      <c r="G61" s="81"/>
      <c r="H61" s="86"/>
      <c r="I61" s="71">
        <f>+ROUND(I58,0)</f>
        <v>0</v>
      </c>
      <c r="J61" s="100"/>
      <c r="K61" s="100"/>
      <c r="L61" s="51" t="s">
        <v>271</v>
      </c>
      <c r="M61" s="81"/>
      <c r="N61" s="86"/>
      <c r="O61" s="71">
        <f>+ROUND(O58,0)</f>
        <v>0</v>
      </c>
      <c r="P61" s="100"/>
      <c r="Q61" s="81"/>
      <c r="R61" s="86"/>
      <c r="S61" s="71">
        <f>+ROUND(S58,0)</f>
        <v>0</v>
      </c>
      <c r="T61" s="100"/>
    </row>
    <row r="62" spans="1:20" x14ac:dyDescent="0.25">
      <c r="B62" s="51" t="s">
        <v>177</v>
      </c>
      <c r="C62" s="81"/>
      <c r="D62" s="86"/>
      <c r="E62" s="87">
        <f>+ROUND(E59,0)</f>
        <v>0</v>
      </c>
      <c r="F62" s="109"/>
      <c r="G62" s="81"/>
      <c r="H62" s="86"/>
      <c r="I62" s="87">
        <f>+ROUND(I59,0)</f>
        <v>0</v>
      </c>
      <c r="J62" s="109"/>
      <c r="K62" s="109"/>
      <c r="L62" s="51" t="s">
        <v>272</v>
      </c>
      <c r="M62" s="81"/>
      <c r="N62" s="86"/>
      <c r="O62" s="87">
        <f>+ROUND(O59,0)</f>
        <v>0</v>
      </c>
      <c r="P62" s="109"/>
      <c r="Q62" s="81"/>
      <c r="R62" s="86"/>
      <c r="S62" s="87">
        <f>+ROUND(S59,0)</f>
        <v>0</v>
      </c>
      <c r="T62" s="109"/>
    </row>
    <row r="63" spans="1:20" ht="16.5" thickBot="1" x14ac:dyDescent="0.3">
      <c r="B63" s="52" t="s">
        <v>178</v>
      </c>
      <c r="C63" s="112"/>
      <c r="D63" s="88"/>
      <c r="E63" s="64">
        <f t="shared" ref="E63" si="8">SUM(E60:E62)</f>
        <v>0</v>
      </c>
      <c r="F63" s="99"/>
      <c r="G63" s="112"/>
      <c r="H63" s="88"/>
      <c r="I63" s="64">
        <f t="shared" ref="I63" si="9">SUM(I60:I62)</f>
        <v>0</v>
      </c>
      <c r="J63" s="99"/>
      <c r="K63" s="99"/>
      <c r="L63" s="52" t="s">
        <v>273</v>
      </c>
      <c r="M63" s="112"/>
      <c r="N63" s="88"/>
      <c r="O63" s="64">
        <f t="shared" ref="O63" si="10">SUM(O60:O62)</f>
        <v>0</v>
      </c>
      <c r="P63" s="99"/>
      <c r="Q63" s="112"/>
      <c r="R63" s="88"/>
      <c r="S63" s="64">
        <f t="shared" ref="S63" si="11">SUM(S60:S62)</f>
        <v>0</v>
      </c>
      <c r="T63" s="99"/>
    </row>
    <row r="64" spans="1:20" x14ac:dyDescent="0.25">
      <c r="B64" s="41"/>
      <c r="F64" s="110"/>
      <c r="J64" s="110"/>
      <c r="K64" s="110"/>
      <c r="L64" s="41"/>
      <c r="P64" s="110"/>
      <c r="T64" s="110"/>
    </row>
    <row r="65" spans="2:20" ht="16.5" thickBot="1" x14ac:dyDescent="0.3">
      <c r="F65" s="110"/>
      <c r="J65" s="110"/>
      <c r="K65" s="110"/>
      <c r="L65" s="37"/>
      <c r="P65" s="110"/>
      <c r="T65" s="110"/>
    </row>
    <row r="66" spans="2:20" ht="16.5" thickBot="1" x14ac:dyDescent="0.3">
      <c r="B66" s="189" t="str">
        <f>B52</f>
        <v xml:space="preserve">CLINs 0004 &amp; 1004: CPFF </v>
      </c>
      <c r="C66" s="186" t="s">
        <v>183</v>
      </c>
      <c r="D66" s="187"/>
      <c r="E66" s="188"/>
      <c r="F66" s="106"/>
      <c r="G66" s="186" t="s">
        <v>183</v>
      </c>
      <c r="H66" s="187"/>
      <c r="I66" s="188"/>
      <c r="J66" s="106"/>
      <c r="K66" s="106"/>
      <c r="L66" s="149"/>
      <c r="M66" s="186" t="s">
        <v>183</v>
      </c>
      <c r="N66" s="187"/>
      <c r="O66" s="188"/>
      <c r="P66" s="106"/>
      <c r="Q66" s="186" t="s">
        <v>183</v>
      </c>
      <c r="R66" s="187"/>
      <c r="S66" s="188"/>
      <c r="T66" s="106"/>
    </row>
    <row r="67" spans="2:20" ht="16.5" thickBot="1" x14ac:dyDescent="0.3">
      <c r="B67" s="190"/>
      <c r="C67" s="89"/>
      <c r="D67" s="55"/>
      <c r="E67" s="90" t="s">
        <v>308</v>
      </c>
      <c r="F67" s="111"/>
      <c r="G67" s="89"/>
      <c r="H67" s="55"/>
      <c r="I67" s="90" t="s">
        <v>309</v>
      </c>
      <c r="J67" s="111"/>
      <c r="K67" s="111"/>
      <c r="L67" s="150"/>
      <c r="M67" s="89"/>
      <c r="N67" s="55"/>
      <c r="O67" s="90" t="s">
        <v>310</v>
      </c>
      <c r="P67" s="111"/>
      <c r="Q67" s="89"/>
      <c r="R67" s="55"/>
      <c r="S67" s="90" t="s">
        <v>311</v>
      </c>
      <c r="T67" s="111"/>
    </row>
    <row r="68" spans="2:20" x14ac:dyDescent="0.25">
      <c r="B68" s="51" t="s">
        <v>175</v>
      </c>
      <c r="C68" s="91"/>
      <c r="D68" s="91"/>
      <c r="E68" s="92">
        <f>+ROUND(E33+E47+E60,0)</f>
        <v>0</v>
      </c>
      <c r="F68" s="100"/>
      <c r="G68" s="91"/>
      <c r="H68" s="91"/>
      <c r="I68" s="92">
        <f>+ROUND(I33+I47+I60,0)</f>
        <v>0</v>
      </c>
      <c r="J68" s="100"/>
      <c r="K68" s="100"/>
      <c r="L68" s="51" t="s">
        <v>270</v>
      </c>
      <c r="M68" s="91"/>
      <c r="N68" s="91"/>
      <c r="O68" s="92">
        <f>+ROUND(O33+O47+O60,0)</f>
        <v>0</v>
      </c>
      <c r="P68" s="100"/>
      <c r="Q68" s="91"/>
      <c r="R68" s="91"/>
      <c r="S68" s="92">
        <f>+ROUND(S33+S47+S60,0)</f>
        <v>0</v>
      </c>
      <c r="T68" s="100"/>
    </row>
    <row r="69" spans="2:20" x14ac:dyDescent="0.25">
      <c r="B69" s="51" t="s">
        <v>176</v>
      </c>
      <c r="C69" s="91"/>
      <c r="D69" s="91"/>
      <c r="E69" s="71">
        <f>+ROUND(E34+E48+E61,0)</f>
        <v>0</v>
      </c>
      <c r="F69" s="100"/>
      <c r="G69" s="91"/>
      <c r="H69" s="91"/>
      <c r="I69" s="71">
        <f>+ROUND(I34+I48+I61,0)</f>
        <v>0</v>
      </c>
      <c r="J69" s="100"/>
      <c r="K69" s="100"/>
      <c r="L69" s="51" t="s">
        <v>271</v>
      </c>
      <c r="M69" s="91"/>
      <c r="N69" s="91"/>
      <c r="O69" s="71">
        <f>+ROUND(O34+O48+O61,0)</f>
        <v>0</v>
      </c>
      <c r="P69" s="100"/>
      <c r="Q69" s="91"/>
      <c r="R69" s="91"/>
      <c r="S69" s="71">
        <f>+ROUND(S34+S48+S61,0)</f>
        <v>0</v>
      </c>
      <c r="T69" s="100"/>
    </row>
    <row r="70" spans="2:20" x14ac:dyDescent="0.25">
      <c r="B70" s="51" t="s">
        <v>177</v>
      </c>
      <c r="C70" s="91"/>
      <c r="D70" s="91"/>
      <c r="E70" s="74">
        <f>+ROUND(E35+E49+E62,0)</f>
        <v>0</v>
      </c>
      <c r="F70" s="102"/>
      <c r="G70" s="91"/>
      <c r="H70" s="91"/>
      <c r="I70" s="74">
        <f>+ROUND(I35+I49+I62,0)</f>
        <v>0</v>
      </c>
      <c r="J70" s="102"/>
      <c r="K70" s="102"/>
      <c r="L70" s="51" t="s">
        <v>272</v>
      </c>
      <c r="M70" s="91"/>
      <c r="N70" s="91"/>
      <c r="O70" s="74">
        <f>+ROUND(O35+O49+O62,0)</f>
        <v>0</v>
      </c>
      <c r="P70" s="102"/>
      <c r="Q70" s="91"/>
      <c r="R70" s="91"/>
      <c r="S70" s="74">
        <f>+ROUND(S35+S49+S62,0)</f>
        <v>0</v>
      </c>
      <c r="T70" s="102"/>
    </row>
    <row r="71" spans="2:20" ht="16.5" thickBot="1" x14ac:dyDescent="0.3">
      <c r="B71" s="52" t="s">
        <v>178</v>
      </c>
      <c r="C71" s="93"/>
      <c r="D71" s="93"/>
      <c r="E71" s="77">
        <f>SUM(E68:E70)</f>
        <v>0</v>
      </c>
      <c r="F71" s="103"/>
      <c r="G71" s="93"/>
      <c r="H71" s="93"/>
      <c r="I71" s="77">
        <f>SUM(I68:I70)</f>
        <v>0</v>
      </c>
      <c r="J71" s="103"/>
      <c r="K71" s="103"/>
      <c r="L71" s="52" t="s">
        <v>273</v>
      </c>
      <c r="M71" s="93"/>
      <c r="N71" s="93"/>
      <c r="O71" s="77">
        <f>SUM(O68:O70)</f>
        <v>0</v>
      </c>
      <c r="P71" s="103"/>
      <c r="Q71" s="93"/>
      <c r="R71" s="93"/>
      <c r="S71" s="77">
        <f>SUM(S68:S70)</f>
        <v>0</v>
      </c>
      <c r="T71" s="103"/>
    </row>
  </sheetData>
  <mergeCells count="21">
    <mergeCell ref="Q10:S10"/>
    <mergeCell ref="B10:B11"/>
    <mergeCell ref="C10:E10"/>
    <mergeCell ref="G10:I10"/>
    <mergeCell ref="L10:L11"/>
    <mergeCell ref="M10:O10"/>
    <mergeCell ref="B52:B53"/>
    <mergeCell ref="C52:E52"/>
    <mergeCell ref="G52:I52"/>
    <mergeCell ref="M52:O52"/>
    <mergeCell ref="Q52:S52"/>
    <mergeCell ref="B39:B40"/>
    <mergeCell ref="C39:E39"/>
    <mergeCell ref="G39:I39"/>
    <mergeCell ref="M39:O39"/>
    <mergeCell ref="Q39:S39"/>
    <mergeCell ref="B66:B67"/>
    <mergeCell ref="C66:E66"/>
    <mergeCell ref="G66:I66"/>
    <mergeCell ref="M66:O66"/>
    <mergeCell ref="Q66:S66"/>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FC7F2-C60D-48E5-8058-9831C0B0D87F}">
  <sheetPr>
    <tabColor theme="9" tint="0.79998168889431442"/>
  </sheetPr>
  <dimension ref="A1:P71"/>
  <sheetViews>
    <sheetView topLeftCell="I42" workbookViewId="0">
      <selection activeCell="B2" sqref="B2:G7"/>
    </sheetView>
  </sheetViews>
  <sheetFormatPr defaultColWidth="15.85546875" defaultRowHeight="15.75" x14ac:dyDescent="0.25"/>
  <cols>
    <col min="1" max="1" width="3.42578125" style="33" customWidth="1"/>
    <col min="2" max="2" width="49.140625" style="37" customWidth="1"/>
    <col min="3" max="3" width="32.85546875" style="35" customWidth="1"/>
    <col min="4" max="4" width="28.85546875" style="35" customWidth="1"/>
    <col min="5" max="5" width="40.140625" style="35" customWidth="1"/>
    <col min="6" max="6" width="3.140625" style="35" customWidth="1"/>
    <col min="7" max="7" width="28.28515625" style="35" customWidth="1"/>
    <col min="8" max="8" width="25.42578125" style="35" customWidth="1"/>
    <col min="9" max="9" width="35.42578125" style="35" customWidth="1"/>
    <col min="10" max="11" width="3.140625" style="35" customWidth="1"/>
    <col min="12" max="12" width="45" style="35" bestFit="1" customWidth="1"/>
    <col min="13" max="13" width="28.28515625" style="35" customWidth="1"/>
    <col min="14" max="14" width="25.42578125" style="35" customWidth="1"/>
    <col min="15" max="15" width="35.42578125" style="35" customWidth="1"/>
    <col min="16" max="16" width="3.140625" style="35" customWidth="1"/>
    <col min="17" max="16384" width="15.85546875" style="35"/>
  </cols>
  <sheetData>
    <row r="1" spans="1:16" x14ac:dyDescent="0.2">
      <c r="B1" s="34" t="s">
        <v>147</v>
      </c>
    </row>
    <row r="2" spans="1:16" x14ac:dyDescent="0.25">
      <c r="A2" s="36"/>
      <c r="B2" s="153" t="s">
        <v>167</v>
      </c>
      <c r="C2" s="94"/>
      <c r="D2" s="94"/>
      <c r="E2" s="94"/>
      <c r="F2" s="94"/>
      <c r="G2" s="94"/>
      <c r="H2" s="94"/>
      <c r="I2" s="94"/>
      <c r="J2" s="94"/>
      <c r="K2" s="94"/>
      <c r="L2" s="94"/>
      <c r="M2" s="94"/>
      <c r="N2" s="94"/>
      <c r="O2" s="94"/>
      <c r="P2" s="94"/>
    </row>
    <row r="3" spans="1:16" x14ac:dyDescent="0.25">
      <c r="A3" s="36"/>
      <c r="B3" s="153" t="s">
        <v>355</v>
      </c>
      <c r="C3" s="94"/>
      <c r="D3" s="94"/>
      <c r="E3" s="94"/>
      <c r="F3" s="94"/>
      <c r="G3" s="94"/>
      <c r="H3" s="94"/>
      <c r="I3" s="94"/>
      <c r="J3" s="94"/>
      <c r="K3" s="94"/>
      <c r="L3" s="94"/>
      <c r="M3" s="94"/>
      <c r="N3" s="94"/>
      <c r="O3" s="94"/>
      <c r="P3" s="94"/>
    </row>
    <row r="4" spans="1:16" x14ac:dyDescent="0.25">
      <c r="A4" s="36"/>
      <c r="B4" s="153" t="s">
        <v>356</v>
      </c>
      <c r="C4" s="94"/>
      <c r="D4" s="94"/>
      <c r="E4" s="94"/>
      <c r="F4" s="94"/>
      <c r="G4" s="94"/>
      <c r="H4" s="94"/>
      <c r="I4" s="94"/>
      <c r="J4" s="94"/>
      <c r="K4" s="94"/>
      <c r="L4" s="94"/>
      <c r="M4" s="94"/>
      <c r="N4" s="94"/>
      <c r="O4" s="94"/>
      <c r="P4" s="94"/>
    </row>
    <row r="5" spans="1:16" x14ac:dyDescent="0.25">
      <c r="A5" s="36"/>
      <c r="B5" s="153" t="s">
        <v>357</v>
      </c>
      <c r="C5" s="94"/>
      <c r="D5" s="94"/>
      <c r="E5" s="94"/>
      <c r="F5" s="94"/>
      <c r="G5" s="94"/>
      <c r="H5" s="94"/>
      <c r="I5" s="94"/>
      <c r="J5" s="94"/>
      <c r="K5" s="94"/>
      <c r="L5" s="94"/>
      <c r="M5" s="94"/>
      <c r="N5" s="94"/>
      <c r="O5" s="94"/>
      <c r="P5" s="94"/>
    </row>
    <row r="6" spans="1:16" x14ac:dyDescent="0.25">
      <c r="A6" s="36"/>
      <c r="B6" s="153" t="s">
        <v>358</v>
      </c>
      <c r="C6" s="94"/>
      <c r="D6" s="94"/>
      <c r="E6" s="94"/>
      <c r="F6" s="94"/>
      <c r="G6" s="94"/>
      <c r="H6" s="94"/>
      <c r="I6" s="94"/>
      <c r="J6" s="94"/>
      <c r="K6" s="94"/>
      <c r="L6" s="94"/>
      <c r="M6" s="94"/>
      <c r="N6" s="94"/>
      <c r="O6" s="94"/>
      <c r="P6" s="94"/>
    </row>
    <row r="7" spans="1:16" x14ac:dyDescent="0.25">
      <c r="A7" s="36"/>
      <c r="B7" s="153" t="s">
        <v>274</v>
      </c>
      <c r="C7" s="94"/>
      <c r="D7" s="94"/>
      <c r="E7" s="94"/>
      <c r="F7" s="94"/>
      <c r="G7" s="94"/>
      <c r="H7" s="94"/>
      <c r="I7" s="94"/>
      <c r="J7" s="94"/>
      <c r="K7" s="94"/>
      <c r="L7" s="94"/>
      <c r="M7" s="94"/>
      <c r="N7" s="94"/>
      <c r="O7" s="94"/>
      <c r="P7" s="94"/>
    </row>
    <row r="9" spans="1:16" ht="16.5" thickBot="1" x14ac:dyDescent="0.3"/>
    <row r="10" spans="1:16" ht="16.5" thickBot="1" x14ac:dyDescent="0.3">
      <c r="A10" s="38"/>
      <c r="B10" s="189" t="s">
        <v>312</v>
      </c>
      <c r="C10" s="186" t="s">
        <v>170</v>
      </c>
      <c r="D10" s="187"/>
      <c r="E10" s="188"/>
      <c r="F10" s="95"/>
      <c r="G10" s="186" t="s">
        <v>170</v>
      </c>
      <c r="H10" s="187"/>
      <c r="I10" s="188"/>
      <c r="J10" s="95"/>
      <c r="K10" s="95"/>
      <c r="L10" s="189" t="s">
        <v>316</v>
      </c>
      <c r="M10" s="186" t="s">
        <v>170</v>
      </c>
      <c r="N10" s="187"/>
      <c r="O10" s="188"/>
      <c r="P10" s="95"/>
    </row>
    <row r="11" spans="1:16" ht="16.5" thickBot="1" x14ac:dyDescent="0.3">
      <c r="A11" s="38"/>
      <c r="B11" s="190"/>
      <c r="C11" s="129" t="s">
        <v>313</v>
      </c>
      <c r="D11" s="130"/>
      <c r="E11" s="131"/>
      <c r="F11" s="96"/>
      <c r="G11" s="132" t="s">
        <v>314</v>
      </c>
      <c r="H11" s="133"/>
      <c r="I11" s="134"/>
      <c r="J11" s="96"/>
      <c r="K11" s="96"/>
      <c r="L11" s="190"/>
      <c r="M11" s="132" t="s">
        <v>315</v>
      </c>
      <c r="N11" s="133"/>
      <c r="O11" s="134"/>
      <c r="P11" s="96"/>
    </row>
    <row r="12" spans="1:16" x14ac:dyDescent="0.25">
      <c r="A12" s="38"/>
      <c r="B12" s="56" t="s">
        <v>157</v>
      </c>
      <c r="C12" s="56" t="s">
        <v>171</v>
      </c>
      <c r="D12" s="57" t="s">
        <v>172</v>
      </c>
      <c r="E12" s="58" t="s">
        <v>10</v>
      </c>
      <c r="F12" s="97"/>
      <c r="G12" s="56" t="s">
        <v>171</v>
      </c>
      <c r="H12" s="57" t="s">
        <v>172</v>
      </c>
      <c r="I12" s="58" t="s">
        <v>10</v>
      </c>
      <c r="J12" s="97"/>
      <c r="K12" s="97"/>
      <c r="L12" s="56" t="s">
        <v>157</v>
      </c>
      <c r="M12" s="56" t="s">
        <v>171</v>
      </c>
      <c r="N12" s="57" t="s">
        <v>172</v>
      </c>
      <c r="O12" s="58" t="s">
        <v>10</v>
      </c>
      <c r="P12" s="97"/>
    </row>
    <row r="13" spans="1:16" x14ac:dyDescent="0.25">
      <c r="A13" s="38"/>
      <c r="B13" s="59" t="s">
        <v>184</v>
      </c>
      <c r="C13" s="60"/>
      <c r="D13" s="61">
        <v>0</v>
      </c>
      <c r="E13" s="62">
        <f>+C13*D13</f>
        <v>0</v>
      </c>
      <c r="F13" s="98"/>
      <c r="G13" s="60"/>
      <c r="H13" s="61">
        <v>0</v>
      </c>
      <c r="I13" s="62">
        <f>+G13*H13</f>
        <v>0</v>
      </c>
      <c r="J13" s="98"/>
      <c r="K13" s="98"/>
      <c r="L13" s="151" t="s">
        <v>184</v>
      </c>
      <c r="M13" s="60"/>
      <c r="N13" s="61">
        <v>0</v>
      </c>
      <c r="O13" s="62">
        <f>+M13*N13</f>
        <v>0</v>
      </c>
      <c r="P13" s="98"/>
    </row>
    <row r="14" spans="1:16" x14ac:dyDescent="0.25">
      <c r="A14" s="38"/>
      <c r="B14" s="59" t="s">
        <v>185</v>
      </c>
      <c r="C14" s="60"/>
      <c r="D14" s="61">
        <v>0</v>
      </c>
      <c r="E14" s="62">
        <f t="shared" ref="E14:E25" si="0">+C14*D14</f>
        <v>0</v>
      </c>
      <c r="F14" s="98"/>
      <c r="G14" s="60"/>
      <c r="H14" s="61">
        <v>0</v>
      </c>
      <c r="I14" s="62">
        <f t="shared" ref="I14:I25" si="1">+G14*H14</f>
        <v>0</v>
      </c>
      <c r="J14" s="98"/>
      <c r="K14" s="98"/>
      <c r="L14" s="59" t="s">
        <v>185</v>
      </c>
      <c r="M14" s="60"/>
      <c r="N14" s="61">
        <v>0</v>
      </c>
      <c r="O14" s="62">
        <f t="shared" ref="O14:O25" si="2">+M14*N14</f>
        <v>0</v>
      </c>
      <c r="P14" s="98"/>
    </row>
    <row r="15" spans="1:16" x14ac:dyDescent="0.25">
      <c r="A15" s="38"/>
      <c r="B15" s="59" t="s">
        <v>186</v>
      </c>
      <c r="C15" s="60"/>
      <c r="D15" s="61">
        <v>0</v>
      </c>
      <c r="E15" s="62">
        <f t="shared" si="0"/>
        <v>0</v>
      </c>
      <c r="F15" s="98"/>
      <c r="G15" s="60"/>
      <c r="H15" s="61">
        <v>0</v>
      </c>
      <c r="I15" s="62">
        <f t="shared" si="1"/>
        <v>0</v>
      </c>
      <c r="J15" s="98"/>
      <c r="K15" s="98"/>
      <c r="L15" s="59" t="s">
        <v>186</v>
      </c>
      <c r="M15" s="60"/>
      <c r="N15" s="61">
        <v>0</v>
      </c>
      <c r="O15" s="62">
        <f t="shared" si="2"/>
        <v>0</v>
      </c>
      <c r="P15" s="98"/>
    </row>
    <row r="16" spans="1:16" x14ac:dyDescent="0.25">
      <c r="A16" s="38"/>
      <c r="B16" s="59" t="s">
        <v>187</v>
      </c>
      <c r="C16" s="60"/>
      <c r="D16" s="61">
        <v>0</v>
      </c>
      <c r="E16" s="62">
        <f t="shared" si="0"/>
        <v>0</v>
      </c>
      <c r="F16" s="98"/>
      <c r="G16" s="60"/>
      <c r="H16" s="61">
        <v>0</v>
      </c>
      <c r="I16" s="62">
        <f t="shared" si="1"/>
        <v>0</v>
      </c>
      <c r="J16" s="98"/>
      <c r="K16" s="98"/>
      <c r="L16" s="59" t="s">
        <v>187</v>
      </c>
      <c r="M16" s="60"/>
      <c r="N16" s="61">
        <v>0</v>
      </c>
      <c r="O16" s="62">
        <f t="shared" si="2"/>
        <v>0</v>
      </c>
      <c r="P16" s="98"/>
    </row>
    <row r="17" spans="1:16" x14ac:dyDescent="0.25">
      <c r="A17" s="38"/>
      <c r="B17" s="59" t="s">
        <v>188</v>
      </c>
      <c r="C17" s="60"/>
      <c r="D17" s="61">
        <v>0</v>
      </c>
      <c r="E17" s="62">
        <f t="shared" si="0"/>
        <v>0</v>
      </c>
      <c r="F17" s="98"/>
      <c r="G17" s="60"/>
      <c r="H17" s="61">
        <v>0</v>
      </c>
      <c r="I17" s="62">
        <f t="shared" si="1"/>
        <v>0</v>
      </c>
      <c r="J17" s="98"/>
      <c r="K17" s="98"/>
      <c r="L17" s="59" t="s">
        <v>188</v>
      </c>
      <c r="M17" s="60"/>
      <c r="N17" s="61">
        <v>0</v>
      </c>
      <c r="O17" s="62">
        <f t="shared" si="2"/>
        <v>0</v>
      </c>
      <c r="P17" s="98"/>
    </row>
    <row r="18" spans="1:16" x14ac:dyDescent="0.25">
      <c r="A18" s="38"/>
      <c r="B18" s="59" t="s">
        <v>189</v>
      </c>
      <c r="C18" s="60"/>
      <c r="D18" s="61">
        <v>0</v>
      </c>
      <c r="E18" s="62">
        <f t="shared" si="0"/>
        <v>0</v>
      </c>
      <c r="F18" s="98"/>
      <c r="G18" s="60"/>
      <c r="H18" s="61">
        <v>0</v>
      </c>
      <c r="I18" s="62">
        <f t="shared" si="1"/>
        <v>0</v>
      </c>
      <c r="J18" s="98"/>
      <c r="K18" s="98"/>
      <c r="L18" s="59" t="s">
        <v>189</v>
      </c>
      <c r="M18" s="60"/>
      <c r="N18" s="61">
        <v>0</v>
      </c>
      <c r="O18" s="62">
        <f t="shared" si="2"/>
        <v>0</v>
      </c>
      <c r="P18" s="98"/>
    </row>
    <row r="19" spans="1:16" x14ac:dyDescent="0.25">
      <c r="A19" s="38"/>
      <c r="B19" s="59" t="s">
        <v>190</v>
      </c>
      <c r="C19" s="60"/>
      <c r="D19" s="61">
        <v>0</v>
      </c>
      <c r="E19" s="62">
        <f t="shared" si="0"/>
        <v>0</v>
      </c>
      <c r="F19" s="98"/>
      <c r="G19" s="60"/>
      <c r="H19" s="61">
        <v>0</v>
      </c>
      <c r="I19" s="62">
        <f t="shared" si="1"/>
        <v>0</v>
      </c>
      <c r="J19" s="98"/>
      <c r="K19" s="98"/>
      <c r="L19" s="59" t="s">
        <v>190</v>
      </c>
      <c r="M19" s="60"/>
      <c r="N19" s="61">
        <v>0</v>
      </c>
      <c r="O19" s="62">
        <f t="shared" si="2"/>
        <v>0</v>
      </c>
      <c r="P19" s="98"/>
    </row>
    <row r="20" spans="1:16" x14ac:dyDescent="0.25">
      <c r="A20" s="38"/>
      <c r="B20" s="59" t="s">
        <v>191</v>
      </c>
      <c r="C20" s="60"/>
      <c r="D20" s="61">
        <v>0</v>
      </c>
      <c r="E20" s="62">
        <f t="shared" si="0"/>
        <v>0</v>
      </c>
      <c r="F20" s="98"/>
      <c r="G20" s="60"/>
      <c r="H20" s="61">
        <v>0</v>
      </c>
      <c r="I20" s="62">
        <f t="shared" si="1"/>
        <v>0</v>
      </c>
      <c r="J20" s="98"/>
      <c r="K20" s="98"/>
      <c r="L20" s="59" t="s">
        <v>191</v>
      </c>
      <c r="M20" s="60"/>
      <c r="N20" s="61">
        <v>0</v>
      </c>
      <c r="O20" s="62">
        <f t="shared" si="2"/>
        <v>0</v>
      </c>
      <c r="P20" s="98"/>
    </row>
    <row r="21" spans="1:16" x14ac:dyDescent="0.25">
      <c r="A21" s="38"/>
      <c r="B21" s="59" t="s">
        <v>192</v>
      </c>
      <c r="C21" s="60"/>
      <c r="D21" s="61">
        <v>0</v>
      </c>
      <c r="E21" s="62">
        <f t="shared" si="0"/>
        <v>0</v>
      </c>
      <c r="F21" s="98"/>
      <c r="G21" s="60"/>
      <c r="H21" s="61">
        <v>0</v>
      </c>
      <c r="I21" s="62">
        <f t="shared" si="1"/>
        <v>0</v>
      </c>
      <c r="J21" s="98"/>
      <c r="K21" s="98"/>
      <c r="L21" s="59" t="s">
        <v>192</v>
      </c>
      <c r="M21" s="60"/>
      <c r="N21" s="61">
        <v>0</v>
      </c>
      <c r="O21" s="62">
        <f t="shared" si="2"/>
        <v>0</v>
      </c>
      <c r="P21" s="98"/>
    </row>
    <row r="22" spans="1:16" ht="15" customHeight="1" x14ac:dyDescent="0.25">
      <c r="A22" s="38"/>
      <c r="B22" s="59" t="s">
        <v>193</v>
      </c>
      <c r="C22" s="60"/>
      <c r="D22" s="61">
        <v>0</v>
      </c>
      <c r="E22" s="62">
        <f t="shared" si="0"/>
        <v>0</v>
      </c>
      <c r="F22" s="98"/>
      <c r="G22" s="60"/>
      <c r="H22" s="61">
        <v>0</v>
      </c>
      <c r="I22" s="62">
        <f t="shared" si="1"/>
        <v>0</v>
      </c>
      <c r="J22" s="98"/>
      <c r="K22" s="98"/>
      <c r="L22" s="59" t="s">
        <v>193</v>
      </c>
      <c r="M22" s="60"/>
      <c r="N22" s="61">
        <v>0</v>
      </c>
      <c r="O22" s="62">
        <f t="shared" si="2"/>
        <v>0</v>
      </c>
      <c r="P22" s="98"/>
    </row>
    <row r="23" spans="1:16" ht="15" customHeight="1" x14ac:dyDescent="0.25">
      <c r="A23" s="38"/>
      <c r="B23" s="59" t="s">
        <v>194</v>
      </c>
      <c r="C23" s="60"/>
      <c r="D23" s="61">
        <v>0</v>
      </c>
      <c r="E23" s="62">
        <f t="shared" si="0"/>
        <v>0</v>
      </c>
      <c r="F23" s="98"/>
      <c r="G23" s="60"/>
      <c r="H23" s="61">
        <v>0</v>
      </c>
      <c r="I23" s="62">
        <f t="shared" si="1"/>
        <v>0</v>
      </c>
      <c r="J23" s="98"/>
      <c r="K23" s="98"/>
      <c r="L23" s="59" t="s">
        <v>194</v>
      </c>
      <c r="M23" s="60"/>
      <c r="N23" s="61">
        <v>0</v>
      </c>
      <c r="O23" s="62">
        <f t="shared" si="2"/>
        <v>0</v>
      </c>
      <c r="P23" s="98"/>
    </row>
    <row r="24" spans="1:16" ht="15" customHeight="1" x14ac:dyDescent="0.25">
      <c r="A24" s="38"/>
      <c r="B24" s="59" t="s">
        <v>195</v>
      </c>
      <c r="C24" s="60"/>
      <c r="D24" s="61">
        <v>0</v>
      </c>
      <c r="E24" s="62">
        <f t="shared" si="0"/>
        <v>0</v>
      </c>
      <c r="F24" s="98"/>
      <c r="G24" s="60"/>
      <c r="H24" s="61">
        <v>0</v>
      </c>
      <c r="I24" s="62">
        <f t="shared" si="1"/>
        <v>0</v>
      </c>
      <c r="J24" s="98"/>
      <c r="K24" s="98"/>
      <c r="L24" s="59" t="s">
        <v>195</v>
      </c>
      <c r="M24" s="60"/>
      <c r="N24" s="61">
        <v>0</v>
      </c>
      <c r="O24" s="62">
        <f t="shared" si="2"/>
        <v>0</v>
      </c>
      <c r="P24" s="98"/>
    </row>
    <row r="25" spans="1:16" ht="15" customHeight="1" thickBot="1" x14ac:dyDescent="0.3">
      <c r="A25" s="38"/>
      <c r="B25" s="59" t="s">
        <v>196</v>
      </c>
      <c r="C25" s="63"/>
      <c r="D25" s="39">
        <v>0</v>
      </c>
      <c r="E25" s="64">
        <f t="shared" si="0"/>
        <v>0</v>
      </c>
      <c r="F25" s="99"/>
      <c r="G25" s="63"/>
      <c r="H25" s="39">
        <v>0</v>
      </c>
      <c r="I25" s="64">
        <f t="shared" si="1"/>
        <v>0</v>
      </c>
      <c r="J25" s="99"/>
      <c r="K25" s="99"/>
      <c r="L25" s="59" t="s">
        <v>196</v>
      </c>
      <c r="M25" s="63"/>
      <c r="N25" s="39">
        <v>0</v>
      </c>
      <c r="O25" s="64">
        <f t="shared" si="2"/>
        <v>0</v>
      </c>
      <c r="P25" s="99"/>
    </row>
    <row r="26" spans="1:16" ht="16.5" thickBot="1" x14ac:dyDescent="0.3">
      <c r="A26" s="38"/>
      <c r="B26" s="113" t="s">
        <v>173</v>
      </c>
      <c r="C26" s="65">
        <f>SUM(C13:C25)</f>
        <v>0</v>
      </c>
      <c r="D26" s="66"/>
      <c r="E26" s="67">
        <f>SUM(E13:E25)</f>
        <v>0</v>
      </c>
      <c r="F26" s="100"/>
      <c r="G26" s="65">
        <f>SUM(G13:G25)</f>
        <v>0</v>
      </c>
      <c r="H26" s="66"/>
      <c r="I26" s="67">
        <f>SUM(I13:I25)</f>
        <v>0</v>
      </c>
      <c r="J26" s="100"/>
      <c r="K26" s="100"/>
      <c r="L26" s="113" t="s">
        <v>173</v>
      </c>
      <c r="M26" s="65">
        <f>SUM(M13:M25)</f>
        <v>0</v>
      </c>
      <c r="N26" s="66"/>
      <c r="O26" s="67">
        <f>SUM(O13:O25)</f>
        <v>0</v>
      </c>
      <c r="P26" s="100"/>
    </row>
    <row r="27" spans="1:16" x14ac:dyDescent="0.25">
      <c r="A27" s="38"/>
      <c r="B27" s="68"/>
      <c r="C27" s="56" t="s">
        <v>174</v>
      </c>
      <c r="D27" s="57" t="s">
        <v>172</v>
      </c>
      <c r="E27" s="58" t="s">
        <v>10</v>
      </c>
      <c r="F27" s="101"/>
      <c r="G27" s="56" t="s">
        <v>174</v>
      </c>
      <c r="H27" s="57" t="s">
        <v>172</v>
      </c>
      <c r="I27" s="58" t="s">
        <v>10</v>
      </c>
      <c r="J27" s="101"/>
      <c r="K27" s="101"/>
      <c r="L27" s="68"/>
      <c r="M27" s="56" t="s">
        <v>174</v>
      </c>
      <c r="N27" s="57" t="s">
        <v>172</v>
      </c>
      <c r="O27" s="58" t="s">
        <v>10</v>
      </c>
      <c r="P27" s="101"/>
    </row>
    <row r="28" spans="1:16" x14ac:dyDescent="0.25">
      <c r="A28" s="38"/>
      <c r="B28" s="51" t="s">
        <v>160</v>
      </c>
      <c r="C28" s="69">
        <f>+E26</f>
        <v>0</v>
      </c>
      <c r="D28" s="70">
        <v>0</v>
      </c>
      <c r="E28" s="71">
        <f>+C28*D28</f>
        <v>0</v>
      </c>
      <c r="F28" s="100"/>
      <c r="G28" s="69">
        <f>+I26</f>
        <v>0</v>
      </c>
      <c r="H28" s="70">
        <v>0</v>
      </c>
      <c r="I28" s="71">
        <f>+G28*H28</f>
        <v>0</v>
      </c>
      <c r="J28" s="100"/>
      <c r="K28" s="100"/>
      <c r="L28" s="51" t="s">
        <v>269</v>
      </c>
      <c r="M28" s="69">
        <f>+O26</f>
        <v>0</v>
      </c>
      <c r="N28" s="70">
        <v>0</v>
      </c>
      <c r="O28" s="71">
        <f>+M28*N28</f>
        <v>0</v>
      </c>
      <c r="P28" s="100"/>
    </row>
    <row r="29" spans="1:16" x14ac:dyDescent="0.25">
      <c r="A29" s="38"/>
      <c r="B29" s="51" t="s">
        <v>161</v>
      </c>
      <c r="C29" s="69">
        <f>+C28+E28</f>
        <v>0</v>
      </c>
      <c r="D29" s="70">
        <v>0</v>
      </c>
      <c r="E29" s="71">
        <f>+C29*D29</f>
        <v>0</v>
      </c>
      <c r="F29" s="100"/>
      <c r="G29" s="69">
        <f>+G28+I28</f>
        <v>0</v>
      </c>
      <c r="H29" s="70">
        <v>0</v>
      </c>
      <c r="I29" s="71">
        <f>+G29*H29</f>
        <v>0</v>
      </c>
      <c r="J29" s="100"/>
      <c r="K29" s="100"/>
      <c r="L29" s="51" t="s">
        <v>161</v>
      </c>
      <c r="M29" s="69">
        <f>+M28+O28</f>
        <v>0</v>
      </c>
      <c r="N29" s="70">
        <v>0</v>
      </c>
      <c r="O29" s="71">
        <f>+M29*N29</f>
        <v>0</v>
      </c>
      <c r="P29" s="100"/>
    </row>
    <row r="30" spans="1:16" x14ac:dyDescent="0.25">
      <c r="A30" s="38"/>
      <c r="B30" s="51" t="s">
        <v>162</v>
      </c>
      <c r="C30" s="69">
        <f>+C29+E29</f>
        <v>0</v>
      </c>
      <c r="D30" s="70">
        <v>0</v>
      </c>
      <c r="E30" s="71">
        <f>+C30*D30</f>
        <v>0</v>
      </c>
      <c r="F30" s="100"/>
      <c r="G30" s="69">
        <f>+G29+I29</f>
        <v>0</v>
      </c>
      <c r="H30" s="70">
        <v>0</v>
      </c>
      <c r="I30" s="71">
        <f>+G30*H30</f>
        <v>0</v>
      </c>
      <c r="J30" s="100"/>
      <c r="K30" s="100"/>
      <c r="L30" s="51" t="s">
        <v>162</v>
      </c>
      <c r="M30" s="69">
        <f>+M29+O29</f>
        <v>0</v>
      </c>
      <c r="N30" s="70">
        <v>0</v>
      </c>
      <c r="O30" s="71">
        <f>+M30*N30</f>
        <v>0</v>
      </c>
      <c r="P30" s="100"/>
    </row>
    <row r="31" spans="1:16" x14ac:dyDescent="0.25">
      <c r="A31" s="38"/>
      <c r="B31" s="51" t="s">
        <v>163</v>
      </c>
      <c r="C31" s="69">
        <f>+C28</f>
        <v>0</v>
      </c>
      <c r="D31" s="70">
        <v>0</v>
      </c>
      <c r="E31" s="71">
        <f>+C31*D31</f>
        <v>0</v>
      </c>
      <c r="F31" s="100"/>
      <c r="G31" s="69">
        <f>+G28</f>
        <v>0</v>
      </c>
      <c r="H31" s="70">
        <v>0</v>
      </c>
      <c r="I31" s="71">
        <f>+G31*H31</f>
        <v>0</v>
      </c>
      <c r="J31" s="100"/>
      <c r="K31" s="100"/>
      <c r="L31" s="51" t="s">
        <v>163</v>
      </c>
      <c r="M31" s="69">
        <f>+M28</f>
        <v>0</v>
      </c>
      <c r="N31" s="70">
        <v>0</v>
      </c>
      <c r="O31" s="71">
        <f>+M31*N31</f>
        <v>0</v>
      </c>
      <c r="P31" s="100"/>
    </row>
    <row r="32" spans="1:16" x14ac:dyDescent="0.25">
      <c r="A32" s="38"/>
      <c r="B32" s="51" t="s">
        <v>164</v>
      </c>
      <c r="C32" s="69">
        <f>+C30+E30</f>
        <v>0</v>
      </c>
      <c r="D32" s="70">
        <v>0</v>
      </c>
      <c r="E32" s="71">
        <f>+C32*D32</f>
        <v>0</v>
      </c>
      <c r="F32" s="100"/>
      <c r="G32" s="69">
        <f>+G30+I30</f>
        <v>0</v>
      </c>
      <c r="H32" s="70">
        <v>0</v>
      </c>
      <c r="I32" s="71">
        <f>+G32*H32</f>
        <v>0</v>
      </c>
      <c r="J32" s="100"/>
      <c r="K32" s="100"/>
      <c r="L32" s="51" t="s">
        <v>164</v>
      </c>
      <c r="M32" s="69">
        <f>+M30+O30</f>
        <v>0</v>
      </c>
      <c r="N32" s="70">
        <v>0</v>
      </c>
      <c r="O32" s="71">
        <f>+M32*N32</f>
        <v>0</v>
      </c>
      <c r="P32" s="100"/>
    </row>
    <row r="33" spans="1:16" x14ac:dyDescent="0.25">
      <c r="A33" s="38"/>
      <c r="B33" s="51" t="s">
        <v>175</v>
      </c>
      <c r="C33" s="72"/>
      <c r="D33" s="73"/>
      <c r="E33" s="71">
        <f>+SUM(E26,E28,E29,E30)</f>
        <v>0</v>
      </c>
      <c r="F33" s="100"/>
      <c r="G33" s="72"/>
      <c r="H33" s="73"/>
      <c r="I33" s="71">
        <f>+SUM(I26,I28,I29,I30)</f>
        <v>0</v>
      </c>
      <c r="J33" s="100"/>
      <c r="K33" s="100"/>
      <c r="L33" s="51" t="s">
        <v>270</v>
      </c>
      <c r="M33" s="72"/>
      <c r="N33" s="73"/>
      <c r="O33" s="71">
        <f>+SUM(O26,O28,O29,O30)</f>
        <v>0</v>
      </c>
      <c r="P33" s="100"/>
    </row>
    <row r="34" spans="1:16" x14ac:dyDescent="0.25">
      <c r="A34" s="38"/>
      <c r="B34" s="51" t="s">
        <v>176</v>
      </c>
      <c r="C34" s="72"/>
      <c r="D34" s="73"/>
      <c r="E34" s="71">
        <f>+E31</f>
        <v>0</v>
      </c>
      <c r="F34" s="100"/>
      <c r="G34" s="72"/>
      <c r="H34" s="73"/>
      <c r="I34" s="71">
        <f>+I31</f>
        <v>0</v>
      </c>
      <c r="J34" s="100"/>
      <c r="K34" s="100"/>
      <c r="L34" s="51" t="s">
        <v>271</v>
      </c>
      <c r="M34" s="72"/>
      <c r="N34" s="73"/>
      <c r="O34" s="71">
        <f>+O31</f>
        <v>0</v>
      </c>
      <c r="P34" s="100"/>
    </row>
    <row r="35" spans="1:16" x14ac:dyDescent="0.25">
      <c r="A35" s="38"/>
      <c r="B35" s="51" t="s">
        <v>177</v>
      </c>
      <c r="C35" s="72"/>
      <c r="D35" s="73"/>
      <c r="E35" s="74">
        <f>+E32</f>
        <v>0</v>
      </c>
      <c r="F35" s="102"/>
      <c r="G35" s="72"/>
      <c r="H35" s="73"/>
      <c r="I35" s="74">
        <f>+I32</f>
        <v>0</v>
      </c>
      <c r="J35" s="102"/>
      <c r="K35" s="102"/>
      <c r="L35" s="51" t="s">
        <v>272</v>
      </c>
      <c r="M35" s="72"/>
      <c r="N35" s="73"/>
      <c r="O35" s="74">
        <f>+O32</f>
        <v>0</v>
      </c>
      <c r="P35" s="102"/>
    </row>
    <row r="36" spans="1:16" ht="16.5" thickBot="1" x14ac:dyDescent="0.3">
      <c r="A36" s="38"/>
      <c r="B36" s="52" t="s">
        <v>178</v>
      </c>
      <c r="C36" s="75"/>
      <c r="D36" s="76"/>
      <c r="E36" s="77">
        <f>SUM(E33:E35)</f>
        <v>0</v>
      </c>
      <c r="F36" s="103"/>
      <c r="G36" s="75"/>
      <c r="H36" s="76"/>
      <c r="I36" s="77">
        <f>SUM(I33:I35)</f>
        <v>0</v>
      </c>
      <c r="J36" s="103"/>
      <c r="K36" s="103"/>
      <c r="L36" s="52" t="s">
        <v>273</v>
      </c>
      <c r="M36" s="75"/>
      <c r="N36" s="76"/>
      <c r="O36" s="77">
        <f>SUM(O33:O35)</f>
        <v>0</v>
      </c>
      <c r="P36" s="103"/>
    </row>
    <row r="37" spans="1:16" x14ac:dyDescent="0.25">
      <c r="A37" s="38"/>
      <c r="B37" s="41"/>
      <c r="C37" s="78"/>
      <c r="D37" s="78"/>
      <c r="E37" s="78"/>
      <c r="F37" s="104"/>
      <c r="G37" s="78"/>
      <c r="H37" s="78"/>
      <c r="I37" s="78"/>
      <c r="J37" s="104"/>
      <c r="K37" s="104"/>
      <c r="L37" s="41"/>
      <c r="M37" s="78"/>
      <c r="N37" s="78"/>
      <c r="O37" s="78"/>
      <c r="P37" s="104"/>
    </row>
    <row r="38" spans="1:16" ht="16.5" thickBot="1" x14ac:dyDescent="0.3">
      <c r="A38" s="38"/>
      <c r="C38" s="37"/>
      <c r="D38" s="37"/>
      <c r="E38" s="37"/>
      <c r="F38" s="105"/>
      <c r="G38" s="37"/>
      <c r="H38" s="37"/>
      <c r="I38" s="37"/>
      <c r="J38" s="105"/>
      <c r="K38" s="105"/>
      <c r="L38" s="37"/>
      <c r="M38" s="37"/>
      <c r="N38" s="37"/>
      <c r="O38" s="37"/>
      <c r="P38" s="105"/>
    </row>
    <row r="39" spans="1:16" ht="16.5" thickBot="1" x14ac:dyDescent="0.3">
      <c r="A39" s="38"/>
      <c r="B39" s="189" t="str">
        <f>B10</f>
        <v xml:space="preserve">CLINs 0005 &amp; 1005: CPFF </v>
      </c>
      <c r="C39" s="186" t="s">
        <v>179</v>
      </c>
      <c r="D39" s="187"/>
      <c r="E39" s="188"/>
      <c r="F39" s="106"/>
      <c r="G39" s="186" t="s">
        <v>179</v>
      </c>
      <c r="H39" s="187"/>
      <c r="I39" s="188"/>
      <c r="J39" s="106"/>
      <c r="K39" s="106"/>
      <c r="L39" s="149"/>
      <c r="M39" s="186" t="s">
        <v>179</v>
      </c>
      <c r="N39" s="187"/>
      <c r="O39" s="188"/>
      <c r="P39" s="106"/>
    </row>
    <row r="40" spans="1:16" ht="16.5" thickBot="1" x14ac:dyDescent="0.3">
      <c r="A40" s="38"/>
      <c r="B40" s="190"/>
      <c r="C40" s="129" t="str">
        <f>C11</f>
        <v>0005: F-15 I-Level Fault Isolation Tester design and digital development - Basic Period</v>
      </c>
      <c r="D40" s="130"/>
      <c r="E40" s="131"/>
      <c r="F40" s="107"/>
      <c r="G40" s="132" t="str">
        <f>G11</f>
        <v>1005: F-15 I-Level Fault Isolation Tester EMD - Option Period 1</v>
      </c>
      <c r="H40" s="133"/>
      <c r="I40" s="134"/>
      <c r="J40" s="107"/>
      <c r="K40" s="107"/>
      <c r="L40" s="150"/>
      <c r="M40" s="132" t="str">
        <f>M11</f>
        <v>2005: A-10 I-Level Fault Isolation Tester EMD - Option Period 2</v>
      </c>
      <c r="N40" s="133"/>
      <c r="O40" s="134"/>
      <c r="P40" s="107"/>
    </row>
    <row r="41" spans="1:16" x14ac:dyDescent="0.25">
      <c r="A41" s="38"/>
      <c r="B41" s="79"/>
      <c r="C41" s="56" t="s">
        <v>174</v>
      </c>
      <c r="D41" s="57" t="s">
        <v>172</v>
      </c>
      <c r="E41" s="58" t="s">
        <v>10</v>
      </c>
      <c r="F41" s="101"/>
      <c r="G41" s="56" t="s">
        <v>174</v>
      </c>
      <c r="H41" s="57" t="s">
        <v>172</v>
      </c>
      <c r="I41" s="58" t="s">
        <v>10</v>
      </c>
      <c r="J41" s="101"/>
      <c r="K41" s="101"/>
      <c r="L41" s="79"/>
      <c r="M41" s="56" t="s">
        <v>174</v>
      </c>
      <c r="N41" s="57" t="s">
        <v>172</v>
      </c>
      <c r="O41" s="58" t="s">
        <v>10</v>
      </c>
      <c r="P41" s="101"/>
    </row>
    <row r="42" spans="1:16" x14ac:dyDescent="0.25">
      <c r="A42" s="38"/>
      <c r="B42" s="80" t="s">
        <v>180</v>
      </c>
      <c r="C42" s="81"/>
      <c r="D42" s="82"/>
      <c r="E42" s="83"/>
      <c r="F42" s="100"/>
      <c r="G42" s="81"/>
      <c r="H42" s="82"/>
      <c r="I42" s="83"/>
      <c r="J42" s="100"/>
      <c r="K42" s="100"/>
      <c r="L42" s="80" t="s">
        <v>180</v>
      </c>
      <c r="M42" s="81"/>
      <c r="N42" s="82"/>
      <c r="O42" s="83"/>
      <c r="P42" s="100"/>
    </row>
    <row r="43" spans="1:16" x14ac:dyDescent="0.25">
      <c r="A43" s="38"/>
      <c r="B43" s="51" t="s">
        <v>161</v>
      </c>
      <c r="C43" s="69">
        <f>+E42</f>
        <v>0</v>
      </c>
      <c r="D43" s="70">
        <v>0</v>
      </c>
      <c r="E43" s="71">
        <f>+C43*D43</f>
        <v>0</v>
      </c>
      <c r="F43" s="108"/>
      <c r="G43" s="69">
        <f>+I42</f>
        <v>0</v>
      </c>
      <c r="H43" s="70">
        <v>0</v>
      </c>
      <c r="I43" s="71">
        <f>+G43*H43</f>
        <v>0</v>
      </c>
      <c r="J43" s="108"/>
      <c r="K43" s="108"/>
      <c r="L43" s="51" t="s">
        <v>161</v>
      </c>
      <c r="M43" s="69">
        <f>+O42</f>
        <v>0</v>
      </c>
      <c r="N43" s="70">
        <v>0</v>
      </c>
      <c r="O43" s="71">
        <f>+M43*N43</f>
        <v>0</v>
      </c>
      <c r="P43" s="108"/>
    </row>
    <row r="44" spans="1:16" x14ac:dyDescent="0.25">
      <c r="A44" s="38"/>
      <c r="B44" s="51" t="s">
        <v>162</v>
      </c>
      <c r="C44" s="69">
        <f>+C43+E43</f>
        <v>0</v>
      </c>
      <c r="D44" s="70">
        <v>0</v>
      </c>
      <c r="E44" s="71">
        <f>+C44*D44</f>
        <v>0</v>
      </c>
      <c r="F44" s="108"/>
      <c r="G44" s="69">
        <f>+G43+I43</f>
        <v>0</v>
      </c>
      <c r="H44" s="70">
        <v>0</v>
      </c>
      <c r="I44" s="71">
        <f>+G44*H44</f>
        <v>0</v>
      </c>
      <c r="J44" s="108"/>
      <c r="K44" s="108"/>
      <c r="L44" s="51" t="s">
        <v>162</v>
      </c>
      <c r="M44" s="69">
        <f>+M43+O43</f>
        <v>0</v>
      </c>
      <c r="N44" s="70">
        <v>0</v>
      </c>
      <c r="O44" s="71">
        <f>+M44*N44</f>
        <v>0</v>
      </c>
      <c r="P44" s="108"/>
    </row>
    <row r="45" spans="1:16" x14ac:dyDescent="0.25">
      <c r="A45" s="38"/>
      <c r="B45" s="51" t="s">
        <v>163</v>
      </c>
      <c r="C45" s="69">
        <f>+C43</f>
        <v>0</v>
      </c>
      <c r="D45" s="70">
        <v>0</v>
      </c>
      <c r="E45" s="71">
        <f>+C45*D45</f>
        <v>0</v>
      </c>
      <c r="F45" s="100"/>
      <c r="G45" s="69">
        <f>+G43</f>
        <v>0</v>
      </c>
      <c r="H45" s="70">
        <v>0</v>
      </c>
      <c r="I45" s="71">
        <f>+G45*H45</f>
        <v>0</v>
      </c>
      <c r="J45" s="100"/>
      <c r="K45" s="100"/>
      <c r="L45" s="51" t="s">
        <v>163</v>
      </c>
      <c r="M45" s="69">
        <f>+M43</f>
        <v>0</v>
      </c>
      <c r="N45" s="70">
        <v>0</v>
      </c>
      <c r="O45" s="71">
        <f>+M45*N45</f>
        <v>0</v>
      </c>
      <c r="P45" s="100"/>
    </row>
    <row r="46" spans="1:16" x14ac:dyDescent="0.25">
      <c r="A46" s="38"/>
      <c r="B46" s="51" t="s">
        <v>164</v>
      </c>
      <c r="C46" s="69">
        <f>+C44+E44</f>
        <v>0</v>
      </c>
      <c r="D46" s="70">
        <v>0</v>
      </c>
      <c r="E46" s="71">
        <f>+C46*D46</f>
        <v>0</v>
      </c>
      <c r="F46" s="100"/>
      <c r="G46" s="69">
        <f>+G44+I44</f>
        <v>0</v>
      </c>
      <c r="H46" s="70">
        <v>0</v>
      </c>
      <c r="I46" s="71">
        <f>+G46*H46</f>
        <v>0</v>
      </c>
      <c r="J46" s="100"/>
      <c r="K46" s="100"/>
      <c r="L46" s="51" t="s">
        <v>164</v>
      </c>
      <c r="M46" s="69">
        <f>+M44+O44</f>
        <v>0</v>
      </c>
      <c r="N46" s="70">
        <v>0</v>
      </c>
      <c r="O46" s="71">
        <f>+M46*N46</f>
        <v>0</v>
      </c>
      <c r="P46" s="100"/>
    </row>
    <row r="47" spans="1:16" x14ac:dyDescent="0.25">
      <c r="A47" s="38"/>
      <c r="B47" s="51" t="s">
        <v>175</v>
      </c>
      <c r="C47" s="84"/>
      <c r="D47" s="85"/>
      <c r="E47" s="71">
        <f>+ROUND(SUM(E42:E44),0)</f>
        <v>0</v>
      </c>
      <c r="F47" s="100"/>
      <c r="G47" s="84"/>
      <c r="H47" s="85"/>
      <c r="I47" s="71">
        <f>+ROUND(SUM(I42:I44),0)</f>
        <v>0</v>
      </c>
      <c r="J47" s="100"/>
      <c r="K47" s="100"/>
      <c r="L47" s="51" t="s">
        <v>270</v>
      </c>
      <c r="M47" s="84"/>
      <c r="N47" s="85"/>
      <c r="O47" s="71">
        <f>+ROUND(SUM(O42:O44),0)</f>
        <v>0</v>
      </c>
      <c r="P47" s="100"/>
    </row>
    <row r="48" spans="1:16" x14ac:dyDescent="0.25">
      <c r="A48" s="38"/>
      <c r="B48" s="51" t="s">
        <v>176</v>
      </c>
      <c r="C48" s="81"/>
      <c r="D48" s="86"/>
      <c r="E48" s="71">
        <f>+ROUND(E45,0)</f>
        <v>0</v>
      </c>
      <c r="F48" s="100"/>
      <c r="G48" s="81"/>
      <c r="H48" s="86"/>
      <c r="I48" s="71">
        <f>+ROUND(I45,0)</f>
        <v>0</v>
      </c>
      <c r="J48" s="100"/>
      <c r="K48" s="100"/>
      <c r="L48" s="51" t="s">
        <v>271</v>
      </c>
      <c r="M48" s="81"/>
      <c r="N48" s="86"/>
      <c r="O48" s="71">
        <f>+ROUND(O45,0)</f>
        <v>0</v>
      </c>
      <c r="P48" s="100"/>
    </row>
    <row r="49" spans="1:16" x14ac:dyDescent="0.25">
      <c r="B49" s="51" t="s">
        <v>177</v>
      </c>
      <c r="C49" s="81"/>
      <c r="D49" s="86"/>
      <c r="E49" s="87">
        <f>+ROUND(E46,0)</f>
        <v>0</v>
      </c>
      <c r="F49" s="109"/>
      <c r="G49" s="81"/>
      <c r="H49" s="86"/>
      <c r="I49" s="87">
        <f>+ROUND(I46,0)</f>
        <v>0</v>
      </c>
      <c r="J49" s="109"/>
      <c r="K49" s="109"/>
      <c r="L49" s="51" t="s">
        <v>272</v>
      </c>
      <c r="M49" s="81"/>
      <c r="N49" s="86"/>
      <c r="O49" s="87">
        <f>+ROUND(O46,0)</f>
        <v>0</v>
      </c>
      <c r="P49" s="109"/>
    </row>
    <row r="50" spans="1:16" ht="16.5" thickBot="1" x14ac:dyDescent="0.3">
      <c r="B50" s="52" t="s">
        <v>178</v>
      </c>
      <c r="C50" s="112"/>
      <c r="D50" s="88"/>
      <c r="E50" s="64">
        <f t="shared" ref="E50" si="3">SUM(E47:E49)</f>
        <v>0</v>
      </c>
      <c r="F50" s="99"/>
      <c r="G50" s="112"/>
      <c r="H50" s="88"/>
      <c r="I50" s="64">
        <f t="shared" ref="I50" si="4">SUM(I47:I49)</f>
        <v>0</v>
      </c>
      <c r="J50" s="99"/>
      <c r="K50" s="99"/>
      <c r="L50" s="52" t="s">
        <v>273</v>
      </c>
      <c r="M50" s="112"/>
      <c r="N50" s="88"/>
      <c r="O50" s="64">
        <f t="shared" ref="O50" si="5">SUM(O47:O49)</f>
        <v>0</v>
      </c>
      <c r="P50" s="99"/>
    </row>
    <row r="51" spans="1:16" ht="16.5" thickBot="1" x14ac:dyDescent="0.3">
      <c r="B51" s="41"/>
      <c r="F51" s="110"/>
      <c r="J51" s="110"/>
      <c r="K51" s="110"/>
      <c r="L51" s="41"/>
      <c r="P51" s="110"/>
    </row>
    <row r="52" spans="1:16" ht="16.5" thickBot="1" x14ac:dyDescent="0.3">
      <c r="A52" s="38"/>
      <c r="B52" s="189" t="str">
        <f>B39</f>
        <v xml:space="preserve">CLINs 0005 &amp; 1005: CPFF </v>
      </c>
      <c r="C52" s="186" t="s">
        <v>181</v>
      </c>
      <c r="D52" s="187"/>
      <c r="E52" s="188"/>
      <c r="F52" s="106"/>
      <c r="G52" s="186" t="s">
        <v>181</v>
      </c>
      <c r="H52" s="187"/>
      <c r="I52" s="188"/>
      <c r="J52" s="106"/>
      <c r="K52" s="106"/>
      <c r="L52" s="149"/>
      <c r="M52" s="186" t="s">
        <v>181</v>
      </c>
      <c r="N52" s="187"/>
      <c r="O52" s="188"/>
      <c r="P52" s="106"/>
    </row>
    <row r="53" spans="1:16" ht="16.5" thickBot="1" x14ac:dyDescent="0.3">
      <c r="A53" s="38"/>
      <c r="B53" s="190"/>
      <c r="C53" s="129" t="str">
        <f>C40</f>
        <v>0005: F-15 I-Level Fault Isolation Tester design and digital development - Basic Period</v>
      </c>
      <c r="D53" s="130"/>
      <c r="E53" s="131"/>
      <c r="F53" s="107"/>
      <c r="G53" s="132" t="str">
        <f>G40</f>
        <v>1005: F-15 I-Level Fault Isolation Tester EMD - Option Period 1</v>
      </c>
      <c r="H53" s="133"/>
      <c r="I53" s="134"/>
      <c r="J53" s="107"/>
      <c r="K53" s="107"/>
      <c r="L53" s="150"/>
      <c r="M53" s="132" t="str">
        <f>M40</f>
        <v>2005: A-10 I-Level Fault Isolation Tester EMD - Option Period 2</v>
      </c>
      <c r="N53" s="133"/>
      <c r="O53" s="134"/>
      <c r="P53" s="107"/>
    </row>
    <row r="54" spans="1:16" x14ac:dyDescent="0.25">
      <c r="A54" s="38"/>
      <c r="B54" s="79"/>
      <c r="C54" s="56" t="s">
        <v>174</v>
      </c>
      <c r="D54" s="57" t="s">
        <v>172</v>
      </c>
      <c r="E54" s="58" t="s">
        <v>10</v>
      </c>
      <c r="F54" s="101"/>
      <c r="G54" s="56" t="s">
        <v>174</v>
      </c>
      <c r="H54" s="57" t="s">
        <v>172</v>
      </c>
      <c r="I54" s="58" t="s">
        <v>10</v>
      </c>
      <c r="J54" s="101"/>
      <c r="K54" s="101"/>
      <c r="L54" s="79"/>
      <c r="M54" s="56" t="s">
        <v>174</v>
      </c>
      <c r="N54" s="57" t="s">
        <v>172</v>
      </c>
      <c r="O54" s="58" t="s">
        <v>10</v>
      </c>
      <c r="P54" s="101"/>
    </row>
    <row r="55" spans="1:16" x14ac:dyDescent="0.25">
      <c r="A55" s="38"/>
      <c r="B55" s="80" t="s">
        <v>182</v>
      </c>
      <c r="C55" s="81"/>
      <c r="D55" s="82"/>
      <c r="E55" s="83"/>
      <c r="F55" s="100"/>
      <c r="G55" s="81"/>
      <c r="H55" s="82"/>
      <c r="I55" s="83"/>
      <c r="J55" s="100"/>
      <c r="K55" s="100"/>
      <c r="L55" s="80" t="s">
        <v>182</v>
      </c>
      <c r="M55" s="81"/>
      <c r="N55" s="82"/>
      <c r="O55" s="83"/>
      <c r="P55" s="100"/>
    </row>
    <row r="56" spans="1:16" x14ac:dyDescent="0.25">
      <c r="A56" s="38"/>
      <c r="B56" s="51" t="s">
        <v>161</v>
      </c>
      <c r="C56" s="69">
        <f>+E55</f>
        <v>0</v>
      </c>
      <c r="D56" s="70">
        <v>0</v>
      </c>
      <c r="E56" s="71">
        <f>+C56*D56</f>
        <v>0</v>
      </c>
      <c r="F56" s="108"/>
      <c r="G56" s="69">
        <f>+I55</f>
        <v>0</v>
      </c>
      <c r="H56" s="70">
        <v>0</v>
      </c>
      <c r="I56" s="71">
        <f>+G56*H56</f>
        <v>0</v>
      </c>
      <c r="J56" s="108"/>
      <c r="K56" s="108"/>
      <c r="L56" s="51" t="s">
        <v>161</v>
      </c>
      <c r="M56" s="69">
        <f>+O55</f>
        <v>0</v>
      </c>
      <c r="N56" s="70">
        <v>0</v>
      </c>
      <c r="O56" s="71">
        <f>+M56*N56</f>
        <v>0</v>
      </c>
      <c r="P56" s="108"/>
    </row>
    <row r="57" spans="1:16" x14ac:dyDescent="0.25">
      <c r="A57" s="38"/>
      <c r="B57" s="51" t="s">
        <v>162</v>
      </c>
      <c r="C57" s="69">
        <f>+C56+E56</f>
        <v>0</v>
      </c>
      <c r="D57" s="70">
        <v>0</v>
      </c>
      <c r="E57" s="71">
        <f>+C57*D57</f>
        <v>0</v>
      </c>
      <c r="F57" s="108"/>
      <c r="G57" s="69">
        <f>+G56+I56</f>
        <v>0</v>
      </c>
      <c r="H57" s="70">
        <v>0</v>
      </c>
      <c r="I57" s="71">
        <f>+G57*H57</f>
        <v>0</v>
      </c>
      <c r="J57" s="108"/>
      <c r="K57" s="108"/>
      <c r="L57" s="51" t="s">
        <v>162</v>
      </c>
      <c r="M57" s="69">
        <f>+M56+O56</f>
        <v>0</v>
      </c>
      <c r="N57" s="70">
        <v>0</v>
      </c>
      <c r="O57" s="71">
        <f>+M57*N57</f>
        <v>0</v>
      </c>
      <c r="P57" s="108"/>
    </row>
    <row r="58" spans="1:16" x14ac:dyDescent="0.25">
      <c r="A58" s="38"/>
      <c r="B58" s="51" t="s">
        <v>163</v>
      </c>
      <c r="C58" s="69">
        <f>+C56</f>
        <v>0</v>
      </c>
      <c r="D58" s="70">
        <v>0</v>
      </c>
      <c r="E58" s="71">
        <f>+C58*D58</f>
        <v>0</v>
      </c>
      <c r="F58" s="100"/>
      <c r="G58" s="69">
        <f>+G56</f>
        <v>0</v>
      </c>
      <c r="H58" s="70">
        <v>0</v>
      </c>
      <c r="I58" s="71">
        <f>+G58*H58</f>
        <v>0</v>
      </c>
      <c r="J58" s="100"/>
      <c r="K58" s="100"/>
      <c r="L58" s="51" t="s">
        <v>163</v>
      </c>
      <c r="M58" s="69">
        <f>+M56</f>
        <v>0</v>
      </c>
      <c r="N58" s="70">
        <v>0</v>
      </c>
      <c r="O58" s="71">
        <f>+M58*N58</f>
        <v>0</v>
      </c>
      <c r="P58" s="100"/>
    </row>
    <row r="59" spans="1:16" x14ac:dyDescent="0.25">
      <c r="A59" s="38"/>
      <c r="B59" s="51" t="s">
        <v>164</v>
      </c>
      <c r="C59" s="69">
        <f>+C57+E57</f>
        <v>0</v>
      </c>
      <c r="D59" s="70">
        <v>0</v>
      </c>
      <c r="E59" s="71">
        <f>+C59*D59</f>
        <v>0</v>
      </c>
      <c r="F59" s="100"/>
      <c r="G59" s="69">
        <f>+G57+I57</f>
        <v>0</v>
      </c>
      <c r="H59" s="70">
        <v>0</v>
      </c>
      <c r="I59" s="71">
        <f>+G59*H59</f>
        <v>0</v>
      </c>
      <c r="J59" s="100"/>
      <c r="K59" s="100"/>
      <c r="L59" s="51" t="s">
        <v>164</v>
      </c>
      <c r="M59" s="69">
        <f>+M57+O57</f>
        <v>0</v>
      </c>
      <c r="N59" s="70">
        <v>0</v>
      </c>
      <c r="O59" s="71">
        <f>+M59*N59</f>
        <v>0</v>
      </c>
      <c r="P59" s="100"/>
    </row>
    <row r="60" spans="1:16" x14ac:dyDescent="0.25">
      <c r="A60" s="38"/>
      <c r="B60" s="51" t="s">
        <v>175</v>
      </c>
      <c r="C60" s="84"/>
      <c r="D60" s="85"/>
      <c r="E60" s="71">
        <f>+ROUND(SUM(E55:E57),0)</f>
        <v>0</v>
      </c>
      <c r="F60" s="100"/>
      <c r="G60" s="84"/>
      <c r="H60" s="85"/>
      <c r="I60" s="71">
        <f>+ROUND(SUM(I55:I57),0)</f>
        <v>0</v>
      </c>
      <c r="J60" s="100"/>
      <c r="K60" s="100"/>
      <c r="L60" s="51" t="s">
        <v>270</v>
      </c>
      <c r="M60" s="84"/>
      <c r="N60" s="85"/>
      <c r="O60" s="71">
        <f>+ROUND(SUM(O55:O57),0)</f>
        <v>0</v>
      </c>
      <c r="P60" s="100"/>
    </row>
    <row r="61" spans="1:16" x14ac:dyDescent="0.25">
      <c r="A61" s="38"/>
      <c r="B61" s="51" t="s">
        <v>176</v>
      </c>
      <c r="C61" s="81"/>
      <c r="D61" s="86"/>
      <c r="E61" s="71">
        <f>+ROUND(E58,0)</f>
        <v>0</v>
      </c>
      <c r="F61" s="100"/>
      <c r="G61" s="81"/>
      <c r="H61" s="86"/>
      <c r="I61" s="71">
        <f>+ROUND(I58,0)</f>
        <v>0</v>
      </c>
      <c r="J61" s="100"/>
      <c r="K61" s="100"/>
      <c r="L61" s="51" t="s">
        <v>271</v>
      </c>
      <c r="M61" s="81"/>
      <c r="N61" s="86"/>
      <c r="O61" s="71">
        <f>+ROUND(O58,0)</f>
        <v>0</v>
      </c>
      <c r="P61" s="100"/>
    </row>
    <row r="62" spans="1:16" x14ac:dyDescent="0.25">
      <c r="B62" s="51" t="s">
        <v>177</v>
      </c>
      <c r="C62" s="81"/>
      <c r="D62" s="86"/>
      <c r="E62" s="87">
        <f>+ROUND(E59,0)</f>
        <v>0</v>
      </c>
      <c r="F62" s="109"/>
      <c r="G62" s="81"/>
      <c r="H62" s="86"/>
      <c r="I62" s="87">
        <f>+ROUND(I59,0)</f>
        <v>0</v>
      </c>
      <c r="J62" s="109"/>
      <c r="K62" s="109"/>
      <c r="L62" s="51" t="s">
        <v>272</v>
      </c>
      <c r="M62" s="81"/>
      <c r="N62" s="86"/>
      <c r="O62" s="87">
        <f>+ROUND(O59,0)</f>
        <v>0</v>
      </c>
      <c r="P62" s="109"/>
    </row>
    <row r="63" spans="1:16" ht="16.5" thickBot="1" x14ac:dyDescent="0.3">
      <c r="B63" s="52" t="s">
        <v>178</v>
      </c>
      <c r="C63" s="112"/>
      <c r="D63" s="88"/>
      <c r="E63" s="64">
        <f t="shared" ref="E63" si="6">SUM(E60:E62)</f>
        <v>0</v>
      </c>
      <c r="F63" s="99"/>
      <c r="G63" s="112"/>
      <c r="H63" s="88"/>
      <c r="I63" s="64">
        <f t="shared" ref="I63" si="7">SUM(I60:I62)</f>
        <v>0</v>
      </c>
      <c r="J63" s="99"/>
      <c r="K63" s="99"/>
      <c r="L63" s="52" t="s">
        <v>273</v>
      </c>
      <c r="M63" s="112"/>
      <c r="N63" s="88"/>
      <c r="O63" s="64">
        <f t="shared" ref="O63" si="8">SUM(O60:O62)</f>
        <v>0</v>
      </c>
      <c r="P63" s="99"/>
    </row>
    <row r="64" spans="1:16" x14ac:dyDescent="0.25">
      <c r="B64" s="41"/>
      <c r="F64" s="110"/>
      <c r="J64" s="110"/>
      <c r="K64" s="110"/>
      <c r="L64" s="41"/>
      <c r="P64" s="110"/>
    </row>
    <row r="65" spans="2:16" ht="16.5" thickBot="1" x14ac:dyDescent="0.3">
      <c r="F65" s="110"/>
      <c r="J65" s="110"/>
      <c r="K65" s="110"/>
      <c r="L65" s="37"/>
      <c r="P65" s="110"/>
    </row>
    <row r="66" spans="2:16" ht="16.5" thickBot="1" x14ac:dyDescent="0.3">
      <c r="B66" s="189" t="str">
        <f>B52</f>
        <v xml:space="preserve">CLINs 0005 &amp; 1005: CPFF </v>
      </c>
      <c r="C66" s="186" t="s">
        <v>183</v>
      </c>
      <c r="D66" s="187"/>
      <c r="E66" s="188"/>
      <c r="F66" s="106"/>
      <c r="G66" s="186" t="s">
        <v>183</v>
      </c>
      <c r="H66" s="187"/>
      <c r="I66" s="188"/>
      <c r="J66" s="106"/>
      <c r="K66" s="106"/>
      <c r="L66" s="149"/>
      <c r="M66" s="186" t="s">
        <v>183</v>
      </c>
      <c r="N66" s="187"/>
      <c r="O66" s="188"/>
      <c r="P66" s="106"/>
    </row>
    <row r="67" spans="2:16" ht="16.5" thickBot="1" x14ac:dyDescent="0.3">
      <c r="B67" s="190"/>
      <c r="C67" s="89"/>
      <c r="D67" s="55"/>
      <c r="E67" s="90" t="s">
        <v>317</v>
      </c>
      <c r="F67" s="111"/>
      <c r="G67" s="89"/>
      <c r="H67" s="55"/>
      <c r="I67" s="90" t="s">
        <v>318</v>
      </c>
      <c r="J67" s="111"/>
      <c r="K67" s="111"/>
      <c r="L67" s="150"/>
      <c r="M67" s="89"/>
      <c r="N67" s="55"/>
      <c r="O67" s="90" t="s">
        <v>319</v>
      </c>
      <c r="P67" s="111"/>
    </row>
    <row r="68" spans="2:16" x14ac:dyDescent="0.25">
      <c r="B68" s="51" t="s">
        <v>175</v>
      </c>
      <c r="C68" s="91"/>
      <c r="D68" s="91"/>
      <c r="E68" s="92">
        <f>+ROUND(E33+E47+E60,0)</f>
        <v>0</v>
      </c>
      <c r="F68" s="100"/>
      <c r="G68" s="91"/>
      <c r="H68" s="91"/>
      <c r="I68" s="92">
        <f>+ROUND(I33+I47+I60,0)</f>
        <v>0</v>
      </c>
      <c r="J68" s="100"/>
      <c r="K68" s="100"/>
      <c r="L68" s="51" t="s">
        <v>270</v>
      </c>
      <c r="M68" s="91"/>
      <c r="N68" s="91"/>
      <c r="O68" s="92">
        <f>+ROUND(O33+O47+O60,0)</f>
        <v>0</v>
      </c>
      <c r="P68" s="100"/>
    </row>
    <row r="69" spans="2:16" x14ac:dyDescent="0.25">
      <c r="B69" s="51" t="s">
        <v>176</v>
      </c>
      <c r="C69" s="91"/>
      <c r="D69" s="91"/>
      <c r="E69" s="71">
        <f>+ROUND(E34+E48+E61,0)</f>
        <v>0</v>
      </c>
      <c r="F69" s="100"/>
      <c r="G69" s="91"/>
      <c r="H69" s="91"/>
      <c r="I69" s="71">
        <f>+ROUND(I34+I48+I61,0)</f>
        <v>0</v>
      </c>
      <c r="J69" s="100"/>
      <c r="K69" s="100"/>
      <c r="L69" s="51" t="s">
        <v>271</v>
      </c>
      <c r="M69" s="91"/>
      <c r="N69" s="91"/>
      <c r="O69" s="71">
        <f>+ROUND(O34+O48+O61,0)</f>
        <v>0</v>
      </c>
      <c r="P69" s="100"/>
    </row>
    <row r="70" spans="2:16" x14ac:dyDescent="0.25">
      <c r="B70" s="51" t="s">
        <v>177</v>
      </c>
      <c r="C70" s="91"/>
      <c r="D70" s="91"/>
      <c r="E70" s="74">
        <f>+ROUND(E35+E49+E62,0)</f>
        <v>0</v>
      </c>
      <c r="F70" s="102"/>
      <c r="G70" s="91"/>
      <c r="H70" s="91"/>
      <c r="I70" s="74">
        <f>+ROUND(I35+I49+I62,0)</f>
        <v>0</v>
      </c>
      <c r="J70" s="102"/>
      <c r="K70" s="102"/>
      <c r="L70" s="51" t="s">
        <v>272</v>
      </c>
      <c r="M70" s="91"/>
      <c r="N70" s="91"/>
      <c r="O70" s="74">
        <f>+ROUND(O35+O49+O62,0)</f>
        <v>0</v>
      </c>
      <c r="P70" s="102"/>
    </row>
    <row r="71" spans="2:16" ht="16.5" thickBot="1" x14ac:dyDescent="0.3">
      <c r="B71" s="52" t="s">
        <v>178</v>
      </c>
      <c r="C71" s="93"/>
      <c r="D71" s="93"/>
      <c r="E71" s="77">
        <f>SUM(E68:E70)</f>
        <v>0</v>
      </c>
      <c r="F71" s="103"/>
      <c r="G71" s="93"/>
      <c r="H71" s="93"/>
      <c r="I71" s="77">
        <f>SUM(I68:I70)</f>
        <v>0</v>
      </c>
      <c r="J71" s="103"/>
      <c r="K71" s="103"/>
      <c r="L71" s="52" t="s">
        <v>273</v>
      </c>
      <c r="M71" s="93"/>
      <c r="N71" s="93"/>
      <c r="O71" s="77">
        <f>SUM(O68:O70)</f>
        <v>0</v>
      </c>
      <c r="P71" s="103"/>
    </row>
  </sheetData>
  <mergeCells count="17">
    <mergeCell ref="B10:B11"/>
    <mergeCell ref="C10:E10"/>
    <mergeCell ref="G10:I10"/>
    <mergeCell ref="L10:L11"/>
    <mergeCell ref="M10:O10"/>
    <mergeCell ref="B66:B67"/>
    <mergeCell ref="C66:E66"/>
    <mergeCell ref="G66:I66"/>
    <mergeCell ref="M66:O66"/>
    <mergeCell ref="B39:B40"/>
    <mergeCell ref="C39:E39"/>
    <mergeCell ref="G39:I39"/>
    <mergeCell ref="M39:O39"/>
    <mergeCell ref="B52:B53"/>
    <mergeCell ref="C52:E52"/>
    <mergeCell ref="G52:I52"/>
    <mergeCell ref="M52:O52"/>
  </mergeCells>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BACA1-8B2F-4AA9-A9B4-968F47CDC4FC}">
  <sheetPr>
    <tabColor theme="9" tint="0.79998168889431442"/>
  </sheetPr>
  <dimension ref="A1:J71"/>
  <sheetViews>
    <sheetView topLeftCell="A36" zoomScale="85" zoomScaleNormal="85" workbookViewId="0">
      <selection activeCell="B2" sqref="B2:G7"/>
    </sheetView>
  </sheetViews>
  <sheetFormatPr defaultColWidth="15.85546875" defaultRowHeight="15.75" x14ac:dyDescent="0.25"/>
  <cols>
    <col min="1" max="1" width="3.42578125" style="33" customWidth="1"/>
    <col min="2" max="2" width="49.140625" style="37" customWidth="1"/>
    <col min="3" max="3" width="32.85546875" style="35" customWidth="1"/>
    <col min="4" max="4" width="28.85546875" style="35" customWidth="1"/>
    <col min="5" max="5" width="40.140625" style="35" customWidth="1"/>
    <col min="6" max="6" width="3.140625" style="35" customWidth="1"/>
    <col min="7" max="7" width="28.28515625" style="35" customWidth="1"/>
    <col min="8" max="8" width="25.42578125" style="35" customWidth="1"/>
    <col min="9" max="9" width="35.42578125" style="35" customWidth="1"/>
    <col min="10" max="10" width="3.140625" style="35" customWidth="1"/>
    <col min="11" max="16384" width="15.85546875" style="35"/>
  </cols>
  <sheetData>
    <row r="1" spans="1:10" x14ac:dyDescent="0.2">
      <c r="B1" s="34" t="s">
        <v>147</v>
      </c>
    </row>
    <row r="2" spans="1:10" x14ac:dyDescent="0.25">
      <c r="A2" s="36"/>
      <c r="B2" s="153" t="s">
        <v>167</v>
      </c>
      <c r="C2" s="94"/>
      <c r="D2" s="94"/>
      <c r="E2" s="94"/>
      <c r="F2" s="94"/>
      <c r="G2" s="94"/>
      <c r="H2" s="94"/>
      <c r="I2" s="94"/>
      <c r="J2" s="94"/>
    </row>
    <row r="3" spans="1:10" x14ac:dyDescent="0.25">
      <c r="A3" s="36"/>
      <c r="B3" s="153" t="s">
        <v>355</v>
      </c>
      <c r="C3" s="94"/>
      <c r="D3" s="94"/>
      <c r="E3" s="94"/>
      <c r="F3" s="94"/>
      <c r="G3" s="94"/>
      <c r="H3" s="94"/>
      <c r="I3" s="94"/>
      <c r="J3" s="94"/>
    </row>
    <row r="4" spans="1:10" x14ac:dyDescent="0.25">
      <c r="A4" s="36"/>
      <c r="B4" s="153" t="s">
        <v>356</v>
      </c>
      <c r="C4" s="94"/>
      <c r="D4" s="94"/>
      <c r="E4" s="94"/>
      <c r="F4" s="94"/>
      <c r="G4" s="94"/>
      <c r="H4" s="94"/>
      <c r="I4" s="94"/>
      <c r="J4" s="94"/>
    </row>
    <row r="5" spans="1:10" x14ac:dyDescent="0.25">
      <c r="A5" s="36"/>
      <c r="B5" s="153" t="s">
        <v>357</v>
      </c>
      <c r="C5" s="94"/>
      <c r="D5" s="94"/>
      <c r="E5" s="94"/>
      <c r="F5" s="94"/>
      <c r="G5" s="94"/>
      <c r="H5" s="94"/>
      <c r="I5" s="94"/>
      <c r="J5" s="94"/>
    </row>
    <row r="6" spans="1:10" x14ac:dyDescent="0.25">
      <c r="A6" s="36"/>
      <c r="B6" s="153" t="s">
        <v>358</v>
      </c>
      <c r="C6" s="94"/>
      <c r="D6" s="94"/>
      <c r="E6" s="94"/>
      <c r="F6" s="94"/>
      <c r="G6" s="94"/>
      <c r="H6" s="94"/>
      <c r="I6" s="94"/>
      <c r="J6" s="94"/>
    </row>
    <row r="7" spans="1:10" x14ac:dyDescent="0.25">
      <c r="A7" s="36"/>
      <c r="B7" s="153" t="s">
        <v>274</v>
      </c>
      <c r="C7" s="94"/>
      <c r="D7" s="94"/>
      <c r="E7" s="94"/>
      <c r="F7" s="94"/>
      <c r="G7" s="94"/>
      <c r="H7" s="94"/>
      <c r="I7" s="94"/>
      <c r="J7" s="94"/>
    </row>
    <row r="9" spans="1:10" ht="16.5" thickBot="1" x14ac:dyDescent="0.3"/>
    <row r="10" spans="1:10" ht="16.5" thickBot="1" x14ac:dyDescent="0.3">
      <c r="A10" s="38"/>
      <c r="B10" s="189" t="s">
        <v>321</v>
      </c>
      <c r="C10" s="186" t="s">
        <v>170</v>
      </c>
      <c r="D10" s="187"/>
      <c r="E10" s="188"/>
      <c r="F10" s="95"/>
      <c r="G10" s="186" t="s">
        <v>170</v>
      </c>
      <c r="H10" s="187"/>
      <c r="I10" s="188"/>
      <c r="J10" s="95"/>
    </row>
    <row r="11" spans="1:10" ht="16.5" thickBot="1" x14ac:dyDescent="0.3">
      <c r="A11" s="38"/>
      <c r="B11" s="190"/>
      <c r="C11" s="129" t="s">
        <v>320</v>
      </c>
      <c r="D11" s="130"/>
      <c r="E11" s="131"/>
      <c r="F11" s="96"/>
      <c r="G11" s="132" t="s">
        <v>322</v>
      </c>
      <c r="H11" s="133"/>
      <c r="I11" s="134"/>
      <c r="J11" s="96"/>
    </row>
    <row r="12" spans="1:10" x14ac:dyDescent="0.25">
      <c r="A12" s="38"/>
      <c r="B12" s="56" t="s">
        <v>157</v>
      </c>
      <c r="C12" s="56" t="s">
        <v>171</v>
      </c>
      <c r="D12" s="57" t="s">
        <v>172</v>
      </c>
      <c r="E12" s="58" t="s">
        <v>10</v>
      </c>
      <c r="F12" s="97"/>
      <c r="G12" s="56" t="s">
        <v>171</v>
      </c>
      <c r="H12" s="57" t="s">
        <v>172</v>
      </c>
      <c r="I12" s="58" t="s">
        <v>10</v>
      </c>
      <c r="J12" s="97"/>
    </row>
    <row r="13" spans="1:10" x14ac:dyDescent="0.25">
      <c r="A13" s="38"/>
      <c r="B13" s="59" t="s">
        <v>184</v>
      </c>
      <c r="C13" s="60"/>
      <c r="D13" s="61">
        <v>0</v>
      </c>
      <c r="E13" s="62">
        <f>+C13*D13</f>
        <v>0</v>
      </c>
      <c r="F13" s="98"/>
      <c r="G13" s="60"/>
      <c r="H13" s="61">
        <v>0</v>
      </c>
      <c r="I13" s="62">
        <f>+G13*H13</f>
        <v>0</v>
      </c>
      <c r="J13" s="98"/>
    </row>
    <row r="14" spans="1:10" x14ac:dyDescent="0.25">
      <c r="A14" s="38"/>
      <c r="B14" s="59" t="s">
        <v>185</v>
      </c>
      <c r="C14" s="60"/>
      <c r="D14" s="61">
        <v>0</v>
      </c>
      <c r="E14" s="62">
        <f t="shared" ref="E14:E25" si="0">+C14*D14</f>
        <v>0</v>
      </c>
      <c r="F14" s="98"/>
      <c r="G14" s="60"/>
      <c r="H14" s="61">
        <v>0</v>
      </c>
      <c r="I14" s="62">
        <f t="shared" ref="I14:I25" si="1">+G14*H14</f>
        <v>0</v>
      </c>
      <c r="J14" s="98"/>
    </row>
    <row r="15" spans="1:10" x14ac:dyDescent="0.25">
      <c r="A15" s="38"/>
      <c r="B15" s="59" t="s">
        <v>186</v>
      </c>
      <c r="C15" s="60"/>
      <c r="D15" s="61">
        <v>0</v>
      </c>
      <c r="E15" s="62">
        <f t="shared" si="0"/>
        <v>0</v>
      </c>
      <c r="F15" s="98"/>
      <c r="G15" s="60"/>
      <c r="H15" s="61">
        <v>0</v>
      </c>
      <c r="I15" s="62">
        <f t="shared" si="1"/>
        <v>0</v>
      </c>
      <c r="J15" s="98"/>
    </row>
    <row r="16" spans="1:10" x14ac:dyDescent="0.25">
      <c r="A16" s="38"/>
      <c r="B16" s="59" t="s">
        <v>187</v>
      </c>
      <c r="C16" s="60"/>
      <c r="D16" s="61">
        <v>0</v>
      </c>
      <c r="E16" s="62">
        <f t="shared" si="0"/>
        <v>0</v>
      </c>
      <c r="F16" s="98"/>
      <c r="G16" s="60"/>
      <c r="H16" s="61">
        <v>0</v>
      </c>
      <c r="I16" s="62">
        <f t="shared" si="1"/>
        <v>0</v>
      </c>
      <c r="J16" s="98"/>
    </row>
    <row r="17" spans="1:10" x14ac:dyDescent="0.25">
      <c r="A17" s="38"/>
      <c r="B17" s="59" t="s">
        <v>188</v>
      </c>
      <c r="C17" s="60"/>
      <c r="D17" s="61">
        <v>0</v>
      </c>
      <c r="E17" s="62">
        <f t="shared" si="0"/>
        <v>0</v>
      </c>
      <c r="F17" s="98"/>
      <c r="G17" s="60"/>
      <c r="H17" s="61">
        <v>0</v>
      </c>
      <c r="I17" s="62">
        <f t="shared" si="1"/>
        <v>0</v>
      </c>
      <c r="J17" s="98"/>
    </row>
    <row r="18" spans="1:10" x14ac:dyDescent="0.25">
      <c r="A18" s="38"/>
      <c r="B18" s="59" t="s">
        <v>189</v>
      </c>
      <c r="C18" s="60"/>
      <c r="D18" s="61">
        <v>0</v>
      </c>
      <c r="E18" s="62">
        <f t="shared" si="0"/>
        <v>0</v>
      </c>
      <c r="F18" s="98"/>
      <c r="G18" s="60"/>
      <c r="H18" s="61">
        <v>0</v>
      </c>
      <c r="I18" s="62">
        <f t="shared" si="1"/>
        <v>0</v>
      </c>
      <c r="J18" s="98"/>
    </row>
    <row r="19" spans="1:10" x14ac:dyDescent="0.25">
      <c r="A19" s="38"/>
      <c r="B19" s="59" t="s">
        <v>190</v>
      </c>
      <c r="C19" s="60"/>
      <c r="D19" s="61">
        <v>0</v>
      </c>
      <c r="E19" s="62">
        <f t="shared" si="0"/>
        <v>0</v>
      </c>
      <c r="F19" s="98"/>
      <c r="G19" s="60"/>
      <c r="H19" s="61">
        <v>0</v>
      </c>
      <c r="I19" s="62">
        <f t="shared" si="1"/>
        <v>0</v>
      </c>
      <c r="J19" s="98"/>
    </row>
    <row r="20" spans="1:10" x14ac:dyDescent="0.25">
      <c r="A20" s="38"/>
      <c r="B20" s="59" t="s">
        <v>191</v>
      </c>
      <c r="C20" s="60"/>
      <c r="D20" s="61">
        <v>0</v>
      </c>
      <c r="E20" s="62">
        <f t="shared" si="0"/>
        <v>0</v>
      </c>
      <c r="F20" s="98"/>
      <c r="G20" s="60"/>
      <c r="H20" s="61">
        <v>0</v>
      </c>
      <c r="I20" s="62">
        <f t="shared" si="1"/>
        <v>0</v>
      </c>
      <c r="J20" s="98"/>
    </row>
    <row r="21" spans="1:10" x14ac:dyDescent="0.25">
      <c r="A21" s="38"/>
      <c r="B21" s="59" t="s">
        <v>192</v>
      </c>
      <c r="C21" s="60"/>
      <c r="D21" s="61">
        <v>0</v>
      </c>
      <c r="E21" s="62">
        <f t="shared" si="0"/>
        <v>0</v>
      </c>
      <c r="F21" s="98"/>
      <c r="G21" s="60"/>
      <c r="H21" s="61">
        <v>0</v>
      </c>
      <c r="I21" s="62">
        <f t="shared" si="1"/>
        <v>0</v>
      </c>
      <c r="J21" s="98"/>
    </row>
    <row r="22" spans="1:10" ht="15" customHeight="1" x14ac:dyDescent="0.25">
      <c r="A22" s="38"/>
      <c r="B22" s="59" t="s">
        <v>193</v>
      </c>
      <c r="C22" s="60"/>
      <c r="D22" s="61">
        <v>0</v>
      </c>
      <c r="E22" s="62">
        <f t="shared" si="0"/>
        <v>0</v>
      </c>
      <c r="F22" s="98"/>
      <c r="G22" s="60"/>
      <c r="H22" s="61">
        <v>0</v>
      </c>
      <c r="I22" s="62">
        <f t="shared" si="1"/>
        <v>0</v>
      </c>
      <c r="J22" s="98"/>
    </row>
    <row r="23" spans="1:10" ht="15" customHeight="1" x14ac:dyDescent="0.25">
      <c r="A23" s="38"/>
      <c r="B23" s="59" t="s">
        <v>194</v>
      </c>
      <c r="C23" s="60"/>
      <c r="D23" s="61">
        <v>0</v>
      </c>
      <c r="E23" s="62">
        <f t="shared" si="0"/>
        <v>0</v>
      </c>
      <c r="F23" s="98"/>
      <c r="G23" s="60"/>
      <c r="H23" s="61">
        <v>0</v>
      </c>
      <c r="I23" s="62">
        <f t="shared" si="1"/>
        <v>0</v>
      </c>
      <c r="J23" s="98"/>
    </row>
    <row r="24" spans="1:10" ht="15" customHeight="1" x14ac:dyDescent="0.25">
      <c r="A24" s="38"/>
      <c r="B24" s="59" t="s">
        <v>195</v>
      </c>
      <c r="C24" s="60"/>
      <c r="D24" s="61">
        <v>0</v>
      </c>
      <c r="E24" s="62">
        <f t="shared" si="0"/>
        <v>0</v>
      </c>
      <c r="F24" s="98"/>
      <c r="G24" s="60"/>
      <c r="H24" s="61">
        <v>0</v>
      </c>
      <c r="I24" s="62">
        <f t="shared" si="1"/>
        <v>0</v>
      </c>
      <c r="J24" s="98"/>
    </row>
    <row r="25" spans="1:10" ht="15" customHeight="1" thickBot="1" x14ac:dyDescent="0.3">
      <c r="A25" s="38"/>
      <c r="B25" s="59" t="s">
        <v>196</v>
      </c>
      <c r="C25" s="63"/>
      <c r="D25" s="39">
        <v>0</v>
      </c>
      <c r="E25" s="64">
        <f t="shared" si="0"/>
        <v>0</v>
      </c>
      <c r="F25" s="99"/>
      <c r="G25" s="63"/>
      <c r="H25" s="39">
        <v>0</v>
      </c>
      <c r="I25" s="64">
        <f t="shared" si="1"/>
        <v>0</v>
      </c>
      <c r="J25" s="99"/>
    </row>
    <row r="26" spans="1:10" ht="16.5" thickBot="1" x14ac:dyDescent="0.3">
      <c r="A26" s="38"/>
      <c r="B26" s="113" t="s">
        <v>173</v>
      </c>
      <c r="C26" s="65">
        <f>SUM(C13:C25)</f>
        <v>0</v>
      </c>
      <c r="D26" s="66"/>
      <c r="E26" s="67">
        <f>SUM(E13:E25)</f>
        <v>0</v>
      </c>
      <c r="F26" s="100"/>
      <c r="G26" s="65">
        <f>SUM(G13:G25)</f>
        <v>0</v>
      </c>
      <c r="H26" s="66"/>
      <c r="I26" s="67">
        <f>SUM(I13:I25)</f>
        <v>0</v>
      </c>
      <c r="J26" s="100"/>
    </row>
    <row r="27" spans="1:10" x14ac:dyDescent="0.25">
      <c r="A27" s="38"/>
      <c r="B27" s="68"/>
      <c r="C27" s="56" t="s">
        <v>174</v>
      </c>
      <c r="D27" s="57" t="s">
        <v>172</v>
      </c>
      <c r="E27" s="58" t="s">
        <v>10</v>
      </c>
      <c r="F27" s="101"/>
      <c r="G27" s="56" t="s">
        <v>174</v>
      </c>
      <c r="H27" s="57" t="s">
        <v>172</v>
      </c>
      <c r="I27" s="58" t="s">
        <v>10</v>
      </c>
      <c r="J27" s="101"/>
    </row>
    <row r="28" spans="1:10" x14ac:dyDescent="0.25">
      <c r="A28" s="38"/>
      <c r="B28" s="51" t="s">
        <v>160</v>
      </c>
      <c r="C28" s="69">
        <f>+E26</f>
        <v>0</v>
      </c>
      <c r="D28" s="70">
        <v>0</v>
      </c>
      <c r="E28" s="71">
        <f>+C28*D28</f>
        <v>0</v>
      </c>
      <c r="F28" s="100"/>
      <c r="G28" s="69">
        <f>+I26</f>
        <v>0</v>
      </c>
      <c r="H28" s="70">
        <v>0</v>
      </c>
      <c r="I28" s="71">
        <f>+G28*H28</f>
        <v>0</v>
      </c>
      <c r="J28" s="100"/>
    </row>
    <row r="29" spans="1:10" x14ac:dyDescent="0.25">
      <c r="A29" s="38"/>
      <c r="B29" s="51" t="s">
        <v>161</v>
      </c>
      <c r="C29" s="69">
        <f>+C28+E28</f>
        <v>0</v>
      </c>
      <c r="D29" s="70">
        <v>0</v>
      </c>
      <c r="E29" s="71">
        <f>+C29*D29</f>
        <v>0</v>
      </c>
      <c r="F29" s="100"/>
      <c r="G29" s="69">
        <f>+G28+I28</f>
        <v>0</v>
      </c>
      <c r="H29" s="70">
        <v>0</v>
      </c>
      <c r="I29" s="71">
        <f>+G29*H29</f>
        <v>0</v>
      </c>
      <c r="J29" s="100"/>
    </row>
    <row r="30" spans="1:10" x14ac:dyDescent="0.25">
      <c r="A30" s="38"/>
      <c r="B30" s="51" t="s">
        <v>162</v>
      </c>
      <c r="C30" s="69">
        <f>+C29+E29</f>
        <v>0</v>
      </c>
      <c r="D30" s="70">
        <v>0</v>
      </c>
      <c r="E30" s="71">
        <f>+C30*D30</f>
        <v>0</v>
      </c>
      <c r="F30" s="100"/>
      <c r="G30" s="69">
        <f>+G29+I29</f>
        <v>0</v>
      </c>
      <c r="H30" s="70">
        <v>0</v>
      </c>
      <c r="I30" s="71">
        <f>+G30*H30</f>
        <v>0</v>
      </c>
      <c r="J30" s="100"/>
    </row>
    <row r="31" spans="1:10" x14ac:dyDescent="0.25">
      <c r="A31" s="38"/>
      <c r="B31" s="51" t="s">
        <v>163</v>
      </c>
      <c r="C31" s="69">
        <f>+C28</f>
        <v>0</v>
      </c>
      <c r="D31" s="70">
        <v>0</v>
      </c>
      <c r="E31" s="71">
        <f>+C31*D31</f>
        <v>0</v>
      </c>
      <c r="F31" s="100"/>
      <c r="G31" s="69">
        <f>+G28</f>
        <v>0</v>
      </c>
      <c r="H31" s="70">
        <v>0</v>
      </c>
      <c r="I31" s="71">
        <f>+G31*H31</f>
        <v>0</v>
      </c>
      <c r="J31" s="100"/>
    </row>
    <row r="32" spans="1:10" x14ac:dyDescent="0.25">
      <c r="A32" s="38"/>
      <c r="B32" s="51" t="s">
        <v>164</v>
      </c>
      <c r="C32" s="69">
        <f>+C30+E30</f>
        <v>0</v>
      </c>
      <c r="D32" s="70">
        <v>0</v>
      </c>
      <c r="E32" s="71">
        <f>+C32*D32</f>
        <v>0</v>
      </c>
      <c r="F32" s="100"/>
      <c r="G32" s="69">
        <f>+G30+I30</f>
        <v>0</v>
      </c>
      <c r="H32" s="70">
        <v>0</v>
      </c>
      <c r="I32" s="71">
        <f>+G32*H32</f>
        <v>0</v>
      </c>
      <c r="J32" s="100"/>
    </row>
    <row r="33" spans="1:10" x14ac:dyDescent="0.25">
      <c r="A33" s="38"/>
      <c r="B33" s="51" t="s">
        <v>175</v>
      </c>
      <c r="C33" s="72"/>
      <c r="D33" s="73"/>
      <c r="E33" s="71">
        <f>+SUM(E26,E28,E29,E30)</f>
        <v>0</v>
      </c>
      <c r="F33" s="100"/>
      <c r="G33" s="72"/>
      <c r="H33" s="73"/>
      <c r="I33" s="71">
        <f>+SUM(I26,I28,I29,I30)</f>
        <v>0</v>
      </c>
      <c r="J33" s="100"/>
    </row>
    <row r="34" spans="1:10" x14ac:dyDescent="0.25">
      <c r="A34" s="38"/>
      <c r="B34" s="51" t="s">
        <v>176</v>
      </c>
      <c r="C34" s="72"/>
      <c r="D34" s="73"/>
      <c r="E34" s="71">
        <f>+E31</f>
        <v>0</v>
      </c>
      <c r="F34" s="100"/>
      <c r="G34" s="72"/>
      <c r="H34" s="73"/>
      <c r="I34" s="71">
        <f>+I31</f>
        <v>0</v>
      </c>
      <c r="J34" s="100"/>
    </row>
    <row r="35" spans="1:10" x14ac:dyDescent="0.25">
      <c r="A35" s="38"/>
      <c r="B35" s="51" t="s">
        <v>177</v>
      </c>
      <c r="C35" s="72"/>
      <c r="D35" s="73"/>
      <c r="E35" s="74">
        <f>+E32</f>
        <v>0</v>
      </c>
      <c r="F35" s="102"/>
      <c r="G35" s="72"/>
      <c r="H35" s="73"/>
      <c r="I35" s="74">
        <f>+I32</f>
        <v>0</v>
      </c>
      <c r="J35" s="102"/>
    </row>
    <row r="36" spans="1:10" ht="16.5" thickBot="1" x14ac:dyDescent="0.3">
      <c r="A36" s="38"/>
      <c r="B36" s="52" t="s">
        <v>178</v>
      </c>
      <c r="C36" s="75"/>
      <c r="D36" s="76"/>
      <c r="E36" s="77">
        <f>SUM(E33:E35)</f>
        <v>0</v>
      </c>
      <c r="F36" s="103"/>
      <c r="G36" s="75"/>
      <c r="H36" s="76"/>
      <c r="I36" s="77">
        <f>SUM(I33:I35)</f>
        <v>0</v>
      </c>
      <c r="J36" s="103"/>
    </row>
    <row r="37" spans="1:10" x14ac:dyDescent="0.25">
      <c r="A37" s="38"/>
      <c r="B37" s="41"/>
      <c r="C37" s="78"/>
      <c r="D37" s="78"/>
      <c r="E37" s="78"/>
      <c r="F37" s="104"/>
      <c r="G37" s="78"/>
      <c r="H37" s="78"/>
      <c r="I37" s="78"/>
      <c r="J37" s="104"/>
    </row>
    <row r="38" spans="1:10" ht="16.5" thickBot="1" x14ac:dyDescent="0.3">
      <c r="A38" s="38"/>
      <c r="C38" s="37"/>
      <c r="D38" s="37"/>
      <c r="E38" s="37"/>
      <c r="F38" s="105"/>
      <c r="G38" s="37"/>
      <c r="H38" s="37"/>
      <c r="I38" s="37"/>
      <c r="J38" s="105"/>
    </row>
    <row r="39" spans="1:10" ht="16.5" thickBot="1" x14ac:dyDescent="0.3">
      <c r="A39" s="38"/>
      <c r="B39" s="189" t="str">
        <f>B10</f>
        <v xml:space="preserve">CLINs 0006 &amp; 1006: CPFF </v>
      </c>
      <c r="C39" s="186" t="s">
        <v>179</v>
      </c>
      <c r="D39" s="187"/>
      <c r="E39" s="188"/>
      <c r="F39" s="106"/>
      <c r="G39" s="186" t="s">
        <v>179</v>
      </c>
      <c r="H39" s="187"/>
      <c r="I39" s="188"/>
      <c r="J39" s="106"/>
    </row>
    <row r="40" spans="1:10" ht="16.5" thickBot="1" x14ac:dyDescent="0.3">
      <c r="A40" s="38"/>
      <c r="B40" s="190"/>
      <c r="C40" s="129" t="str">
        <f>C11</f>
        <v>0006: A-10 I-Level Fault Isolation Tester design and digital development - Basic Period</v>
      </c>
      <c r="D40" s="130"/>
      <c r="E40" s="131"/>
      <c r="F40" s="107"/>
      <c r="G40" s="132" t="str">
        <f>G11</f>
        <v>1006: A-10 I-Level Fault Isolation Tester EMD - Option Period 1</v>
      </c>
      <c r="H40" s="133"/>
      <c r="I40" s="134"/>
      <c r="J40" s="107"/>
    </row>
    <row r="41" spans="1:10" x14ac:dyDescent="0.25">
      <c r="A41" s="38"/>
      <c r="B41" s="79"/>
      <c r="C41" s="56" t="s">
        <v>174</v>
      </c>
      <c r="D41" s="57" t="s">
        <v>172</v>
      </c>
      <c r="E41" s="58" t="s">
        <v>10</v>
      </c>
      <c r="F41" s="101"/>
      <c r="G41" s="56" t="s">
        <v>174</v>
      </c>
      <c r="H41" s="57" t="s">
        <v>172</v>
      </c>
      <c r="I41" s="58" t="s">
        <v>10</v>
      </c>
      <c r="J41" s="101"/>
    </row>
    <row r="42" spans="1:10" x14ac:dyDescent="0.25">
      <c r="A42" s="38"/>
      <c r="B42" s="80" t="s">
        <v>180</v>
      </c>
      <c r="C42" s="81"/>
      <c r="D42" s="82"/>
      <c r="E42" s="83"/>
      <c r="F42" s="100"/>
      <c r="G42" s="81"/>
      <c r="H42" s="82"/>
      <c r="I42" s="83"/>
      <c r="J42" s="100"/>
    </row>
    <row r="43" spans="1:10" x14ac:dyDescent="0.25">
      <c r="A43" s="38"/>
      <c r="B43" s="51" t="s">
        <v>161</v>
      </c>
      <c r="C43" s="69">
        <f>+E42</f>
        <v>0</v>
      </c>
      <c r="D43" s="70">
        <v>0</v>
      </c>
      <c r="E43" s="71">
        <f>+C43*D43</f>
        <v>0</v>
      </c>
      <c r="F43" s="108"/>
      <c r="G43" s="69">
        <f>+I42</f>
        <v>0</v>
      </c>
      <c r="H43" s="70">
        <v>0</v>
      </c>
      <c r="I43" s="71">
        <f>+G43*H43</f>
        <v>0</v>
      </c>
      <c r="J43" s="108"/>
    </row>
    <row r="44" spans="1:10" x14ac:dyDescent="0.25">
      <c r="A44" s="38"/>
      <c r="B44" s="51" t="s">
        <v>162</v>
      </c>
      <c r="C44" s="69">
        <f>+C43+E43</f>
        <v>0</v>
      </c>
      <c r="D44" s="70">
        <v>0</v>
      </c>
      <c r="E44" s="71">
        <f>+C44*D44</f>
        <v>0</v>
      </c>
      <c r="F44" s="108"/>
      <c r="G44" s="69">
        <f>+G43+I43</f>
        <v>0</v>
      </c>
      <c r="H44" s="70">
        <v>0</v>
      </c>
      <c r="I44" s="71">
        <f>+G44*H44</f>
        <v>0</v>
      </c>
      <c r="J44" s="108"/>
    </row>
    <row r="45" spans="1:10" x14ac:dyDescent="0.25">
      <c r="A45" s="38"/>
      <c r="B45" s="51" t="s">
        <v>163</v>
      </c>
      <c r="C45" s="69">
        <f>+C43</f>
        <v>0</v>
      </c>
      <c r="D45" s="70">
        <v>0</v>
      </c>
      <c r="E45" s="71">
        <f>+C45*D45</f>
        <v>0</v>
      </c>
      <c r="F45" s="100"/>
      <c r="G45" s="69">
        <f>+G43</f>
        <v>0</v>
      </c>
      <c r="H45" s="70">
        <v>0</v>
      </c>
      <c r="I45" s="71">
        <f>+G45*H45</f>
        <v>0</v>
      </c>
      <c r="J45" s="100"/>
    </row>
    <row r="46" spans="1:10" x14ac:dyDescent="0.25">
      <c r="A46" s="38"/>
      <c r="B46" s="51" t="s">
        <v>164</v>
      </c>
      <c r="C46" s="69">
        <f>+C44+E44</f>
        <v>0</v>
      </c>
      <c r="D46" s="70">
        <v>0</v>
      </c>
      <c r="E46" s="71">
        <f>+C46*D46</f>
        <v>0</v>
      </c>
      <c r="F46" s="100"/>
      <c r="G46" s="69">
        <f>+G44+I44</f>
        <v>0</v>
      </c>
      <c r="H46" s="70">
        <v>0</v>
      </c>
      <c r="I46" s="71">
        <f>+G46*H46</f>
        <v>0</v>
      </c>
      <c r="J46" s="100"/>
    </row>
    <row r="47" spans="1:10" x14ac:dyDescent="0.25">
      <c r="A47" s="38"/>
      <c r="B47" s="51" t="s">
        <v>175</v>
      </c>
      <c r="C47" s="84"/>
      <c r="D47" s="85"/>
      <c r="E47" s="71">
        <f>+ROUND(SUM(E42:E44),0)</f>
        <v>0</v>
      </c>
      <c r="F47" s="100"/>
      <c r="G47" s="84"/>
      <c r="H47" s="85"/>
      <c r="I47" s="71">
        <f>+ROUND(SUM(I42:I44),0)</f>
        <v>0</v>
      </c>
      <c r="J47" s="100"/>
    </row>
    <row r="48" spans="1:10" x14ac:dyDescent="0.25">
      <c r="A48" s="38"/>
      <c r="B48" s="51" t="s">
        <v>176</v>
      </c>
      <c r="C48" s="81"/>
      <c r="D48" s="86"/>
      <c r="E48" s="71">
        <f>+ROUND(E45,0)</f>
        <v>0</v>
      </c>
      <c r="F48" s="100"/>
      <c r="G48" s="81"/>
      <c r="H48" s="86"/>
      <c r="I48" s="71">
        <f>+ROUND(I45,0)</f>
        <v>0</v>
      </c>
      <c r="J48" s="100"/>
    </row>
    <row r="49" spans="1:10" x14ac:dyDescent="0.25">
      <c r="B49" s="51" t="s">
        <v>177</v>
      </c>
      <c r="C49" s="81"/>
      <c r="D49" s="86"/>
      <c r="E49" s="87">
        <f>+ROUND(E46,0)</f>
        <v>0</v>
      </c>
      <c r="F49" s="109"/>
      <c r="G49" s="81"/>
      <c r="H49" s="86"/>
      <c r="I49" s="87">
        <f>+ROUND(I46,0)</f>
        <v>0</v>
      </c>
      <c r="J49" s="109"/>
    </row>
    <row r="50" spans="1:10" ht="16.5" thickBot="1" x14ac:dyDescent="0.3">
      <c r="B50" s="52" t="s">
        <v>178</v>
      </c>
      <c r="C50" s="112"/>
      <c r="D50" s="88"/>
      <c r="E50" s="64">
        <f t="shared" ref="E50" si="2">SUM(E47:E49)</f>
        <v>0</v>
      </c>
      <c r="F50" s="99"/>
      <c r="G50" s="112"/>
      <c r="H50" s="88"/>
      <c r="I50" s="64">
        <f t="shared" ref="I50" si="3">SUM(I47:I49)</f>
        <v>0</v>
      </c>
      <c r="J50" s="99"/>
    </row>
    <row r="51" spans="1:10" ht="16.5" thickBot="1" x14ac:dyDescent="0.3">
      <c r="B51" s="41"/>
      <c r="F51" s="110"/>
      <c r="J51" s="110"/>
    </row>
    <row r="52" spans="1:10" ht="16.5" thickBot="1" x14ac:dyDescent="0.3">
      <c r="A52" s="38"/>
      <c r="B52" s="189" t="str">
        <f>B39</f>
        <v xml:space="preserve">CLINs 0006 &amp; 1006: CPFF </v>
      </c>
      <c r="C52" s="186" t="s">
        <v>181</v>
      </c>
      <c r="D52" s="187"/>
      <c r="E52" s="188"/>
      <c r="F52" s="106"/>
      <c r="G52" s="186" t="s">
        <v>181</v>
      </c>
      <c r="H52" s="187"/>
      <c r="I52" s="188"/>
      <c r="J52" s="106"/>
    </row>
    <row r="53" spans="1:10" ht="16.5" thickBot="1" x14ac:dyDescent="0.3">
      <c r="A53" s="38"/>
      <c r="B53" s="190"/>
      <c r="C53" s="129" t="str">
        <f>C40</f>
        <v>0006: A-10 I-Level Fault Isolation Tester design and digital development - Basic Period</v>
      </c>
      <c r="D53" s="130"/>
      <c r="E53" s="131"/>
      <c r="F53" s="107"/>
      <c r="G53" s="132" t="str">
        <f>G40</f>
        <v>1006: A-10 I-Level Fault Isolation Tester EMD - Option Period 1</v>
      </c>
      <c r="H53" s="133"/>
      <c r="I53" s="134"/>
      <c r="J53" s="107"/>
    </row>
    <row r="54" spans="1:10" x14ac:dyDescent="0.25">
      <c r="A54" s="38"/>
      <c r="B54" s="79"/>
      <c r="C54" s="56" t="s">
        <v>174</v>
      </c>
      <c r="D54" s="57" t="s">
        <v>172</v>
      </c>
      <c r="E54" s="58" t="s">
        <v>10</v>
      </c>
      <c r="F54" s="101"/>
      <c r="G54" s="56" t="s">
        <v>174</v>
      </c>
      <c r="H54" s="57" t="s">
        <v>172</v>
      </c>
      <c r="I54" s="58" t="s">
        <v>10</v>
      </c>
      <c r="J54" s="101"/>
    </row>
    <row r="55" spans="1:10" x14ac:dyDescent="0.25">
      <c r="A55" s="38"/>
      <c r="B55" s="80" t="s">
        <v>182</v>
      </c>
      <c r="C55" s="81"/>
      <c r="D55" s="82"/>
      <c r="E55" s="83"/>
      <c r="F55" s="100"/>
      <c r="G55" s="81"/>
      <c r="H55" s="82"/>
      <c r="I55" s="83"/>
      <c r="J55" s="100"/>
    </row>
    <row r="56" spans="1:10" x14ac:dyDescent="0.25">
      <c r="A56" s="38"/>
      <c r="B56" s="51" t="s">
        <v>161</v>
      </c>
      <c r="C56" s="69">
        <f>+E55</f>
        <v>0</v>
      </c>
      <c r="D56" s="70">
        <v>0</v>
      </c>
      <c r="E56" s="71">
        <f>+C56*D56</f>
        <v>0</v>
      </c>
      <c r="F56" s="108"/>
      <c r="G56" s="69">
        <f>+I55</f>
        <v>0</v>
      </c>
      <c r="H56" s="70">
        <v>0</v>
      </c>
      <c r="I56" s="71">
        <f>+G56*H56</f>
        <v>0</v>
      </c>
      <c r="J56" s="108"/>
    </row>
    <row r="57" spans="1:10" x14ac:dyDescent="0.25">
      <c r="A57" s="38"/>
      <c r="B57" s="51" t="s">
        <v>162</v>
      </c>
      <c r="C57" s="69">
        <f>+C56+E56</f>
        <v>0</v>
      </c>
      <c r="D57" s="70">
        <v>0</v>
      </c>
      <c r="E57" s="71">
        <f>+C57*D57</f>
        <v>0</v>
      </c>
      <c r="F57" s="108"/>
      <c r="G57" s="69">
        <f>+G56+I56</f>
        <v>0</v>
      </c>
      <c r="H57" s="70">
        <v>0</v>
      </c>
      <c r="I57" s="71">
        <f>+G57*H57</f>
        <v>0</v>
      </c>
      <c r="J57" s="108"/>
    </row>
    <row r="58" spans="1:10" x14ac:dyDescent="0.25">
      <c r="A58" s="38"/>
      <c r="B58" s="51" t="s">
        <v>163</v>
      </c>
      <c r="C58" s="69">
        <f>+C56</f>
        <v>0</v>
      </c>
      <c r="D58" s="70">
        <v>0</v>
      </c>
      <c r="E58" s="71">
        <f>+C58*D58</f>
        <v>0</v>
      </c>
      <c r="F58" s="100"/>
      <c r="G58" s="69">
        <f>+G56</f>
        <v>0</v>
      </c>
      <c r="H58" s="70">
        <v>0</v>
      </c>
      <c r="I58" s="71">
        <f>+G58*H58</f>
        <v>0</v>
      </c>
      <c r="J58" s="100"/>
    </row>
    <row r="59" spans="1:10" x14ac:dyDescent="0.25">
      <c r="A59" s="38"/>
      <c r="B59" s="51" t="s">
        <v>164</v>
      </c>
      <c r="C59" s="69">
        <f>+C57+E57</f>
        <v>0</v>
      </c>
      <c r="D59" s="70">
        <v>0</v>
      </c>
      <c r="E59" s="71">
        <f>+C59*D59</f>
        <v>0</v>
      </c>
      <c r="F59" s="100"/>
      <c r="G59" s="69">
        <f>+G57+I57</f>
        <v>0</v>
      </c>
      <c r="H59" s="70">
        <v>0</v>
      </c>
      <c r="I59" s="71">
        <f>+G59*H59</f>
        <v>0</v>
      </c>
      <c r="J59" s="100"/>
    </row>
    <row r="60" spans="1:10" x14ac:dyDescent="0.25">
      <c r="A60" s="38"/>
      <c r="B60" s="51" t="s">
        <v>175</v>
      </c>
      <c r="C60" s="84"/>
      <c r="D60" s="85"/>
      <c r="E60" s="71">
        <f>+ROUND(SUM(E55:E57),0)</f>
        <v>0</v>
      </c>
      <c r="F60" s="100"/>
      <c r="G60" s="84"/>
      <c r="H60" s="85"/>
      <c r="I60" s="71">
        <f>+ROUND(SUM(I55:I57),0)</f>
        <v>0</v>
      </c>
      <c r="J60" s="100"/>
    </row>
    <row r="61" spans="1:10" x14ac:dyDescent="0.25">
      <c r="A61" s="38"/>
      <c r="B61" s="51" t="s">
        <v>176</v>
      </c>
      <c r="C61" s="81"/>
      <c r="D61" s="86"/>
      <c r="E61" s="71">
        <f>+ROUND(E58,0)</f>
        <v>0</v>
      </c>
      <c r="F61" s="100"/>
      <c r="G61" s="81"/>
      <c r="H61" s="86"/>
      <c r="I61" s="71">
        <f>+ROUND(I58,0)</f>
        <v>0</v>
      </c>
      <c r="J61" s="100"/>
    </row>
    <row r="62" spans="1:10" x14ac:dyDescent="0.25">
      <c r="B62" s="51" t="s">
        <v>177</v>
      </c>
      <c r="C62" s="81"/>
      <c r="D62" s="86"/>
      <c r="E62" s="87">
        <f>+ROUND(E59,0)</f>
        <v>0</v>
      </c>
      <c r="F62" s="109"/>
      <c r="G62" s="81"/>
      <c r="H62" s="86"/>
      <c r="I62" s="87">
        <f>+ROUND(I59,0)</f>
        <v>0</v>
      </c>
      <c r="J62" s="109"/>
    </row>
    <row r="63" spans="1:10" ht="16.5" thickBot="1" x14ac:dyDescent="0.3">
      <c r="B63" s="52" t="s">
        <v>178</v>
      </c>
      <c r="C63" s="112"/>
      <c r="D63" s="88"/>
      <c r="E63" s="64">
        <f t="shared" ref="E63" si="4">SUM(E60:E62)</f>
        <v>0</v>
      </c>
      <c r="F63" s="99"/>
      <c r="G63" s="112"/>
      <c r="H63" s="88"/>
      <c r="I63" s="64">
        <f t="shared" ref="I63" si="5">SUM(I60:I62)</f>
        <v>0</v>
      </c>
      <c r="J63" s="99"/>
    </row>
    <row r="64" spans="1:10" x14ac:dyDescent="0.25">
      <c r="B64" s="41"/>
      <c r="F64" s="110"/>
      <c r="J64" s="110"/>
    </row>
    <row r="65" spans="2:10" ht="16.5" thickBot="1" x14ac:dyDescent="0.3">
      <c r="F65" s="110"/>
      <c r="J65" s="110"/>
    </row>
    <row r="66" spans="2:10" ht="16.5" thickBot="1" x14ac:dyDescent="0.3">
      <c r="B66" s="189" t="str">
        <f>B52</f>
        <v xml:space="preserve">CLINs 0006 &amp; 1006: CPFF </v>
      </c>
      <c r="C66" s="186" t="s">
        <v>183</v>
      </c>
      <c r="D66" s="187"/>
      <c r="E66" s="188"/>
      <c r="F66" s="106"/>
      <c r="G66" s="186" t="s">
        <v>183</v>
      </c>
      <c r="H66" s="187"/>
      <c r="I66" s="188"/>
      <c r="J66" s="106"/>
    </row>
    <row r="67" spans="2:10" ht="16.5" thickBot="1" x14ac:dyDescent="0.3">
      <c r="B67" s="190"/>
      <c r="C67" s="89"/>
      <c r="D67" s="55"/>
      <c r="E67" s="90" t="s">
        <v>323</v>
      </c>
      <c r="F67" s="111"/>
      <c r="G67" s="89"/>
      <c r="H67" s="55"/>
      <c r="I67" s="90" t="s">
        <v>324</v>
      </c>
      <c r="J67" s="111"/>
    </row>
    <row r="68" spans="2:10" x14ac:dyDescent="0.25">
      <c r="B68" s="51" t="s">
        <v>175</v>
      </c>
      <c r="C68" s="91"/>
      <c r="D68" s="91"/>
      <c r="E68" s="92">
        <f>+ROUND(E33+E47+E60,0)</f>
        <v>0</v>
      </c>
      <c r="F68" s="100"/>
      <c r="G68" s="91"/>
      <c r="H68" s="91"/>
      <c r="I68" s="92">
        <f>+ROUND(I33+I47+I60,0)</f>
        <v>0</v>
      </c>
      <c r="J68" s="100"/>
    </row>
    <row r="69" spans="2:10" x14ac:dyDescent="0.25">
      <c r="B69" s="51" t="s">
        <v>176</v>
      </c>
      <c r="C69" s="91"/>
      <c r="D69" s="91"/>
      <c r="E69" s="71">
        <f>+ROUND(E34+E48+E61,0)</f>
        <v>0</v>
      </c>
      <c r="F69" s="100"/>
      <c r="G69" s="91"/>
      <c r="H69" s="91"/>
      <c r="I69" s="71">
        <f>+ROUND(I34+I48+I61,0)</f>
        <v>0</v>
      </c>
      <c r="J69" s="100"/>
    </row>
    <row r="70" spans="2:10" x14ac:dyDescent="0.25">
      <c r="B70" s="51" t="s">
        <v>177</v>
      </c>
      <c r="C70" s="91"/>
      <c r="D70" s="91"/>
      <c r="E70" s="74">
        <f>+ROUND(E35+E49+E62,0)</f>
        <v>0</v>
      </c>
      <c r="F70" s="102"/>
      <c r="G70" s="91"/>
      <c r="H70" s="91"/>
      <c r="I70" s="74">
        <f>+ROUND(I35+I49+I62,0)</f>
        <v>0</v>
      </c>
      <c r="J70" s="102"/>
    </row>
    <row r="71" spans="2:10" ht="16.5" thickBot="1" x14ac:dyDescent="0.3">
      <c r="B71" s="52" t="s">
        <v>178</v>
      </c>
      <c r="C71" s="93"/>
      <c r="D71" s="93"/>
      <c r="E71" s="77">
        <f>SUM(E68:E70)</f>
        <v>0</v>
      </c>
      <c r="F71" s="103"/>
      <c r="G71" s="93"/>
      <c r="H71" s="93"/>
      <c r="I71" s="77">
        <f>SUM(I68:I70)</f>
        <v>0</v>
      </c>
      <c r="J71" s="103"/>
    </row>
  </sheetData>
  <mergeCells count="12">
    <mergeCell ref="B39:B40"/>
    <mergeCell ref="C39:E39"/>
    <mergeCell ref="G39:I39"/>
    <mergeCell ref="B10:B11"/>
    <mergeCell ref="C10:E10"/>
    <mergeCell ref="G10:I10"/>
    <mergeCell ref="B52:B53"/>
    <mergeCell ref="C52:E52"/>
    <mergeCell ref="G52:I52"/>
    <mergeCell ref="B66:B67"/>
    <mergeCell ref="C66:E66"/>
    <mergeCell ref="G66:I66"/>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2AB04-796A-40DE-BA8E-BCC276D9BFB1}">
  <sheetPr>
    <tabColor theme="9" tint="0.79998168889431442"/>
  </sheetPr>
  <dimension ref="A1:V27"/>
  <sheetViews>
    <sheetView topLeftCell="H1" workbookViewId="0">
      <selection activeCell="B2" sqref="B2:G7"/>
    </sheetView>
  </sheetViews>
  <sheetFormatPr defaultColWidth="15.85546875" defaultRowHeight="15.75" x14ac:dyDescent="0.25"/>
  <cols>
    <col min="1" max="1" width="3.42578125" style="33" customWidth="1"/>
    <col min="2" max="2" width="51" style="37" customWidth="1"/>
    <col min="3" max="3" width="19.7109375" style="35" customWidth="1"/>
    <col min="4" max="4" width="13" style="35" customWidth="1"/>
    <col min="5" max="5" width="23.85546875" style="35" bestFit="1" customWidth="1"/>
    <col min="6" max="6" width="3.140625" style="35" customWidth="1"/>
    <col min="7" max="7" width="19.7109375" style="35" customWidth="1"/>
    <col min="8" max="8" width="13" style="35" customWidth="1"/>
    <col min="9" max="9" width="26.85546875" style="35" bestFit="1" customWidth="1"/>
    <col min="10" max="10" width="3.140625" style="35" customWidth="1"/>
    <col min="11" max="11" width="19.7109375" style="35" customWidth="1"/>
    <col min="12" max="12" width="13" style="35" customWidth="1"/>
    <col min="13" max="13" width="26.85546875" style="35" bestFit="1" customWidth="1"/>
    <col min="14" max="14" width="3.140625" style="35" customWidth="1"/>
    <col min="15" max="15" width="19.7109375" style="35" customWidth="1"/>
    <col min="16" max="16" width="13" style="35" customWidth="1"/>
    <col min="17" max="17" width="26.85546875" style="35" bestFit="1" customWidth="1"/>
    <col min="18" max="18" width="2.140625" style="35" customWidth="1"/>
    <col min="19" max="19" width="19.7109375" style="35" customWidth="1"/>
    <col min="20" max="20" width="13" style="35" customWidth="1"/>
    <col min="21" max="21" width="26.85546875" style="35" bestFit="1" customWidth="1"/>
    <col min="22" max="22" width="2.140625" style="35" customWidth="1"/>
    <col min="23" max="16384" width="15.85546875" style="35"/>
  </cols>
  <sheetData>
    <row r="1" spans="1:22" x14ac:dyDescent="0.2">
      <c r="B1" s="34" t="s">
        <v>147</v>
      </c>
    </row>
    <row r="2" spans="1:22" x14ac:dyDescent="0.25">
      <c r="A2" s="36"/>
      <c r="B2" s="153" t="s">
        <v>167</v>
      </c>
      <c r="C2" s="94"/>
      <c r="D2" s="94"/>
      <c r="E2" s="94"/>
      <c r="F2" s="94"/>
      <c r="G2" s="94"/>
      <c r="H2" s="138"/>
      <c r="I2" s="94"/>
      <c r="J2" s="94"/>
      <c r="K2" s="94"/>
      <c r="L2" s="94"/>
      <c r="M2" s="94"/>
      <c r="N2" s="94"/>
      <c r="O2" s="94"/>
      <c r="P2" s="94"/>
      <c r="Q2" s="94"/>
      <c r="R2" s="94"/>
      <c r="S2" s="94"/>
      <c r="T2" s="94"/>
      <c r="U2" s="94"/>
      <c r="V2" s="94"/>
    </row>
    <row r="3" spans="1:22" x14ac:dyDescent="0.25">
      <c r="A3" s="36"/>
      <c r="B3" s="153" t="s">
        <v>355</v>
      </c>
      <c r="C3" s="94"/>
      <c r="D3" s="94"/>
      <c r="E3" s="94"/>
      <c r="F3" s="94"/>
      <c r="G3" s="94"/>
      <c r="H3" s="138"/>
      <c r="I3" s="94"/>
      <c r="J3" s="94"/>
      <c r="K3" s="94"/>
      <c r="L3" s="94"/>
      <c r="M3" s="94"/>
      <c r="N3" s="94"/>
      <c r="O3" s="94"/>
      <c r="P3" s="94"/>
      <c r="Q3" s="94"/>
      <c r="R3" s="94"/>
      <c r="S3" s="94"/>
      <c r="T3" s="94"/>
      <c r="U3" s="94"/>
      <c r="V3" s="94"/>
    </row>
    <row r="4" spans="1:22" x14ac:dyDescent="0.25">
      <c r="A4" s="36"/>
      <c r="B4" s="153" t="s">
        <v>356</v>
      </c>
      <c r="C4" s="94"/>
      <c r="D4" s="94"/>
      <c r="E4" s="94"/>
      <c r="F4" s="94"/>
      <c r="G4" s="94"/>
      <c r="H4" s="138"/>
      <c r="I4" s="94"/>
      <c r="J4" s="94"/>
      <c r="K4" s="94"/>
      <c r="L4" s="94"/>
      <c r="M4" s="94"/>
      <c r="N4" s="94"/>
      <c r="O4" s="94"/>
      <c r="P4" s="94"/>
      <c r="Q4" s="94"/>
      <c r="R4" s="94"/>
      <c r="S4" s="94"/>
      <c r="T4" s="94"/>
      <c r="U4" s="94"/>
      <c r="V4" s="94"/>
    </row>
    <row r="5" spans="1:22" x14ac:dyDescent="0.25">
      <c r="A5" s="36"/>
      <c r="B5" s="153" t="s">
        <v>357</v>
      </c>
      <c r="C5" s="94"/>
      <c r="D5" s="94"/>
      <c r="E5" s="94"/>
      <c r="F5" s="94"/>
      <c r="G5" s="94"/>
      <c r="H5" s="138"/>
      <c r="I5" s="94"/>
      <c r="J5" s="94"/>
      <c r="K5" s="94"/>
      <c r="L5" s="94"/>
      <c r="M5" s="94"/>
      <c r="N5" s="94"/>
      <c r="O5" s="94"/>
      <c r="P5" s="94"/>
      <c r="Q5" s="94"/>
      <c r="R5" s="94"/>
      <c r="S5" s="94"/>
      <c r="T5" s="94"/>
      <c r="U5" s="94"/>
      <c r="V5" s="94"/>
    </row>
    <row r="6" spans="1:22" x14ac:dyDescent="0.25">
      <c r="A6" s="36"/>
      <c r="B6" s="153" t="s">
        <v>358</v>
      </c>
      <c r="C6" s="94"/>
      <c r="D6" s="94"/>
      <c r="E6" s="94"/>
      <c r="F6" s="94"/>
      <c r="G6" s="94"/>
      <c r="H6" s="138"/>
      <c r="I6" s="94"/>
      <c r="J6" s="94"/>
      <c r="K6" s="94"/>
      <c r="L6" s="94"/>
      <c r="M6" s="94"/>
      <c r="N6" s="94"/>
      <c r="O6" s="94"/>
      <c r="P6" s="94"/>
      <c r="Q6" s="94"/>
      <c r="R6" s="94"/>
      <c r="S6" s="94"/>
      <c r="T6" s="94"/>
      <c r="U6" s="94"/>
      <c r="V6" s="94"/>
    </row>
    <row r="7" spans="1:22" x14ac:dyDescent="0.25">
      <c r="A7" s="36"/>
      <c r="B7" s="153" t="s">
        <v>169</v>
      </c>
      <c r="C7" s="94"/>
      <c r="D7" s="94"/>
      <c r="E7" s="94"/>
      <c r="F7" s="94"/>
      <c r="G7" s="94"/>
      <c r="H7" s="138"/>
      <c r="I7" s="94"/>
      <c r="J7" s="94"/>
      <c r="K7" s="94"/>
      <c r="L7" s="94"/>
      <c r="M7" s="94"/>
      <c r="N7" s="94"/>
      <c r="O7" s="94"/>
      <c r="P7" s="94"/>
      <c r="Q7" s="94"/>
      <c r="R7" s="94"/>
      <c r="S7" s="94"/>
      <c r="T7" s="94"/>
      <c r="U7" s="94"/>
      <c r="V7" s="94"/>
    </row>
    <row r="9" spans="1:22" ht="16.5" thickBot="1" x14ac:dyDescent="0.3"/>
    <row r="10" spans="1:22" ht="16.5" customHeight="1" thickBot="1" x14ac:dyDescent="0.3">
      <c r="A10" s="38"/>
      <c r="B10" s="189"/>
      <c r="C10" s="186" t="s">
        <v>181</v>
      </c>
      <c r="D10" s="187"/>
      <c r="E10" s="188"/>
      <c r="F10" s="95"/>
      <c r="G10" s="186" t="s">
        <v>181</v>
      </c>
      <c r="H10" s="187"/>
      <c r="I10" s="188"/>
      <c r="J10" s="95"/>
      <c r="K10" s="186" t="s">
        <v>181</v>
      </c>
      <c r="L10" s="187"/>
      <c r="M10" s="188"/>
      <c r="N10" s="95"/>
      <c r="O10" s="186" t="s">
        <v>181</v>
      </c>
      <c r="P10" s="187"/>
      <c r="Q10" s="188"/>
      <c r="R10" s="95"/>
      <c r="S10" s="186" t="s">
        <v>181</v>
      </c>
      <c r="T10" s="187"/>
      <c r="U10" s="188"/>
      <c r="V10" s="95"/>
    </row>
    <row r="11" spans="1:22" ht="16.5" thickBot="1" x14ac:dyDescent="0.3">
      <c r="A11" s="38"/>
      <c r="B11" s="190"/>
      <c r="C11" s="132" t="s">
        <v>326</v>
      </c>
      <c r="D11" s="133"/>
      <c r="E11" s="134"/>
      <c r="F11" s="96"/>
      <c r="G11" s="132" t="s">
        <v>335</v>
      </c>
      <c r="H11" s="133"/>
      <c r="I11" s="134"/>
      <c r="J11" s="96"/>
      <c r="K11" s="132" t="s">
        <v>329</v>
      </c>
      <c r="L11" s="133"/>
      <c r="M11" s="134"/>
      <c r="N11" s="96"/>
      <c r="O11" s="132" t="s">
        <v>331</v>
      </c>
      <c r="P11" s="133"/>
      <c r="Q11" s="134"/>
      <c r="R11" s="96"/>
      <c r="S11" s="132" t="s">
        <v>333</v>
      </c>
      <c r="T11" s="133"/>
      <c r="U11" s="134"/>
      <c r="V11" s="96"/>
    </row>
    <row r="12" spans="1:22" x14ac:dyDescent="0.25">
      <c r="A12" s="38"/>
      <c r="B12" s="79"/>
      <c r="C12" s="56" t="s">
        <v>174</v>
      </c>
      <c r="D12" s="57" t="s">
        <v>172</v>
      </c>
      <c r="E12" s="58" t="s">
        <v>10</v>
      </c>
      <c r="F12" s="101"/>
      <c r="G12" s="56" t="s">
        <v>174</v>
      </c>
      <c r="H12" s="57" t="s">
        <v>172</v>
      </c>
      <c r="I12" s="58" t="s">
        <v>10</v>
      </c>
      <c r="J12" s="101"/>
      <c r="K12" s="56" t="s">
        <v>174</v>
      </c>
      <c r="L12" s="57" t="s">
        <v>172</v>
      </c>
      <c r="M12" s="58" t="s">
        <v>10</v>
      </c>
      <c r="N12" s="101"/>
      <c r="O12" s="56" t="s">
        <v>174</v>
      </c>
      <c r="P12" s="57" t="s">
        <v>172</v>
      </c>
      <c r="Q12" s="58" t="s">
        <v>10</v>
      </c>
      <c r="R12" s="101"/>
      <c r="S12" s="56" t="s">
        <v>174</v>
      </c>
      <c r="T12" s="57" t="s">
        <v>172</v>
      </c>
      <c r="U12" s="58" t="s">
        <v>10</v>
      </c>
      <c r="V12" s="101"/>
    </row>
    <row r="13" spans="1:22" x14ac:dyDescent="0.25">
      <c r="A13" s="38"/>
      <c r="B13" s="80" t="s">
        <v>182</v>
      </c>
      <c r="C13" s="81"/>
      <c r="D13" s="82"/>
      <c r="E13" s="83"/>
      <c r="F13" s="100"/>
      <c r="G13" s="81"/>
      <c r="H13" s="82"/>
      <c r="I13" s="83"/>
      <c r="J13" s="100"/>
      <c r="K13" s="81"/>
      <c r="L13" s="82"/>
      <c r="M13" s="83"/>
      <c r="N13" s="100"/>
      <c r="O13" s="81"/>
      <c r="P13" s="82"/>
      <c r="Q13" s="83"/>
      <c r="R13" s="100"/>
      <c r="S13" s="81"/>
      <c r="T13" s="82"/>
      <c r="U13" s="83"/>
      <c r="V13" s="100"/>
    </row>
    <row r="14" spans="1:22" x14ac:dyDescent="0.25">
      <c r="A14" s="38"/>
      <c r="B14" s="51" t="s">
        <v>161</v>
      </c>
      <c r="C14" s="69">
        <f>+E13</f>
        <v>0</v>
      </c>
      <c r="D14" s="70">
        <v>0</v>
      </c>
      <c r="E14" s="71">
        <f>+C14*D14</f>
        <v>0</v>
      </c>
      <c r="F14" s="108"/>
      <c r="G14" s="69">
        <f>+I13</f>
        <v>0</v>
      </c>
      <c r="H14" s="70">
        <v>0</v>
      </c>
      <c r="I14" s="71">
        <f>+G14*H14</f>
        <v>0</v>
      </c>
      <c r="J14" s="108"/>
      <c r="K14" s="69">
        <f>+M13</f>
        <v>0</v>
      </c>
      <c r="L14" s="70">
        <v>0</v>
      </c>
      <c r="M14" s="71">
        <f>+K14*L14</f>
        <v>0</v>
      </c>
      <c r="N14" s="108"/>
      <c r="O14" s="69">
        <f>+Q13</f>
        <v>0</v>
      </c>
      <c r="P14" s="70">
        <v>0</v>
      </c>
      <c r="Q14" s="71">
        <f>+O14*P14</f>
        <v>0</v>
      </c>
      <c r="R14" s="108"/>
      <c r="S14" s="69">
        <f>+U13</f>
        <v>0</v>
      </c>
      <c r="T14" s="70">
        <v>0</v>
      </c>
      <c r="U14" s="71">
        <f>+S14*T14</f>
        <v>0</v>
      </c>
      <c r="V14" s="108"/>
    </row>
    <row r="15" spans="1:22" x14ac:dyDescent="0.25">
      <c r="A15" s="38"/>
      <c r="B15" s="51" t="s">
        <v>162</v>
      </c>
      <c r="C15" s="69">
        <f>+C14+E14</f>
        <v>0</v>
      </c>
      <c r="D15" s="70">
        <v>0</v>
      </c>
      <c r="E15" s="71">
        <f>+C15*D15</f>
        <v>0</v>
      </c>
      <c r="F15" s="108"/>
      <c r="G15" s="69">
        <f>+G14+I14</f>
        <v>0</v>
      </c>
      <c r="H15" s="70">
        <v>0</v>
      </c>
      <c r="I15" s="71">
        <f>+G15*H15</f>
        <v>0</v>
      </c>
      <c r="J15" s="108"/>
      <c r="K15" s="69">
        <f>+K14+M14</f>
        <v>0</v>
      </c>
      <c r="L15" s="70">
        <v>0</v>
      </c>
      <c r="M15" s="71">
        <f>+K15*L15</f>
        <v>0</v>
      </c>
      <c r="N15" s="108"/>
      <c r="O15" s="69">
        <f>+O14+Q14</f>
        <v>0</v>
      </c>
      <c r="P15" s="70">
        <v>0</v>
      </c>
      <c r="Q15" s="71">
        <f>+O15*P15</f>
        <v>0</v>
      </c>
      <c r="R15" s="108"/>
      <c r="S15" s="69">
        <f>+S14+U14</f>
        <v>0</v>
      </c>
      <c r="T15" s="70">
        <v>0</v>
      </c>
      <c r="U15" s="71">
        <f>+S15*T15</f>
        <v>0</v>
      </c>
      <c r="V15" s="108"/>
    </row>
    <row r="16" spans="1:22" x14ac:dyDescent="0.25">
      <c r="A16" s="38"/>
      <c r="B16" s="51" t="s">
        <v>163</v>
      </c>
      <c r="C16" s="69">
        <f>+C14</f>
        <v>0</v>
      </c>
      <c r="D16" s="70">
        <v>0</v>
      </c>
      <c r="E16" s="71">
        <f>+C16*D16</f>
        <v>0</v>
      </c>
      <c r="F16" s="100"/>
      <c r="G16" s="69">
        <f>+G14</f>
        <v>0</v>
      </c>
      <c r="H16" s="70">
        <v>0</v>
      </c>
      <c r="I16" s="71">
        <f>+G16*H16</f>
        <v>0</v>
      </c>
      <c r="J16" s="100"/>
      <c r="K16" s="69">
        <f>+K14</f>
        <v>0</v>
      </c>
      <c r="L16" s="70">
        <v>0</v>
      </c>
      <c r="M16" s="71">
        <f>+K16*L16</f>
        <v>0</v>
      </c>
      <c r="N16" s="100"/>
      <c r="O16" s="69">
        <f>+O14</f>
        <v>0</v>
      </c>
      <c r="P16" s="70">
        <v>0</v>
      </c>
      <c r="Q16" s="71">
        <f>+O16*P16</f>
        <v>0</v>
      </c>
      <c r="R16" s="100"/>
      <c r="S16" s="69">
        <f>+S14</f>
        <v>0</v>
      </c>
      <c r="T16" s="70">
        <v>0</v>
      </c>
      <c r="U16" s="71">
        <f>+S16*T16</f>
        <v>0</v>
      </c>
      <c r="V16" s="100"/>
    </row>
    <row r="17" spans="1:22" x14ac:dyDescent="0.25">
      <c r="A17" s="38"/>
      <c r="B17" s="51" t="s">
        <v>164</v>
      </c>
      <c r="C17" s="69">
        <f>+C15+E15</f>
        <v>0</v>
      </c>
      <c r="D17" s="70">
        <v>0</v>
      </c>
      <c r="E17" s="71">
        <f>+C17*D17</f>
        <v>0</v>
      </c>
      <c r="F17" s="100"/>
      <c r="G17" s="69">
        <f>+G15+I15</f>
        <v>0</v>
      </c>
      <c r="H17" s="70">
        <v>0</v>
      </c>
      <c r="I17" s="71">
        <f>+G17*H17</f>
        <v>0</v>
      </c>
      <c r="J17" s="100"/>
      <c r="K17" s="69">
        <f>+K15+M15</f>
        <v>0</v>
      </c>
      <c r="L17" s="70">
        <v>0</v>
      </c>
      <c r="M17" s="71">
        <f>+K17*L17</f>
        <v>0</v>
      </c>
      <c r="N17" s="100"/>
      <c r="O17" s="69">
        <f>+O15+Q15</f>
        <v>0</v>
      </c>
      <c r="P17" s="70">
        <v>0</v>
      </c>
      <c r="Q17" s="71">
        <f>+O17*P17</f>
        <v>0</v>
      </c>
      <c r="R17" s="100"/>
      <c r="S17" s="69">
        <f>+S15+U15</f>
        <v>0</v>
      </c>
      <c r="T17" s="70">
        <v>0</v>
      </c>
      <c r="U17" s="71">
        <f>+S17*T17</f>
        <v>0</v>
      </c>
      <c r="V17" s="100"/>
    </row>
    <row r="18" spans="1:22" ht="16.5" customHeight="1" x14ac:dyDescent="0.25">
      <c r="A18" s="38"/>
      <c r="B18" s="51" t="s">
        <v>175</v>
      </c>
      <c r="C18" s="84"/>
      <c r="D18" s="85"/>
      <c r="E18" s="71">
        <f>+ROUND(SUM(E13:E15),0)</f>
        <v>0</v>
      </c>
      <c r="F18" s="100"/>
      <c r="G18" s="84"/>
      <c r="H18" s="85"/>
      <c r="I18" s="71">
        <f>+ROUND(SUM(I13:I15),0)</f>
        <v>0</v>
      </c>
      <c r="J18" s="100"/>
      <c r="K18" s="84"/>
      <c r="L18" s="85"/>
      <c r="M18" s="71">
        <f>+ROUND(SUM(M13:M15),0)</f>
        <v>0</v>
      </c>
      <c r="N18" s="100"/>
      <c r="O18" s="84"/>
      <c r="P18" s="85"/>
      <c r="Q18" s="71">
        <f>+ROUND(SUM(Q13:Q15),0)</f>
        <v>0</v>
      </c>
      <c r="R18" s="100"/>
      <c r="S18" s="84"/>
      <c r="T18" s="85"/>
      <c r="U18" s="71">
        <f>+ROUND(SUM(U13:U15),0)</f>
        <v>0</v>
      </c>
      <c r="V18" s="100"/>
    </row>
    <row r="19" spans="1:22" x14ac:dyDescent="0.25">
      <c r="A19" s="38"/>
      <c r="B19" s="51" t="s">
        <v>176</v>
      </c>
      <c r="C19" s="81"/>
      <c r="D19" s="86"/>
      <c r="E19" s="71">
        <f>+ROUND(E16,0)</f>
        <v>0</v>
      </c>
      <c r="F19" s="100"/>
      <c r="G19" s="81"/>
      <c r="H19" s="86"/>
      <c r="I19" s="71">
        <f>+ROUND(I16,0)</f>
        <v>0</v>
      </c>
      <c r="J19" s="100"/>
      <c r="K19" s="81"/>
      <c r="L19" s="86"/>
      <c r="M19" s="71">
        <f>+ROUND(M16,0)</f>
        <v>0</v>
      </c>
      <c r="N19" s="100"/>
      <c r="O19" s="81"/>
      <c r="P19" s="86"/>
      <c r="Q19" s="71">
        <f>+ROUND(Q16,0)</f>
        <v>0</v>
      </c>
      <c r="R19" s="100"/>
      <c r="S19" s="81"/>
      <c r="T19" s="86"/>
      <c r="U19" s="71">
        <f>+ROUND(U16,0)</f>
        <v>0</v>
      </c>
      <c r="V19" s="100"/>
    </row>
    <row r="20" spans="1:22" ht="16.5" thickBot="1" x14ac:dyDescent="0.3">
      <c r="B20" s="52" t="s">
        <v>178</v>
      </c>
      <c r="C20" s="112"/>
      <c r="D20" s="88"/>
      <c r="E20" s="64">
        <f>SUM(E18:E19)</f>
        <v>0</v>
      </c>
      <c r="F20" s="99"/>
      <c r="G20" s="112"/>
      <c r="H20" s="88"/>
      <c r="I20" s="64">
        <f>SUM(I18:I19)</f>
        <v>0</v>
      </c>
      <c r="J20" s="99"/>
      <c r="K20" s="112"/>
      <c r="L20" s="88"/>
      <c r="M20" s="64">
        <f>SUM(M18:M19)</f>
        <v>0</v>
      </c>
      <c r="N20" s="99"/>
      <c r="O20" s="112"/>
      <c r="P20" s="88"/>
      <c r="Q20" s="64">
        <f>SUM(Q18:Q19)</f>
        <v>0</v>
      </c>
      <c r="R20" s="99"/>
      <c r="S20" s="112"/>
      <c r="T20" s="88"/>
      <c r="U20" s="64">
        <f>SUM(U18:U19)</f>
        <v>0</v>
      </c>
      <c r="V20" s="99"/>
    </row>
    <row r="21" spans="1:22" x14ac:dyDescent="0.25">
      <c r="B21" s="41"/>
      <c r="F21" s="110"/>
      <c r="J21" s="110"/>
      <c r="N21" s="110"/>
      <c r="R21" s="110"/>
      <c r="V21" s="110"/>
    </row>
    <row r="22" spans="1:22" ht="16.5" thickBot="1" x14ac:dyDescent="0.3">
      <c r="F22" s="110"/>
      <c r="J22" s="110"/>
      <c r="N22" s="110"/>
      <c r="R22" s="110"/>
      <c r="V22" s="110"/>
    </row>
    <row r="23" spans="1:22" ht="16.5" thickBot="1" x14ac:dyDescent="0.3">
      <c r="B23" s="189"/>
      <c r="C23" s="186" t="s">
        <v>183</v>
      </c>
      <c r="D23" s="187"/>
      <c r="E23" s="188"/>
      <c r="F23" s="106"/>
      <c r="G23" s="186" t="s">
        <v>183</v>
      </c>
      <c r="H23" s="187"/>
      <c r="I23" s="188"/>
      <c r="J23" s="106"/>
      <c r="K23" s="186" t="s">
        <v>183</v>
      </c>
      <c r="L23" s="187"/>
      <c r="M23" s="188"/>
      <c r="N23" s="106"/>
      <c r="O23" s="186" t="s">
        <v>183</v>
      </c>
      <c r="P23" s="187"/>
      <c r="Q23" s="188"/>
      <c r="R23" s="106"/>
      <c r="S23" s="186" t="s">
        <v>183</v>
      </c>
      <c r="T23" s="187"/>
      <c r="U23" s="188"/>
      <c r="V23" s="106"/>
    </row>
    <row r="24" spans="1:22" ht="16.5" thickBot="1" x14ac:dyDescent="0.3">
      <c r="B24" s="190"/>
      <c r="C24" s="89"/>
      <c r="D24" s="55"/>
      <c r="E24" s="90" t="s">
        <v>327</v>
      </c>
      <c r="F24" s="111"/>
      <c r="G24" s="89"/>
      <c r="H24" s="55"/>
      <c r="I24" s="90" t="s">
        <v>328</v>
      </c>
      <c r="J24" s="111"/>
      <c r="K24" s="89"/>
      <c r="L24" s="55"/>
      <c r="M24" s="90" t="s">
        <v>330</v>
      </c>
      <c r="N24" s="111"/>
      <c r="O24" s="89"/>
      <c r="P24" s="55"/>
      <c r="Q24" s="90" t="s">
        <v>332</v>
      </c>
      <c r="R24" s="111"/>
      <c r="S24" s="89"/>
      <c r="T24" s="55"/>
      <c r="U24" s="90" t="s">
        <v>334</v>
      </c>
      <c r="V24" s="111"/>
    </row>
    <row r="25" spans="1:22" x14ac:dyDescent="0.25">
      <c r="B25" s="51" t="s">
        <v>175</v>
      </c>
      <c r="C25" s="91"/>
      <c r="D25" s="91"/>
      <c r="E25" s="92">
        <f>+ROUND(E18,0)</f>
        <v>0</v>
      </c>
      <c r="F25" s="100"/>
      <c r="G25" s="91"/>
      <c r="H25" s="91"/>
      <c r="I25" s="92">
        <f>+ROUND(I18,0)</f>
        <v>0</v>
      </c>
      <c r="J25" s="100"/>
      <c r="K25" s="91"/>
      <c r="L25" s="91"/>
      <c r="M25" s="92">
        <f>+ROUND(M18,0)</f>
        <v>0</v>
      </c>
      <c r="N25" s="100"/>
      <c r="O25" s="91"/>
      <c r="P25" s="91"/>
      <c r="Q25" s="92">
        <f>+ROUND(Q18,0)</f>
        <v>0</v>
      </c>
      <c r="R25" s="100"/>
      <c r="S25" s="91"/>
      <c r="T25" s="91"/>
      <c r="U25" s="92">
        <f>+ROUND(U18,0)</f>
        <v>0</v>
      </c>
      <c r="V25" s="100"/>
    </row>
    <row r="26" spans="1:22" x14ac:dyDescent="0.25">
      <c r="B26" s="51" t="s">
        <v>176</v>
      </c>
      <c r="C26" s="91"/>
      <c r="D26" s="91"/>
      <c r="E26" s="92">
        <f>+ROUND(E19,0)</f>
        <v>0</v>
      </c>
      <c r="F26" s="100"/>
      <c r="G26" s="91"/>
      <c r="H26" s="91"/>
      <c r="I26" s="92">
        <f>+ROUND(I19,0)</f>
        <v>0</v>
      </c>
      <c r="J26" s="100"/>
      <c r="K26" s="91"/>
      <c r="L26" s="91"/>
      <c r="M26" s="92">
        <f>+ROUND(M19,0)</f>
        <v>0</v>
      </c>
      <c r="N26" s="100"/>
      <c r="O26" s="91"/>
      <c r="P26" s="91"/>
      <c r="Q26" s="137">
        <f>+ROUND(Q19,0)</f>
        <v>0</v>
      </c>
      <c r="R26" s="100"/>
      <c r="S26" s="91"/>
      <c r="T26" s="91"/>
      <c r="U26" s="137">
        <f>+ROUND(U19,0)</f>
        <v>0</v>
      </c>
      <c r="V26" s="100"/>
    </row>
    <row r="27" spans="1:22" ht="16.5" thickBot="1" x14ac:dyDescent="0.3">
      <c r="B27" s="52" t="s">
        <v>178</v>
      </c>
      <c r="C27" s="93"/>
      <c r="D27" s="93"/>
      <c r="E27" s="77">
        <f>SUM(E25:E26)</f>
        <v>0</v>
      </c>
      <c r="F27" s="103"/>
      <c r="G27" s="93"/>
      <c r="H27" s="93"/>
      <c r="I27" s="77">
        <f>SUM(I25:I26)</f>
        <v>0</v>
      </c>
      <c r="J27" s="103"/>
      <c r="K27" s="93"/>
      <c r="L27" s="93"/>
      <c r="M27" s="77">
        <f>SUM(M25:M26)</f>
        <v>0</v>
      </c>
      <c r="N27" s="103"/>
      <c r="O27" s="93"/>
      <c r="P27" s="93"/>
      <c r="Q27" s="77">
        <f>SUM(Q25:Q26)</f>
        <v>0</v>
      </c>
      <c r="R27" s="103"/>
      <c r="S27" s="93"/>
      <c r="T27" s="93"/>
      <c r="U27" s="77">
        <f>SUM(U25:U26)</f>
        <v>0</v>
      </c>
      <c r="V27" s="103"/>
    </row>
  </sheetData>
  <mergeCells count="12">
    <mergeCell ref="S10:U10"/>
    <mergeCell ref="S23:U23"/>
    <mergeCell ref="O10:Q10"/>
    <mergeCell ref="O23:Q23"/>
    <mergeCell ref="B23:B24"/>
    <mergeCell ref="C23:E23"/>
    <mergeCell ref="G23:I23"/>
    <mergeCell ref="K23:M23"/>
    <mergeCell ref="K10:M10"/>
    <mergeCell ref="B10:B11"/>
    <mergeCell ref="C10:E10"/>
    <mergeCell ref="G10:I10"/>
  </mergeCells>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2C556-C4C6-4BBB-805E-1643E9E076AE}">
  <sheetPr>
    <tabColor theme="9" tint="0.79998168889431442"/>
  </sheetPr>
  <dimension ref="A1:G71"/>
  <sheetViews>
    <sheetView workbookViewId="0">
      <selection activeCell="K26" sqref="K26"/>
    </sheetView>
  </sheetViews>
  <sheetFormatPr defaultColWidth="15.85546875" defaultRowHeight="15.75" x14ac:dyDescent="0.25"/>
  <cols>
    <col min="1" max="1" width="3.42578125" style="33" customWidth="1"/>
    <col min="2" max="2" width="51" style="37" customWidth="1"/>
    <col min="3" max="3" width="28.28515625" style="35" customWidth="1"/>
    <col min="4" max="4" width="18.42578125" style="35" customWidth="1"/>
    <col min="5" max="5" width="35.42578125" style="35" customWidth="1"/>
    <col min="6" max="6" width="3.140625" style="35" customWidth="1"/>
    <col min="7" max="16384" width="15.85546875" style="35"/>
  </cols>
  <sheetData>
    <row r="1" spans="1:7" x14ac:dyDescent="0.2">
      <c r="B1" s="34" t="s">
        <v>147</v>
      </c>
    </row>
    <row r="2" spans="1:7" x14ac:dyDescent="0.25">
      <c r="A2" s="36"/>
      <c r="B2" s="153" t="s">
        <v>167</v>
      </c>
      <c r="C2" s="94"/>
      <c r="D2" s="94"/>
      <c r="E2" s="94"/>
      <c r="F2" s="94"/>
      <c r="G2" s="94"/>
    </row>
    <row r="3" spans="1:7" x14ac:dyDescent="0.25">
      <c r="A3" s="36"/>
      <c r="B3" s="153" t="s">
        <v>355</v>
      </c>
      <c r="C3" s="94"/>
      <c r="D3" s="94"/>
      <c r="E3" s="94"/>
      <c r="F3" s="94"/>
      <c r="G3" s="94"/>
    </row>
    <row r="4" spans="1:7" x14ac:dyDescent="0.25">
      <c r="A4" s="36"/>
      <c r="B4" s="153" t="s">
        <v>356</v>
      </c>
      <c r="C4" s="94"/>
      <c r="D4" s="94"/>
      <c r="E4" s="94"/>
      <c r="F4" s="94"/>
      <c r="G4" s="94"/>
    </row>
    <row r="5" spans="1:7" x14ac:dyDescent="0.25">
      <c r="A5" s="36"/>
      <c r="B5" s="153" t="s">
        <v>357</v>
      </c>
      <c r="C5" s="94"/>
      <c r="D5" s="94"/>
      <c r="E5" s="94"/>
      <c r="F5" s="94"/>
      <c r="G5" s="94"/>
    </row>
    <row r="6" spans="1:7" x14ac:dyDescent="0.25">
      <c r="A6" s="36"/>
      <c r="B6" s="153" t="s">
        <v>358</v>
      </c>
      <c r="C6" s="94"/>
      <c r="D6" s="94"/>
      <c r="E6" s="94"/>
      <c r="F6" s="94"/>
      <c r="G6" s="94"/>
    </row>
    <row r="7" spans="1:7" x14ac:dyDescent="0.25">
      <c r="A7" s="36"/>
      <c r="B7" s="153" t="s">
        <v>169</v>
      </c>
      <c r="C7" s="94"/>
      <c r="D7" s="94"/>
      <c r="E7" s="94"/>
      <c r="F7" s="94"/>
      <c r="G7" s="94"/>
    </row>
    <row r="9" spans="1:7" ht="16.5" thickBot="1" x14ac:dyDescent="0.3"/>
    <row r="10" spans="1:7" ht="16.5" customHeight="1" thickBot="1" x14ac:dyDescent="0.3">
      <c r="A10" s="38"/>
      <c r="B10" s="189" t="s">
        <v>336</v>
      </c>
      <c r="C10" s="186" t="s">
        <v>170</v>
      </c>
      <c r="D10" s="187"/>
      <c r="E10" s="188"/>
      <c r="F10" s="95"/>
    </row>
    <row r="11" spans="1:7" ht="16.5" thickBot="1" x14ac:dyDescent="0.3">
      <c r="A11" s="38"/>
      <c r="B11" s="190"/>
      <c r="C11" s="136" t="s">
        <v>337</v>
      </c>
      <c r="D11" s="133"/>
      <c r="E11" s="134"/>
      <c r="F11" s="96"/>
    </row>
    <row r="12" spans="1:7" x14ac:dyDescent="0.25">
      <c r="A12" s="38"/>
      <c r="B12" s="56" t="s">
        <v>157</v>
      </c>
      <c r="C12" s="56" t="s">
        <v>171</v>
      </c>
      <c r="D12" s="57" t="s">
        <v>172</v>
      </c>
      <c r="E12" s="58" t="s">
        <v>10</v>
      </c>
      <c r="F12" s="97"/>
    </row>
    <row r="13" spans="1:7" x14ac:dyDescent="0.25">
      <c r="A13" s="38"/>
      <c r="B13" s="59" t="s">
        <v>184</v>
      </c>
      <c r="C13" s="60"/>
      <c r="D13" s="61">
        <v>0</v>
      </c>
      <c r="E13" s="62">
        <f>+C13*D13</f>
        <v>0</v>
      </c>
      <c r="F13" s="98"/>
    </row>
    <row r="14" spans="1:7" x14ac:dyDescent="0.25">
      <c r="A14" s="38"/>
      <c r="B14" s="59" t="s">
        <v>185</v>
      </c>
      <c r="C14" s="60"/>
      <c r="D14" s="61">
        <v>0</v>
      </c>
      <c r="E14" s="62">
        <f t="shared" ref="E14:E25" si="0">+C14*D14</f>
        <v>0</v>
      </c>
      <c r="F14" s="98"/>
    </row>
    <row r="15" spans="1:7" x14ac:dyDescent="0.25">
      <c r="A15" s="38"/>
      <c r="B15" s="59" t="s">
        <v>186</v>
      </c>
      <c r="C15" s="60"/>
      <c r="D15" s="61">
        <v>0</v>
      </c>
      <c r="E15" s="62">
        <f t="shared" si="0"/>
        <v>0</v>
      </c>
      <c r="F15" s="98"/>
    </row>
    <row r="16" spans="1:7" x14ac:dyDescent="0.25">
      <c r="A16" s="38"/>
      <c r="B16" s="59" t="s">
        <v>187</v>
      </c>
      <c r="C16" s="60"/>
      <c r="D16" s="61">
        <v>0</v>
      </c>
      <c r="E16" s="62">
        <f t="shared" si="0"/>
        <v>0</v>
      </c>
      <c r="F16" s="98"/>
    </row>
    <row r="17" spans="1:6" x14ac:dyDescent="0.25">
      <c r="A17" s="38"/>
      <c r="B17" s="59" t="s">
        <v>188</v>
      </c>
      <c r="C17" s="60"/>
      <c r="D17" s="61">
        <v>0</v>
      </c>
      <c r="E17" s="62">
        <f t="shared" si="0"/>
        <v>0</v>
      </c>
      <c r="F17" s="98"/>
    </row>
    <row r="18" spans="1:6" x14ac:dyDescent="0.25">
      <c r="A18" s="38"/>
      <c r="B18" s="59" t="s">
        <v>189</v>
      </c>
      <c r="C18" s="60"/>
      <c r="D18" s="61">
        <v>0</v>
      </c>
      <c r="E18" s="62">
        <f t="shared" si="0"/>
        <v>0</v>
      </c>
      <c r="F18" s="98"/>
    </row>
    <row r="19" spans="1:6" x14ac:dyDescent="0.25">
      <c r="A19" s="38"/>
      <c r="B19" s="59" t="s">
        <v>190</v>
      </c>
      <c r="C19" s="60"/>
      <c r="D19" s="61">
        <v>0</v>
      </c>
      <c r="E19" s="62">
        <f t="shared" si="0"/>
        <v>0</v>
      </c>
      <c r="F19" s="98"/>
    </row>
    <row r="20" spans="1:6" x14ac:dyDescent="0.25">
      <c r="A20" s="38"/>
      <c r="B20" s="59" t="s">
        <v>191</v>
      </c>
      <c r="C20" s="60"/>
      <c r="D20" s="61">
        <v>0</v>
      </c>
      <c r="E20" s="62">
        <f t="shared" si="0"/>
        <v>0</v>
      </c>
      <c r="F20" s="98"/>
    </row>
    <row r="21" spans="1:6" x14ac:dyDescent="0.25">
      <c r="A21" s="38"/>
      <c r="B21" s="59" t="s">
        <v>192</v>
      </c>
      <c r="C21" s="60"/>
      <c r="D21" s="61">
        <v>0</v>
      </c>
      <c r="E21" s="62">
        <f t="shared" si="0"/>
        <v>0</v>
      </c>
      <c r="F21" s="98"/>
    </row>
    <row r="22" spans="1:6" x14ac:dyDescent="0.25">
      <c r="A22" s="38"/>
      <c r="B22" s="59" t="s">
        <v>193</v>
      </c>
      <c r="C22" s="60"/>
      <c r="D22" s="61">
        <v>0</v>
      </c>
      <c r="E22" s="62">
        <f t="shared" si="0"/>
        <v>0</v>
      </c>
      <c r="F22" s="98"/>
    </row>
    <row r="23" spans="1:6" x14ac:dyDescent="0.25">
      <c r="A23" s="38"/>
      <c r="B23" s="59" t="s">
        <v>194</v>
      </c>
      <c r="C23" s="60"/>
      <c r="D23" s="61">
        <v>0</v>
      </c>
      <c r="E23" s="62">
        <f t="shared" si="0"/>
        <v>0</v>
      </c>
      <c r="F23" s="98"/>
    </row>
    <row r="24" spans="1:6" x14ac:dyDescent="0.25">
      <c r="A24" s="38"/>
      <c r="B24" s="59" t="s">
        <v>195</v>
      </c>
      <c r="C24" s="60"/>
      <c r="D24" s="61">
        <v>0</v>
      </c>
      <c r="E24" s="62">
        <f t="shared" si="0"/>
        <v>0</v>
      </c>
      <c r="F24" s="98"/>
    </row>
    <row r="25" spans="1:6" ht="16.5" thickBot="1" x14ac:dyDescent="0.3">
      <c r="A25" s="38"/>
      <c r="B25" s="59" t="s">
        <v>196</v>
      </c>
      <c r="C25" s="63"/>
      <c r="D25" s="39">
        <v>0</v>
      </c>
      <c r="E25" s="64">
        <f t="shared" si="0"/>
        <v>0</v>
      </c>
      <c r="F25" s="99"/>
    </row>
    <row r="26" spans="1:6" ht="16.5" thickBot="1" x14ac:dyDescent="0.3">
      <c r="A26" s="38"/>
      <c r="B26" s="113" t="s">
        <v>173</v>
      </c>
      <c r="C26" s="65">
        <f>SUM(C13:C25)</f>
        <v>0</v>
      </c>
      <c r="D26" s="66"/>
      <c r="E26" s="67">
        <f>SUM(E13:E25)</f>
        <v>0</v>
      </c>
      <c r="F26" s="100"/>
    </row>
    <row r="27" spans="1:6" x14ac:dyDescent="0.25">
      <c r="A27" s="38"/>
      <c r="B27" s="68"/>
      <c r="C27" s="56" t="s">
        <v>174</v>
      </c>
      <c r="D27" s="57" t="s">
        <v>172</v>
      </c>
      <c r="E27" s="58" t="s">
        <v>10</v>
      </c>
      <c r="F27" s="101"/>
    </row>
    <row r="28" spans="1:6" x14ac:dyDescent="0.25">
      <c r="A28" s="38"/>
      <c r="B28" s="51" t="s">
        <v>160</v>
      </c>
      <c r="C28" s="69">
        <f>+E26</f>
        <v>0</v>
      </c>
      <c r="D28" s="70">
        <v>0</v>
      </c>
      <c r="E28" s="71">
        <f>+C28*D28</f>
        <v>0</v>
      </c>
      <c r="F28" s="100"/>
    </row>
    <row r="29" spans="1:6" x14ac:dyDescent="0.25">
      <c r="A29" s="38"/>
      <c r="B29" s="51" t="s">
        <v>161</v>
      </c>
      <c r="C29" s="69">
        <f>+C28+E28</f>
        <v>0</v>
      </c>
      <c r="D29" s="70">
        <v>0</v>
      </c>
      <c r="E29" s="71">
        <f>+C29*D29</f>
        <v>0</v>
      </c>
      <c r="F29" s="100"/>
    </row>
    <row r="30" spans="1:6" x14ac:dyDescent="0.25">
      <c r="A30" s="38"/>
      <c r="B30" s="51" t="s">
        <v>162</v>
      </c>
      <c r="C30" s="69">
        <f>+C29+E29</f>
        <v>0</v>
      </c>
      <c r="D30" s="70">
        <v>0</v>
      </c>
      <c r="E30" s="71">
        <f>+C30*D30</f>
        <v>0</v>
      </c>
      <c r="F30" s="100"/>
    </row>
    <row r="31" spans="1:6" x14ac:dyDescent="0.25">
      <c r="A31" s="38"/>
      <c r="B31" s="51" t="s">
        <v>163</v>
      </c>
      <c r="C31" s="69">
        <f>+C28</f>
        <v>0</v>
      </c>
      <c r="D31" s="70">
        <v>0</v>
      </c>
      <c r="E31" s="71">
        <f>+C31*D31</f>
        <v>0</v>
      </c>
      <c r="F31" s="100"/>
    </row>
    <row r="32" spans="1:6" x14ac:dyDescent="0.25">
      <c r="A32" s="38"/>
      <c r="B32" s="51" t="s">
        <v>164</v>
      </c>
      <c r="C32" s="69">
        <f>+C30+E30</f>
        <v>0</v>
      </c>
      <c r="D32" s="70">
        <v>0</v>
      </c>
      <c r="E32" s="71">
        <f>+C32*D32</f>
        <v>0</v>
      </c>
      <c r="F32" s="100"/>
    </row>
    <row r="33" spans="1:6" x14ac:dyDescent="0.25">
      <c r="A33" s="38"/>
      <c r="B33" s="51" t="s">
        <v>175</v>
      </c>
      <c r="C33" s="72"/>
      <c r="D33" s="73"/>
      <c r="E33" s="71">
        <f>+SUM(E26,E28,E29,E30)</f>
        <v>0</v>
      </c>
      <c r="F33" s="100"/>
    </row>
    <row r="34" spans="1:6" x14ac:dyDescent="0.25">
      <c r="A34" s="38"/>
      <c r="B34" s="51" t="s">
        <v>176</v>
      </c>
      <c r="C34" s="72"/>
      <c r="D34" s="73"/>
      <c r="E34" s="71">
        <f>+E31</f>
        <v>0</v>
      </c>
      <c r="F34" s="100"/>
    </row>
    <row r="35" spans="1:6" ht="16.5" customHeight="1" x14ac:dyDescent="0.25">
      <c r="A35" s="38"/>
      <c r="B35" s="51" t="s">
        <v>177</v>
      </c>
      <c r="C35" s="72"/>
      <c r="D35" s="73"/>
      <c r="E35" s="74">
        <f>+E32</f>
        <v>0</v>
      </c>
      <c r="F35" s="102"/>
    </row>
    <row r="36" spans="1:6" ht="16.5" thickBot="1" x14ac:dyDescent="0.3">
      <c r="A36" s="38"/>
      <c r="B36" s="52" t="s">
        <v>178</v>
      </c>
      <c r="C36" s="75"/>
      <c r="D36" s="76"/>
      <c r="E36" s="77">
        <f>SUM(E33:E35)</f>
        <v>0</v>
      </c>
      <c r="F36" s="103"/>
    </row>
    <row r="37" spans="1:6" x14ac:dyDescent="0.25">
      <c r="A37" s="38"/>
      <c r="B37" s="41"/>
      <c r="C37" s="78"/>
      <c r="D37" s="78"/>
      <c r="E37" s="78"/>
      <c r="F37" s="104"/>
    </row>
    <row r="38" spans="1:6" ht="16.5" thickBot="1" x14ac:dyDescent="0.3">
      <c r="A38" s="38"/>
      <c r="C38" s="37"/>
      <c r="D38" s="37"/>
      <c r="E38" s="37"/>
      <c r="F38" s="105"/>
    </row>
    <row r="39" spans="1:6" ht="16.5" thickBot="1" x14ac:dyDescent="0.3">
      <c r="A39" s="38"/>
      <c r="B39" s="189" t="str">
        <f>B10</f>
        <v>CLIN 0014  – CPFF</v>
      </c>
      <c r="C39" s="186" t="s">
        <v>179</v>
      </c>
      <c r="D39" s="187"/>
      <c r="E39" s="188"/>
      <c r="F39" s="106"/>
    </row>
    <row r="40" spans="1:6" ht="16.5" thickBot="1" x14ac:dyDescent="0.3">
      <c r="A40" s="38"/>
      <c r="B40" s="190"/>
      <c r="C40" s="136" t="str">
        <f>C11</f>
        <v>0014: Design Demonstration - Basic Period</v>
      </c>
      <c r="D40" s="133"/>
      <c r="E40" s="134"/>
      <c r="F40" s="107"/>
    </row>
    <row r="41" spans="1:6" x14ac:dyDescent="0.25">
      <c r="A41" s="38"/>
      <c r="B41" s="79"/>
      <c r="C41" s="56" t="s">
        <v>174</v>
      </c>
      <c r="D41" s="57" t="s">
        <v>172</v>
      </c>
      <c r="E41" s="58" t="s">
        <v>10</v>
      </c>
      <c r="F41" s="101"/>
    </row>
    <row r="42" spans="1:6" x14ac:dyDescent="0.25">
      <c r="A42" s="38"/>
      <c r="B42" s="80" t="s">
        <v>180</v>
      </c>
      <c r="C42" s="81"/>
      <c r="D42" s="82"/>
      <c r="E42" s="83"/>
      <c r="F42" s="100"/>
    </row>
    <row r="43" spans="1:6" x14ac:dyDescent="0.25">
      <c r="A43" s="38"/>
      <c r="B43" s="51" t="s">
        <v>161</v>
      </c>
      <c r="C43" s="69">
        <f>+E42</f>
        <v>0</v>
      </c>
      <c r="D43" s="70">
        <v>0</v>
      </c>
      <c r="E43" s="71">
        <f>+C43*D43</f>
        <v>0</v>
      </c>
      <c r="F43" s="108"/>
    </row>
    <row r="44" spans="1:6" x14ac:dyDescent="0.25">
      <c r="A44" s="38"/>
      <c r="B44" s="51" t="s">
        <v>162</v>
      </c>
      <c r="C44" s="69">
        <f>+C43+E43</f>
        <v>0</v>
      </c>
      <c r="D44" s="70">
        <v>0</v>
      </c>
      <c r="E44" s="71">
        <f>+C44*D44</f>
        <v>0</v>
      </c>
      <c r="F44" s="108"/>
    </row>
    <row r="45" spans="1:6" x14ac:dyDescent="0.25">
      <c r="A45" s="38"/>
      <c r="B45" s="51" t="s">
        <v>163</v>
      </c>
      <c r="C45" s="69">
        <f>+C43</f>
        <v>0</v>
      </c>
      <c r="D45" s="70">
        <v>0</v>
      </c>
      <c r="E45" s="71">
        <f>+C45*D45</f>
        <v>0</v>
      </c>
      <c r="F45" s="100"/>
    </row>
    <row r="46" spans="1:6" x14ac:dyDescent="0.25">
      <c r="A46" s="38"/>
      <c r="B46" s="51" t="s">
        <v>164</v>
      </c>
      <c r="C46" s="69">
        <f>+C44+E44</f>
        <v>0</v>
      </c>
      <c r="D46" s="70">
        <v>0</v>
      </c>
      <c r="E46" s="71">
        <f>+C46*D46</f>
        <v>0</v>
      </c>
      <c r="F46" s="100"/>
    </row>
    <row r="47" spans="1:6" ht="16.5" customHeight="1" x14ac:dyDescent="0.25">
      <c r="A47" s="38"/>
      <c r="B47" s="51" t="s">
        <v>175</v>
      </c>
      <c r="C47" s="84"/>
      <c r="D47" s="85"/>
      <c r="E47" s="71">
        <f>+ROUND(SUM(E42:E44),0)</f>
        <v>0</v>
      </c>
      <c r="F47" s="100"/>
    </row>
    <row r="48" spans="1:6" x14ac:dyDescent="0.25">
      <c r="A48" s="38"/>
      <c r="B48" s="51" t="s">
        <v>176</v>
      </c>
      <c r="C48" s="81"/>
      <c r="D48" s="86"/>
      <c r="E48" s="71">
        <f>+ROUND(E45,0)</f>
        <v>0</v>
      </c>
      <c r="F48" s="100"/>
    </row>
    <row r="49" spans="1:6" x14ac:dyDescent="0.25">
      <c r="B49" s="51" t="s">
        <v>177</v>
      </c>
      <c r="C49" s="81"/>
      <c r="D49" s="86"/>
      <c r="E49" s="87">
        <f>+ROUND(E46,0)</f>
        <v>0</v>
      </c>
      <c r="F49" s="109"/>
    </row>
    <row r="50" spans="1:6" ht="16.5" thickBot="1" x14ac:dyDescent="0.3">
      <c r="B50" s="52" t="s">
        <v>178</v>
      </c>
      <c r="C50" s="112"/>
      <c r="D50" s="88"/>
      <c r="E50" s="64">
        <f t="shared" ref="E50" si="1">SUM(E47:E49)</f>
        <v>0</v>
      </c>
      <c r="F50" s="99"/>
    </row>
    <row r="51" spans="1:6" ht="16.5" thickBot="1" x14ac:dyDescent="0.3">
      <c r="B51" s="41"/>
      <c r="F51" s="110"/>
    </row>
    <row r="52" spans="1:6" ht="16.5" thickBot="1" x14ac:dyDescent="0.3">
      <c r="A52" s="38"/>
      <c r="B52" s="189" t="str">
        <f>B39</f>
        <v>CLIN 0014  – CPFF</v>
      </c>
      <c r="C52" s="186" t="s">
        <v>181</v>
      </c>
      <c r="D52" s="187"/>
      <c r="E52" s="188"/>
      <c r="F52" s="106"/>
    </row>
    <row r="53" spans="1:6" ht="16.5" thickBot="1" x14ac:dyDescent="0.3">
      <c r="A53" s="38"/>
      <c r="B53" s="190"/>
      <c r="C53" s="136" t="str">
        <f>C40</f>
        <v>0014: Design Demonstration - Basic Period</v>
      </c>
      <c r="D53" s="133"/>
      <c r="E53" s="134"/>
      <c r="F53" s="107"/>
    </row>
    <row r="54" spans="1:6" x14ac:dyDescent="0.25">
      <c r="A54" s="38"/>
      <c r="B54" s="79"/>
      <c r="C54" s="56" t="s">
        <v>174</v>
      </c>
      <c r="D54" s="57" t="s">
        <v>172</v>
      </c>
      <c r="E54" s="58" t="s">
        <v>10</v>
      </c>
      <c r="F54" s="101"/>
    </row>
    <row r="55" spans="1:6" x14ac:dyDescent="0.25">
      <c r="A55" s="38"/>
      <c r="B55" s="80" t="s">
        <v>182</v>
      </c>
      <c r="C55" s="81"/>
      <c r="D55" s="82"/>
      <c r="E55" s="83"/>
      <c r="F55" s="100"/>
    </row>
    <row r="56" spans="1:6" x14ac:dyDescent="0.25">
      <c r="A56" s="38"/>
      <c r="B56" s="51" t="s">
        <v>161</v>
      </c>
      <c r="C56" s="69">
        <f>+E55</f>
        <v>0</v>
      </c>
      <c r="D56" s="70">
        <v>0</v>
      </c>
      <c r="E56" s="71">
        <f>+C56*D56</f>
        <v>0</v>
      </c>
      <c r="F56" s="108"/>
    </row>
    <row r="57" spans="1:6" x14ac:dyDescent="0.25">
      <c r="A57" s="38"/>
      <c r="B57" s="51" t="s">
        <v>162</v>
      </c>
      <c r="C57" s="69">
        <f>+C56+E56</f>
        <v>0</v>
      </c>
      <c r="D57" s="70">
        <v>0</v>
      </c>
      <c r="E57" s="71">
        <f>+C57*D57</f>
        <v>0</v>
      </c>
      <c r="F57" s="108"/>
    </row>
    <row r="58" spans="1:6" x14ac:dyDescent="0.25">
      <c r="A58" s="38"/>
      <c r="B58" s="51" t="s">
        <v>163</v>
      </c>
      <c r="C58" s="69">
        <f>+C56</f>
        <v>0</v>
      </c>
      <c r="D58" s="70">
        <v>0</v>
      </c>
      <c r="E58" s="71">
        <f>+C58*D58</f>
        <v>0</v>
      </c>
      <c r="F58" s="100"/>
    </row>
    <row r="59" spans="1:6" x14ac:dyDescent="0.25">
      <c r="A59" s="38"/>
      <c r="B59" s="51" t="s">
        <v>164</v>
      </c>
      <c r="C59" s="69">
        <f>+C57+E57</f>
        <v>0</v>
      </c>
      <c r="D59" s="70">
        <v>0</v>
      </c>
      <c r="E59" s="71">
        <f>+C59*D59</f>
        <v>0</v>
      </c>
      <c r="F59" s="100"/>
    </row>
    <row r="60" spans="1:6" ht="16.5" customHeight="1" x14ac:dyDescent="0.25">
      <c r="A60" s="38"/>
      <c r="B60" s="51" t="s">
        <v>175</v>
      </c>
      <c r="C60" s="84"/>
      <c r="D60" s="85"/>
      <c r="E60" s="71">
        <f>+ROUND(SUM(E55:E57),0)</f>
        <v>0</v>
      </c>
      <c r="F60" s="100"/>
    </row>
    <row r="61" spans="1:6" x14ac:dyDescent="0.25">
      <c r="A61" s="38"/>
      <c r="B61" s="51" t="s">
        <v>176</v>
      </c>
      <c r="C61" s="81"/>
      <c r="D61" s="86"/>
      <c r="E61" s="71">
        <f>+ROUND(E58,0)</f>
        <v>0</v>
      </c>
      <c r="F61" s="100"/>
    </row>
    <row r="62" spans="1:6" x14ac:dyDescent="0.25">
      <c r="B62" s="51" t="s">
        <v>177</v>
      </c>
      <c r="C62" s="81"/>
      <c r="D62" s="86"/>
      <c r="E62" s="87">
        <f>+ROUND(E59,0)</f>
        <v>0</v>
      </c>
      <c r="F62" s="109"/>
    </row>
    <row r="63" spans="1:6" ht="16.5" thickBot="1" x14ac:dyDescent="0.3">
      <c r="B63" s="52" t="s">
        <v>178</v>
      </c>
      <c r="C63" s="112"/>
      <c r="D63" s="88"/>
      <c r="E63" s="64">
        <f t="shared" ref="E63" si="2">SUM(E60:E62)</f>
        <v>0</v>
      </c>
      <c r="F63" s="99"/>
    </row>
    <row r="64" spans="1:6" x14ac:dyDescent="0.25">
      <c r="B64" s="41"/>
      <c r="F64" s="110"/>
    </row>
    <row r="65" spans="2:6" ht="16.5" thickBot="1" x14ac:dyDescent="0.3">
      <c r="F65" s="110"/>
    </row>
    <row r="66" spans="2:6" ht="16.5" thickBot="1" x14ac:dyDescent="0.3">
      <c r="B66" s="189" t="str">
        <f>B52</f>
        <v>CLIN 0014  – CPFF</v>
      </c>
      <c r="C66" s="186" t="s">
        <v>183</v>
      </c>
      <c r="D66" s="187"/>
      <c r="E66" s="188"/>
      <c r="F66" s="106"/>
    </row>
    <row r="67" spans="2:6" ht="16.5" thickBot="1" x14ac:dyDescent="0.3">
      <c r="B67" s="190"/>
      <c r="C67" s="89"/>
      <c r="D67" s="55"/>
      <c r="E67" s="90" t="s">
        <v>325</v>
      </c>
      <c r="F67" s="111"/>
    </row>
    <row r="68" spans="2:6" x14ac:dyDescent="0.25">
      <c r="B68" s="51" t="s">
        <v>175</v>
      </c>
      <c r="C68" s="91"/>
      <c r="D68" s="91"/>
      <c r="E68" s="92">
        <f>+ROUND(E33+E47+E60,0)</f>
        <v>0</v>
      </c>
      <c r="F68" s="100"/>
    </row>
    <row r="69" spans="2:6" x14ac:dyDescent="0.25">
      <c r="B69" s="51" t="s">
        <v>176</v>
      </c>
      <c r="C69" s="91"/>
      <c r="D69" s="91"/>
      <c r="E69" s="71">
        <f>+ROUND(E34+E48+E61,0)</f>
        <v>0</v>
      </c>
      <c r="F69" s="100"/>
    </row>
    <row r="70" spans="2:6" x14ac:dyDescent="0.25">
      <c r="B70" s="51" t="s">
        <v>177</v>
      </c>
      <c r="C70" s="91"/>
      <c r="D70" s="91"/>
      <c r="E70" s="74">
        <f>+ROUND(E35+E49+E62,0)</f>
        <v>0</v>
      </c>
      <c r="F70" s="102"/>
    </row>
    <row r="71" spans="2:6" ht="16.5" thickBot="1" x14ac:dyDescent="0.3">
      <c r="B71" s="52" t="s">
        <v>178</v>
      </c>
      <c r="C71" s="93"/>
      <c r="D71" s="93"/>
      <c r="E71" s="77">
        <f>SUM(E68:E70)</f>
        <v>0</v>
      </c>
      <c r="F71" s="103"/>
    </row>
  </sheetData>
  <mergeCells count="8">
    <mergeCell ref="B66:B67"/>
    <mergeCell ref="C66:E66"/>
    <mergeCell ref="B10:B11"/>
    <mergeCell ref="C10:E10"/>
    <mergeCell ref="B39:B40"/>
    <mergeCell ref="C39:E39"/>
    <mergeCell ref="B52:B53"/>
    <mergeCell ref="C52:E52"/>
  </mergeCells>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8A976-7FD5-476E-A953-BAB56DE3257F}">
  <sheetPr>
    <tabColor theme="9" tint="0.79998168889431442"/>
  </sheetPr>
  <dimension ref="A1:S71"/>
  <sheetViews>
    <sheetView topLeftCell="B1" workbookViewId="0">
      <selection activeCell="B2" sqref="B2:G7"/>
    </sheetView>
  </sheetViews>
  <sheetFormatPr defaultColWidth="15.85546875" defaultRowHeight="15.75" x14ac:dyDescent="0.25"/>
  <cols>
    <col min="1" max="1" width="3.42578125" style="33" customWidth="1"/>
    <col min="2" max="2" width="49.140625" style="37" customWidth="1"/>
    <col min="3" max="3" width="28.28515625" style="35" customWidth="1"/>
    <col min="4" max="4" width="25.42578125" style="35" customWidth="1"/>
    <col min="5" max="5" width="35.42578125" style="35" customWidth="1"/>
    <col min="6" max="7" width="3.140625" style="35" customWidth="1"/>
    <col min="8" max="8" width="45" style="35" bestFit="1" customWidth="1"/>
    <col min="9" max="9" width="28.28515625" style="35" customWidth="1"/>
    <col min="10" max="10" width="25.42578125" style="35" customWidth="1"/>
    <col min="11" max="11" width="35.42578125" style="35" customWidth="1"/>
    <col min="12" max="12" width="3.140625" style="35" customWidth="1"/>
    <col min="13" max="13" width="28.28515625" style="35" customWidth="1"/>
    <col min="14" max="14" width="25.42578125" style="35" customWidth="1"/>
    <col min="15" max="15" width="35.42578125" style="35" customWidth="1"/>
    <col min="16" max="16" width="3.140625" style="35" customWidth="1"/>
    <col min="17" max="17" width="28.28515625" style="35" customWidth="1"/>
    <col min="18" max="18" width="25.42578125" style="35" customWidth="1"/>
    <col min="19" max="19" width="35.42578125" style="35" customWidth="1"/>
    <col min="20" max="16384" width="15.85546875" style="35"/>
  </cols>
  <sheetData>
    <row r="1" spans="1:19" x14ac:dyDescent="0.2">
      <c r="B1" s="34" t="s">
        <v>147</v>
      </c>
    </row>
    <row r="2" spans="1:19" x14ac:dyDescent="0.25">
      <c r="A2" s="36"/>
      <c r="B2" s="153" t="s">
        <v>167</v>
      </c>
      <c r="C2" s="94"/>
      <c r="D2" s="94"/>
      <c r="E2" s="94"/>
      <c r="F2" s="94"/>
      <c r="G2" s="94"/>
      <c r="H2" s="94"/>
      <c r="I2" s="94"/>
      <c r="J2" s="94"/>
      <c r="K2" s="94"/>
      <c r="L2" s="94"/>
      <c r="M2" s="94"/>
      <c r="N2" s="94"/>
      <c r="O2" s="94"/>
      <c r="P2" s="94"/>
      <c r="Q2" s="94"/>
      <c r="R2" s="94"/>
      <c r="S2" s="94"/>
    </row>
    <row r="3" spans="1:19" x14ac:dyDescent="0.25">
      <c r="A3" s="36"/>
      <c r="B3" s="153" t="s">
        <v>355</v>
      </c>
      <c r="C3" s="94"/>
      <c r="D3" s="94"/>
      <c r="E3" s="94"/>
      <c r="F3" s="94"/>
      <c r="G3" s="94"/>
      <c r="H3" s="94"/>
      <c r="I3" s="94"/>
      <c r="J3" s="94"/>
      <c r="K3" s="94"/>
      <c r="L3" s="94"/>
      <c r="M3" s="94"/>
      <c r="N3" s="94"/>
      <c r="O3" s="94"/>
      <c r="P3" s="94"/>
      <c r="Q3" s="94"/>
      <c r="R3" s="94"/>
      <c r="S3" s="94"/>
    </row>
    <row r="4" spans="1:19" x14ac:dyDescent="0.25">
      <c r="A4" s="36"/>
      <c r="B4" s="153" t="s">
        <v>356</v>
      </c>
      <c r="C4" s="94"/>
      <c r="D4" s="94"/>
      <c r="E4" s="94"/>
      <c r="F4" s="94"/>
      <c r="G4" s="94"/>
      <c r="H4" s="94"/>
      <c r="I4" s="94"/>
      <c r="J4" s="94"/>
      <c r="K4" s="94"/>
      <c r="L4" s="94"/>
      <c r="M4" s="94"/>
      <c r="N4" s="94"/>
      <c r="O4" s="94"/>
      <c r="P4" s="94"/>
      <c r="Q4" s="94"/>
      <c r="R4" s="94"/>
      <c r="S4" s="94"/>
    </row>
    <row r="5" spans="1:19" x14ac:dyDescent="0.25">
      <c r="A5" s="36"/>
      <c r="B5" s="153" t="s">
        <v>357</v>
      </c>
      <c r="C5" s="94"/>
      <c r="D5" s="94"/>
      <c r="E5" s="94"/>
      <c r="F5" s="94"/>
      <c r="G5" s="94"/>
      <c r="H5" s="94"/>
      <c r="I5" s="94"/>
      <c r="J5" s="94"/>
      <c r="K5" s="94"/>
      <c r="L5" s="94"/>
      <c r="M5" s="94"/>
      <c r="N5" s="94"/>
      <c r="O5" s="94"/>
      <c r="P5" s="94"/>
      <c r="Q5" s="94"/>
      <c r="R5" s="94"/>
      <c r="S5" s="94"/>
    </row>
    <row r="6" spans="1:19" x14ac:dyDescent="0.25">
      <c r="A6" s="36"/>
      <c r="B6" s="153" t="s">
        <v>358</v>
      </c>
      <c r="C6" s="94"/>
      <c r="D6" s="94"/>
      <c r="E6" s="94"/>
      <c r="F6" s="94"/>
      <c r="G6" s="94"/>
      <c r="H6" s="94"/>
      <c r="I6" s="94"/>
      <c r="J6" s="94"/>
      <c r="K6" s="94"/>
      <c r="L6" s="94"/>
      <c r="M6" s="94"/>
      <c r="N6" s="94"/>
      <c r="O6" s="94"/>
      <c r="P6" s="94"/>
      <c r="Q6" s="94"/>
      <c r="R6" s="94"/>
      <c r="S6" s="94"/>
    </row>
    <row r="7" spans="1:19" x14ac:dyDescent="0.25">
      <c r="A7" s="36"/>
      <c r="B7" s="153" t="s">
        <v>274</v>
      </c>
      <c r="C7" s="94"/>
      <c r="D7" s="94"/>
      <c r="E7" s="94"/>
      <c r="F7" s="94"/>
      <c r="G7" s="94"/>
      <c r="H7" s="94"/>
      <c r="I7" s="94"/>
      <c r="J7" s="94"/>
      <c r="K7" s="94"/>
      <c r="L7" s="94"/>
      <c r="M7" s="94"/>
      <c r="N7" s="94"/>
      <c r="O7" s="94"/>
      <c r="P7" s="94"/>
      <c r="Q7" s="94"/>
      <c r="R7" s="94"/>
      <c r="S7" s="94"/>
    </row>
    <row r="9" spans="1:19" ht="16.5" thickBot="1" x14ac:dyDescent="0.3"/>
    <row r="10" spans="1:19" ht="16.5" thickBot="1" x14ac:dyDescent="0.3">
      <c r="A10" s="38"/>
      <c r="B10" s="189" t="s">
        <v>338</v>
      </c>
      <c r="C10" s="186" t="s">
        <v>170</v>
      </c>
      <c r="D10" s="187"/>
      <c r="E10" s="188"/>
      <c r="F10" s="95"/>
      <c r="G10" s="95"/>
      <c r="H10" s="189" t="s">
        <v>340</v>
      </c>
      <c r="I10" s="186" t="s">
        <v>170</v>
      </c>
      <c r="J10" s="187"/>
      <c r="K10" s="188"/>
      <c r="L10" s="95"/>
      <c r="M10" s="186" t="s">
        <v>170</v>
      </c>
      <c r="N10" s="187"/>
      <c r="O10" s="188"/>
      <c r="P10" s="95"/>
      <c r="Q10" s="186" t="s">
        <v>170</v>
      </c>
      <c r="R10" s="187"/>
      <c r="S10" s="188"/>
    </row>
    <row r="11" spans="1:19" ht="16.5" thickBot="1" x14ac:dyDescent="0.3">
      <c r="A11" s="38"/>
      <c r="B11" s="190"/>
      <c r="C11" s="132" t="s">
        <v>244</v>
      </c>
      <c r="D11" s="133"/>
      <c r="E11" s="134"/>
      <c r="F11" s="96"/>
      <c r="G11" s="96"/>
      <c r="H11" s="190"/>
      <c r="I11" s="132" t="s">
        <v>341</v>
      </c>
      <c r="J11" s="133"/>
      <c r="K11" s="134"/>
      <c r="L11" s="96"/>
      <c r="M11" s="132" t="s">
        <v>342</v>
      </c>
      <c r="N11" s="133"/>
      <c r="O11" s="134"/>
      <c r="P11" s="96"/>
      <c r="Q11" s="132" t="s">
        <v>343</v>
      </c>
      <c r="R11" s="133"/>
      <c r="S11" s="134"/>
    </row>
    <row r="12" spans="1:19" x14ac:dyDescent="0.25">
      <c r="A12" s="38"/>
      <c r="B12" s="56" t="s">
        <v>157</v>
      </c>
      <c r="C12" s="56" t="s">
        <v>171</v>
      </c>
      <c r="D12" s="57" t="s">
        <v>172</v>
      </c>
      <c r="E12" s="58" t="s">
        <v>10</v>
      </c>
      <c r="F12" s="97"/>
      <c r="G12" s="97"/>
      <c r="H12" s="56" t="s">
        <v>157</v>
      </c>
      <c r="I12" s="56" t="s">
        <v>171</v>
      </c>
      <c r="J12" s="57" t="s">
        <v>172</v>
      </c>
      <c r="K12" s="58" t="s">
        <v>10</v>
      </c>
      <c r="L12" s="97"/>
      <c r="M12" s="56" t="s">
        <v>171</v>
      </c>
      <c r="N12" s="57" t="s">
        <v>172</v>
      </c>
      <c r="O12" s="58" t="s">
        <v>10</v>
      </c>
      <c r="P12" s="97"/>
      <c r="Q12" s="56" t="s">
        <v>171</v>
      </c>
      <c r="R12" s="57" t="s">
        <v>172</v>
      </c>
      <c r="S12" s="58" t="s">
        <v>10</v>
      </c>
    </row>
    <row r="13" spans="1:19" x14ac:dyDescent="0.25">
      <c r="A13" s="38"/>
      <c r="B13" s="59" t="s">
        <v>184</v>
      </c>
      <c r="C13" s="60"/>
      <c r="D13" s="61">
        <v>0</v>
      </c>
      <c r="E13" s="62">
        <f>+C13*D13</f>
        <v>0</v>
      </c>
      <c r="F13" s="98"/>
      <c r="G13" s="98"/>
      <c r="H13" s="151" t="s">
        <v>184</v>
      </c>
      <c r="I13" s="60"/>
      <c r="J13" s="61">
        <v>0</v>
      </c>
      <c r="K13" s="62">
        <f>+I13*J13</f>
        <v>0</v>
      </c>
      <c r="L13" s="98"/>
      <c r="M13" s="60"/>
      <c r="N13" s="61">
        <v>0</v>
      </c>
      <c r="O13" s="62">
        <f>+M13*N13</f>
        <v>0</v>
      </c>
      <c r="P13" s="98"/>
      <c r="Q13" s="60"/>
      <c r="R13" s="61">
        <v>0</v>
      </c>
      <c r="S13" s="62">
        <f>+Q13*R13</f>
        <v>0</v>
      </c>
    </row>
    <row r="14" spans="1:19" x14ac:dyDescent="0.25">
      <c r="A14" s="38"/>
      <c r="B14" s="59" t="s">
        <v>185</v>
      </c>
      <c r="C14" s="60"/>
      <c r="D14" s="61">
        <v>0</v>
      </c>
      <c r="E14" s="62">
        <f t="shared" ref="E14:E25" si="0">+C14*D14</f>
        <v>0</v>
      </c>
      <c r="F14" s="98"/>
      <c r="G14" s="98"/>
      <c r="H14" s="59" t="s">
        <v>185</v>
      </c>
      <c r="I14" s="60"/>
      <c r="J14" s="61">
        <v>0</v>
      </c>
      <c r="K14" s="62">
        <f t="shared" ref="K14:K25" si="1">+I14*J14</f>
        <v>0</v>
      </c>
      <c r="L14" s="98"/>
      <c r="M14" s="60"/>
      <c r="N14" s="61">
        <v>0</v>
      </c>
      <c r="O14" s="62">
        <f t="shared" ref="O14:O25" si="2">+M14*N14</f>
        <v>0</v>
      </c>
      <c r="P14" s="98"/>
      <c r="Q14" s="60"/>
      <c r="R14" s="61">
        <v>0</v>
      </c>
      <c r="S14" s="62">
        <f t="shared" ref="S14:S25" si="3">+Q14*R14</f>
        <v>0</v>
      </c>
    </row>
    <row r="15" spans="1:19" x14ac:dyDescent="0.25">
      <c r="A15" s="38"/>
      <c r="B15" s="59" t="s">
        <v>186</v>
      </c>
      <c r="C15" s="60"/>
      <c r="D15" s="61">
        <v>0</v>
      </c>
      <c r="E15" s="62">
        <f t="shared" si="0"/>
        <v>0</v>
      </c>
      <c r="F15" s="98"/>
      <c r="G15" s="98"/>
      <c r="H15" s="59" t="s">
        <v>186</v>
      </c>
      <c r="I15" s="60"/>
      <c r="J15" s="61">
        <v>0</v>
      </c>
      <c r="K15" s="62">
        <f t="shared" si="1"/>
        <v>0</v>
      </c>
      <c r="L15" s="98"/>
      <c r="M15" s="60"/>
      <c r="N15" s="61">
        <v>0</v>
      </c>
      <c r="O15" s="62">
        <f t="shared" si="2"/>
        <v>0</v>
      </c>
      <c r="P15" s="98"/>
      <c r="Q15" s="60"/>
      <c r="R15" s="61">
        <v>0</v>
      </c>
      <c r="S15" s="62">
        <f t="shared" si="3"/>
        <v>0</v>
      </c>
    </row>
    <row r="16" spans="1:19" x14ac:dyDescent="0.25">
      <c r="A16" s="38"/>
      <c r="B16" s="59" t="s">
        <v>187</v>
      </c>
      <c r="C16" s="60"/>
      <c r="D16" s="61">
        <v>0</v>
      </c>
      <c r="E16" s="62">
        <f t="shared" si="0"/>
        <v>0</v>
      </c>
      <c r="F16" s="98"/>
      <c r="G16" s="98"/>
      <c r="H16" s="59" t="s">
        <v>187</v>
      </c>
      <c r="I16" s="60"/>
      <c r="J16" s="61">
        <v>0</v>
      </c>
      <c r="K16" s="62">
        <f t="shared" si="1"/>
        <v>0</v>
      </c>
      <c r="L16" s="98"/>
      <c r="M16" s="60"/>
      <c r="N16" s="61">
        <v>0</v>
      </c>
      <c r="O16" s="62">
        <f t="shared" si="2"/>
        <v>0</v>
      </c>
      <c r="P16" s="98"/>
      <c r="Q16" s="60"/>
      <c r="R16" s="61">
        <v>0</v>
      </c>
      <c r="S16" s="62">
        <f t="shared" si="3"/>
        <v>0</v>
      </c>
    </row>
    <row r="17" spans="1:19" x14ac:dyDescent="0.25">
      <c r="A17" s="38"/>
      <c r="B17" s="59" t="s">
        <v>188</v>
      </c>
      <c r="C17" s="60"/>
      <c r="D17" s="61">
        <v>0</v>
      </c>
      <c r="E17" s="62">
        <f t="shared" si="0"/>
        <v>0</v>
      </c>
      <c r="F17" s="98"/>
      <c r="G17" s="98"/>
      <c r="H17" s="59" t="s">
        <v>188</v>
      </c>
      <c r="I17" s="60"/>
      <c r="J17" s="61">
        <v>0</v>
      </c>
      <c r="K17" s="62">
        <f t="shared" si="1"/>
        <v>0</v>
      </c>
      <c r="L17" s="98"/>
      <c r="M17" s="60"/>
      <c r="N17" s="61">
        <v>0</v>
      </c>
      <c r="O17" s="62">
        <f t="shared" si="2"/>
        <v>0</v>
      </c>
      <c r="P17" s="98"/>
      <c r="Q17" s="60"/>
      <c r="R17" s="61">
        <v>0</v>
      </c>
      <c r="S17" s="62">
        <f t="shared" si="3"/>
        <v>0</v>
      </c>
    </row>
    <row r="18" spans="1:19" x14ac:dyDescent="0.25">
      <c r="A18" s="38"/>
      <c r="B18" s="59" t="s">
        <v>189</v>
      </c>
      <c r="C18" s="60"/>
      <c r="D18" s="61">
        <v>0</v>
      </c>
      <c r="E18" s="62">
        <f t="shared" si="0"/>
        <v>0</v>
      </c>
      <c r="F18" s="98"/>
      <c r="G18" s="98"/>
      <c r="H18" s="59" t="s">
        <v>189</v>
      </c>
      <c r="I18" s="60"/>
      <c r="J18" s="61">
        <v>0</v>
      </c>
      <c r="K18" s="62">
        <f t="shared" si="1"/>
        <v>0</v>
      </c>
      <c r="L18" s="98"/>
      <c r="M18" s="60"/>
      <c r="N18" s="61">
        <v>0</v>
      </c>
      <c r="O18" s="62">
        <f t="shared" si="2"/>
        <v>0</v>
      </c>
      <c r="P18" s="98"/>
      <c r="Q18" s="60"/>
      <c r="R18" s="61">
        <v>0</v>
      </c>
      <c r="S18" s="62">
        <f t="shared" si="3"/>
        <v>0</v>
      </c>
    </row>
    <row r="19" spans="1:19" x14ac:dyDescent="0.25">
      <c r="A19" s="38"/>
      <c r="B19" s="59" t="s">
        <v>190</v>
      </c>
      <c r="C19" s="60"/>
      <c r="D19" s="61">
        <v>0</v>
      </c>
      <c r="E19" s="62">
        <f t="shared" si="0"/>
        <v>0</v>
      </c>
      <c r="F19" s="98"/>
      <c r="G19" s="98"/>
      <c r="H19" s="59" t="s">
        <v>190</v>
      </c>
      <c r="I19" s="60"/>
      <c r="J19" s="61">
        <v>0</v>
      </c>
      <c r="K19" s="62">
        <f t="shared" si="1"/>
        <v>0</v>
      </c>
      <c r="L19" s="98"/>
      <c r="M19" s="60"/>
      <c r="N19" s="61">
        <v>0</v>
      </c>
      <c r="O19" s="62">
        <f t="shared" si="2"/>
        <v>0</v>
      </c>
      <c r="P19" s="98"/>
      <c r="Q19" s="60"/>
      <c r="R19" s="61">
        <v>0</v>
      </c>
      <c r="S19" s="62">
        <f t="shared" si="3"/>
        <v>0</v>
      </c>
    </row>
    <row r="20" spans="1:19" x14ac:dyDescent="0.25">
      <c r="A20" s="38"/>
      <c r="B20" s="59" t="s">
        <v>191</v>
      </c>
      <c r="C20" s="60"/>
      <c r="D20" s="61">
        <v>0</v>
      </c>
      <c r="E20" s="62">
        <f t="shared" si="0"/>
        <v>0</v>
      </c>
      <c r="F20" s="98"/>
      <c r="G20" s="98"/>
      <c r="H20" s="59" t="s">
        <v>191</v>
      </c>
      <c r="I20" s="60"/>
      <c r="J20" s="61">
        <v>0</v>
      </c>
      <c r="K20" s="62">
        <f t="shared" si="1"/>
        <v>0</v>
      </c>
      <c r="L20" s="98"/>
      <c r="M20" s="60"/>
      <c r="N20" s="61">
        <v>0</v>
      </c>
      <c r="O20" s="62">
        <f t="shared" si="2"/>
        <v>0</v>
      </c>
      <c r="P20" s="98"/>
      <c r="Q20" s="60"/>
      <c r="R20" s="61">
        <v>0</v>
      </c>
      <c r="S20" s="62">
        <f t="shared" si="3"/>
        <v>0</v>
      </c>
    </row>
    <row r="21" spans="1:19" x14ac:dyDescent="0.25">
      <c r="A21" s="38"/>
      <c r="B21" s="59" t="s">
        <v>192</v>
      </c>
      <c r="C21" s="60"/>
      <c r="D21" s="61">
        <v>0</v>
      </c>
      <c r="E21" s="62">
        <f t="shared" si="0"/>
        <v>0</v>
      </c>
      <c r="F21" s="98"/>
      <c r="G21" s="98"/>
      <c r="H21" s="59" t="s">
        <v>192</v>
      </c>
      <c r="I21" s="60"/>
      <c r="J21" s="61">
        <v>0</v>
      </c>
      <c r="K21" s="62">
        <f t="shared" si="1"/>
        <v>0</v>
      </c>
      <c r="L21" s="98"/>
      <c r="M21" s="60"/>
      <c r="N21" s="61">
        <v>0</v>
      </c>
      <c r="O21" s="62">
        <f t="shared" si="2"/>
        <v>0</v>
      </c>
      <c r="P21" s="98"/>
      <c r="Q21" s="60"/>
      <c r="R21" s="61">
        <v>0</v>
      </c>
      <c r="S21" s="62">
        <f t="shared" si="3"/>
        <v>0</v>
      </c>
    </row>
    <row r="22" spans="1:19" ht="15" customHeight="1" x14ac:dyDescent="0.25">
      <c r="A22" s="38"/>
      <c r="B22" s="59" t="s">
        <v>193</v>
      </c>
      <c r="C22" s="60"/>
      <c r="D22" s="61">
        <v>0</v>
      </c>
      <c r="E22" s="62">
        <f t="shared" si="0"/>
        <v>0</v>
      </c>
      <c r="F22" s="98"/>
      <c r="G22" s="98"/>
      <c r="H22" s="59" t="s">
        <v>193</v>
      </c>
      <c r="I22" s="60"/>
      <c r="J22" s="61">
        <v>0</v>
      </c>
      <c r="K22" s="62">
        <f t="shared" si="1"/>
        <v>0</v>
      </c>
      <c r="L22" s="98"/>
      <c r="M22" s="60"/>
      <c r="N22" s="61">
        <v>0</v>
      </c>
      <c r="O22" s="62">
        <f t="shared" si="2"/>
        <v>0</v>
      </c>
      <c r="P22" s="98"/>
      <c r="Q22" s="60"/>
      <c r="R22" s="61">
        <v>0</v>
      </c>
      <c r="S22" s="62">
        <f t="shared" si="3"/>
        <v>0</v>
      </c>
    </row>
    <row r="23" spans="1:19" ht="15" customHeight="1" x14ac:dyDescent="0.25">
      <c r="A23" s="38"/>
      <c r="B23" s="59" t="s">
        <v>194</v>
      </c>
      <c r="C23" s="60"/>
      <c r="D23" s="61">
        <v>0</v>
      </c>
      <c r="E23" s="62">
        <f t="shared" si="0"/>
        <v>0</v>
      </c>
      <c r="F23" s="98"/>
      <c r="G23" s="98"/>
      <c r="H23" s="59" t="s">
        <v>194</v>
      </c>
      <c r="I23" s="60"/>
      <c r="J23" s="61">
        <v>0</v>
      </c>
      <c r="K23" s="62">
        <f t="shared" si="1"/>
        <v>0</v>
      </c>
      <c r="L23" s="98"/>
      <c r="M23" s="60"/>
      <c r="N23" s="61">
        <v>0</v>
      </c>
      <c r="O23" s="62">
        <f t="shared" si="2"/>
        <v>0</v>
      </c>
      <c r="P23" s="98"/>
      <c r="Q23" s="60"/>
      <c r="R23" s="61">
        <v>0</v>
      </c>
      <c r="S23" s="62">
        <f t="shared" si="3"/>
        <v>0</v>
      </c>
    </row>
    <row r="24" spans="1:19" ht="15" customHeight="1" x14ac:dyDescent="0.25">
      <c r="A24" s="38"/>
      <c r="B24" s="59" t="s">
        <v>195</v>
      </c>
      <c r="C24" s="60"/>
      <c r="D24" s="61">
        <v>0</v>
      </c>
      <c r="E24" s="62">
        <f t="shared" si="0"/>
        <v>0</v>
      </c>
      <c r="F24" s="98"/>
      <c r="G24" s="98"/>
      <c r="H24" s="59" t="s">
        <v>195</v>
      </c>
      <c r="I24" s="60"/>
      <c r="J24" s="61">
        <v>0</v>
      </c>
      <c r="K24" s="62">
        <f t="shared" si="1"/>
        <v>0</v>
      </c>
      <c r="L24" s="98"/>
      <c r="M24" s="60"/>
      <c r="N24" s="61">
        <v>0</v>
      </c>
      <c r="O24" s="62">
        <f t="shared" si="2"/>
        <v>0</v>
      </c>
      <c r="P24" s="98"/>
      <c r="Q24" s="60"/>
      <c r="R24" s="61">
        <v>0</v>
      </c>
      <c r="S24" s="62">
        <f t="shared" si="3"/>
        <v>0</v>
      </c>
    </row>
    <row r="25" spans="1:19" ht="15" customHeight="1" thickBot="1" x14ac:dyDescent="0.3">
      <c r="A25" s="38"/>
      <c r="B25" s="59" t="s">
        <v>196</v>
      </c>
      <c r="C25" s="63"/>
      <c r="D25" s="39">
        <v>0</v>
      </c>
      <c r="E25" s="64">
        <f t="shared" si="0"/>
        <v>0</v>
      </c>
      <c r="F25" s="99"/>
      <c r="G25" s="99"/>
      <c r="H25" s="59" t="s">
        <v>196</v>
      </c>
      <c r="I25" s="63"/>
      <c r="J25" s="39">
        <v>0</v>
      </c>
      <c r="K25" s="64">
        <f t="shared" si="1"/>
        <v>0</v>
      </c>
      <c r="L25" s="99"/>
      <c r="M25" s="63"/>
      <c r="N25" s="39">
        <v>0</v>
      </c>
      <c r="O25" s="64">
        <f t="shared" si="2"/>
        <v>0</v>
      </c>
      <c r="P25" s="99"/>
      <c r="Q25" s="63"/>
      <c r="R25" s="39">
        <v>0</v>
      </c>
      <c r="S25" s="64">
        <f t="shared" si="3"/>
        <v>0</v>
      </c>
    </row>
    <row r="26" spans="1:19" ht="16.5" thickBot="1" x14ac:dyDescent="0.3">
      <c r="A26" s="38"/>
      <c r="B26" s="113" t="s">
        <v>173</v>
      </c>
      <c r="C26" s="65">
        <f>SUM(C13:C25)</f>
        <v>0</v>
      </c>
      <c r="D26" s="66"/>
      <c r="E26" s="67">
        <f>SUM(E13:E25)</f>
        <v>0</v>
      </c>
      <c r="F26" s="100"/>
      <c r="G26" s="100"/>
      <c r="H26" s="113" t="s">
        <v>173</v>
      </c>
      <c r="I26" s="65">
        <f>SUM(I13:I25)</f>
        <v>0</v>
      </c>
      <c r="J26" s="66"/>
      <c r="K26" s="67">
        <f>SUM(K13:K25)</f>
        <v>0</v>
      </c>
      <c r="L26" s="100"/>
      <c r="M26" s="65">
        <f>SUM(M13:M25)</f>
        <v>0</v>
      </c>
      <c r="N26" s="66"/>
      <c r="O26" s="67">
        <f>SUM(O13:O25)</f>
        <v>0</v>
      </c>
      <c r="P26" s="100"/>
      <c r="Q26" s="65">
        <f>SUM(Q13:Q25)</f>
        <v>0</v>
      </c>
      <c r="R26" s="66"/>
      <c r="S26" s="67">
        <f>SUM(S13:S25)</f>
        <v>0</v>
      </c>
    </row>
    <row r="27" spans="1:19" x14ac:dyDescent="0.25">
      <c r="A27" s="38"/>
      <c r="B27" s="68"/>
      <c r="C27" s="56" t="s">
        <v>174</v>
      </c>
      <c r="D27" s="57" t="s">
        <v>172</v>
      </c>
      <c r="E27" s="58" t="s">
        <v>10</v>
      </c>
      <c r="F27" s="101"/>
      <c r="G27" s="101"/>
      <c r="H27" s="68"/>
      <c r="I27" s="56" t="s">
        <v>174</v>
      </c>
      <c r="J27" s="57" t="s">
        <v>172</v>
      </c>
      <c r="K27" s="58" t="s">
        <v>10</v>
      </c>
      <c r="L27" s="101"/>
      <c r="M27" s="56" t="s">
        <v>174</v>
      </c>
      <c r="N27" s="57" t="s">
        <v>172</v>
      </c>
      <c r="O27" s="58" t="s">
        <v>10</v>
      </c>
      <c r="P27" s="101"/>
      <c r="Q27" s="56" t="s">
        <v>174</v>
      </c>
      <c r="R27" s="57" t="s">
        <v>172</v>
      </c>
      <c r="S27" s="58" t="s">
        <v>10</v>
      </c>
    </row>
    <row r="28" spans="1:19" x14ac:dyDescent="0.25">
      <c r="A28" s="38"/>
      <c r="B28" s="51" t="s">
        <v>160</v>
      </c>
      <c r="C28" s="69">
        <f>+E26</f>
        <v>0</v>
      </c>
      <c r="D28" s="70">
        <v>0</v>
      </c>
      <c r="E28" s="71">
        <f>+C28*D28</f>
        <v>0</v>
      </c>
      <c r="F28" s="100"/>
      <c r="G28" s="100"/>
      <c r="H28" s="51" t="s">
        <v>269</v>
      </c>
      <c r="I28" s="69">
        <f>+K26</f>
        <v>0</v>
      </c>
      <c r="J28" s="70">
        <v>0</v>
      </c>
      <c r="K28" s="71">
        <f>+I28*J28</f>
        <v>0</v>
      </c>
      <c r="L28" s="100"/>
      <c r="M28" s="69">
        <f>+O26</f>
        <v>0</v>
      </c>
      <c r="N28" s="70">
        <v>0</v>
      </c>
      <c r="O28" s="71">
        <f>+M28*N28</f>
        <v>0</v>
      </c>
      <c r="P28" s="100"/>
      <c r="Q28" s="69">
        <f>+S26</f>
        <v>0</v>
      </c>
      <c r="R28" s="70">
        <v>0</v>
      </c>
      <c r="S28" s="71">
        <f>+Q28*R28</f>
        <v>0</v>
      </c>
    </row>
    <row r="29" spans="1:19" x14ac:dyDescent="0.25">
      <c r="A29" s="38"/>
      <c r="B29" s="51" t="s">
        <v>161</v>
      </c>
      <c r="C29" s="69">
        <f>+C28+E28</f>
        <v>0</v>
      </c>
      <c r="D29" s="70">
        <v>0</v>
      </c>
      <c r="E29" s="71">
        <f>+C29*D29</f>
        <v>0</v>
      </c>
      <c r="F29" s="100"/>
      <c r="G29" s="100"/>
      <c r="H29" s="51" t="s">
        <v>161</v>
      </c>
      <c r="I29" s="69">
        <f>+I28+K28</f>
        <v>0</v>
      </c>
      <c r="J29" s="70">
        <v>0</v>
      </c>
      <c r="K29" s="71">
        <f>+I29*J29</f>
        <v>0</v>
      </c>
      <c r="L29" s="100"/>
      <c r="M29" s="69">
        <f>+M28+O28</f>
        <v>0</v>
      </c>
      <c r="N29" s="70">
        <v>0</v>
      </c>
      <c r="O29" s="71">
        <f>+M29*N29</f>
        <v>0</v>
      </c>
      <c r="P29" s="100"/>
      <c r="Q29" s="69">
        <f>+Q28+S28</f>
        <v>0</v>
      </c>
      <c r="R29" s="70">
        <v>0</v>
      </c>
      <c r="S29" s="71">
        <f>+Q29*R29</f>
        <v>0</v>
      </c>
    </row>
    <row r="30" spans="1:19" x14ac:dyDescent="0.25">
      <c r="A30" s="38"/>
      <c r="B30" s="51" t="s">
        <v>162</v>
      </c>
      <c r="C30" s="69">
        <f>+C29+E29</f>
        <v>0</v>
      </c>
      <c r="D30" s="70">
        <v>0</v>
      </c>
      <c r="E30" s="71">
        <f>+C30*D30</f>
        <v>0</v>
      </c>
      <c r="F30" s="100"/>
      <c r="G30" s="100"/>
      <c r="H30" s="51" t="s">
        <v>162</v>
      </c>
      <c r="I30" s="69">
        <f>+I29+K29</f>
        <v>0</v>
      </c>
      <c r="J30" s="70">
        <v>0</v>
      </c>
      <c r="K30" s="71">
        <f>+I30*J30</f>
        <v>0</v>
      </c>
      <c r="L30" s="100"/>
      <c r="M30" s="69">
        <f>+M29+O29</f>
        <v>0</v>
      </c>
      <c r="N30" s="70">
        <v>0</v>
      </c>
      <c r="O30" s="71">
        <f>+M30*N30</f>
        <v>0</v>
      </c>
      <c r="P30" s="100"/>
      <c r="Q30" s="69">
        <f>+Q29+S29</f>
        <v>0</v>
      </c>
      <c r="R30" s="70">
        <v>0</v>
      </c>
      <c r="S30" s="71">
        <f>+Q30*R30</f>
        <v>0</v>
      </c>
    </row>
    <row r="31" spans="1:19" x14ac:dyDescent="0.25">
      <c r="A31" s="38"/>
      <c r="B31" s="51" t="s">
        <v>163</v>
      </c>
      <c r="C31" s="69">
        <f>+C28</f>
        <v>0</v>
      </c>
      <c r="D31" s="70">
        <v>0</v>
      </c>
      <c r="E31" s="71">
        <f>+C31*D31</f>
        <v>0</v>
      </c>
      <c r="F31" s="100"/>
      <c r="G31" s="100"/>
      <c r="H31" s="51" t="s">
        <v>163</v>
      </c>
      <c r="I31" s="69">
        <f>+I28</f>
        <v>0</v>
      </c>
      <c r="J31" s="70">
        <v>0</v>
      </c>
      <c r="K31" s="71">
        <f>+I31*J31</f>
        <v>0</v>
      </c>
      <c r="L31" s="100"/>
      <c r="M31" s="69">
        <f>+M28</f>
        <v>0</v>
      </c>
      <c r="N31" s="70">
        <v>0</v>
      </c>
      <c r="O31" s="71">
        <f>+M31*N31</f>
        <v>0</v>
      </c>
      <c r="P31" s="100"/>
      <c r="Q31" s="69">
        <f>+Q28</f>
        <v>0</v>
      </c>
      <c r="R31" s="70">
        <v>0</v>
      </c>
      <c r="S31" s="71">
        <f>+Q31*R31</f>
        <v>0</v>
      </c>
    </row>
    <row r="32" spans="1:19" x14ac:dyDescent="0.25">
      <c r="A32" s="38"/>
      <c r="B32" s="51" t="s">
        <v>164</v>
      </c>
      <c r="C32" s="69">
        <f>+C30+E30</f>
        <v>0</v>
      </c>
      <c r="D32" s="70">
        <v>0</v>
      </c>
      <c r="E32" s="71">
        <f>+C32*D32</f>
        <v>0</v>
      </c>
      <c r="F32" s="100"/>
      <c r="G32" s="100"/>
      <c r="H32" s="51" t="s">
        <v>164</v>
      </c>
      <c r="I32" s="69">
        <f>+I30+K30</f>
        <v>0</v>
      </c>
      <c r="J32" s="70">
        <v>0</v>
      </c>
      <c r="K32" s="71">
        <f>+I32*J32</f>
        <v>0</v>
      </c>
      <c r="L32" s="100"/>
      <c r="M32" s="69">
        <f>+M30+O30</f>
        <v>0</v>
      </c>
      <c r="N32" s="70">
        <v>0</v>
      </c>
      <c r="O32" s="71">
        <f>+M32*N32</f>
        <v>0</v>
      </c>
      <c r="P32" s="100"/>
      <c r="Q32" s="69">
        <f>+Q30+S30</f>
        <v>0</v>
      </c>
      <c r="R32" s="70">
        <v>0</v>
      </c>
      <c r="S32" s="71">
        <f>+Q32*R32</f>
        <v>0</v>
      </c>
    </row>
    <row r="33" spans="1:19" x14ac:dyDescent="0.25">
      <c r="A33" s="38"/>
      <c r="B33" s="51" t="s">
        <v>175</v>
      </c>
      <c r="C33" s="72"/>
      <c r="D33" s="73"/>
      <c r="E33" s="71">
        <f>+SUM(E26,E28,E29,E30)</f>
        <v>0</v>
      </c>
      <c r="F33" s="100"/>
      <c r="G33" s="100"/>
      <c r="H33" s="51" t="s">
        <v>270</v>
      </c>
      <c r="I33" s="72"/>
      <c r="J33" s="73"/>
      <c r="K33" s="71">
        <f>+SUM(K26,K28,K29,K30)</f>
        <v>0</v>
      </c>
      <c r="L33" s="100"/>
      <c r="M33" s="72"/>
      <c r="N33" s="73"/>
      <c r="O33" s="71">
        <f>+SUM(O26,O28,O29,O30)</f>
        <v>0</v>
      </c>
      <c r="P33" s="100"/>
      <c r="Q33" s="72"/>
      <c r="R33" s="73"/>
      <c r="S33" s="71">
        <f>+SUM(S26,S28,S29,S30)</f>
        <v>0</v>
      </c>
    </row>
    <row r="34" spans="1:19" x14ac:dyDescent="0.25">
      <c r="A34" s="38"/>
      <c r="B34" s="51" t="s">
        <v>176</v>
      </c>
      <c r="C34" s="72"/>
      <c r="D34" s="73"/>
      <c r="E34" s="71">
        <f>+E31</f>
        <v>0</v>
      </c>
      <c r="F34" s="100"/>
      <c r="G34" s="100"/>
      <c r="H34" s="51" t="s">
        <v>271</v>
      </c>
      <c r="I34" s="72"/>
      <c r="J34" s="73"/>
      <c r="K34" s="71">
        <f>+K31</f>
        <v>0</v>
      </c>
      <c r="L34" s="100"/>
      <c r="M34" s="72"/>
      <c r="N34" s="73"/>
      <c r="O34" s="71">
        <f>+O31</f>
        <v>0</v>
      </c>
      <c r="P34" s="100"/>
      <c r="Q34" s="72"/>
      <c r="R34" s="73"/>
      <c r="S34" s="71">
        <f>+S31</f>
        <v>0</v>
      </c>
    </row>
    <row r="35" spans="1:19" x14ac:dyDescent="0.25">
      <c r="A35" s="38"/>
      <c r="B35" s="51" t="s">
        <v>177</v>
      </c>
      <c r="C35" s="72"/>
      <c r="D35" s="73"/>
      <c r="E35" s="74">
        <f>+E32</f>
        <v>0</v>
      </c>
      <c r="F35" s="102"/>
      <c r="G35" s="102"/>
      <c r="H35" s="51" t="s">
        <v>272</v>
      </c>
      <c r="I35" s="72"/>
      <c r="J35" s="73"/>
      <c r="K35" s="74">
        <f>+K32</f>
        <v>0</v>
      </c>
      <c r="L35" s="102"/>
      <c r="M35" s="72"/>
      <c r="N35" s="73"/>
      <c r="O35" s="74">
        <f>+O32</f>
        <v>0</v>
      </c>
      <c r="P35" s="102"/>
      <c r="Q35" s="72"/>
      <c r="R35" s="73"/>
      <c r="S35" s="74">
        <f>+S32</f>
        <v>0</v>
      </c>
    </row>
    <row r="36" spans="1:19" ht="16.5" thickBot="1" x14ac:dyDescent="0.3">
      <c r="A36" s="38"/>
      <c r="B36" s="52" t="s">
        <v>178</v>
      </c>
      <c r="C36" s="75"/>
      <c r="D36" s="76"/>
      <c r="E36" s="77">
        <f>SUM(E33:E35)</f>
        <v>0</v>
      </c>
      <c r="F36" s="103"/>
      <c r="G36" s="103"/>
      <c r="H36" s="52" t="s">
        <v>273</v>
      </c>
      <c r="I36" s="75"/>
      <c r="J36" s="76"/>
      <c r="K36" s="77">
        <f>SUM(K33:K35)</f>
        <v>0</v>
      </c>
      <c r="L36" s="103"/>
      <c r="M36" s="75"/>
      <c r="N36" s="76"/>
      <c r="O36" s="77">
        <f>SUM(O33:O35)</f>
        <v>0</v>
      </c>
      <c r="P36" s="103"/>
      <c r="Q36" s="75"/>
      <c r="R36" s="76"/>
      <c r="S36" s="77">
        <f>SUM(S33:S35)</f>
        <v>0</v>
      </c>
    </row>
    <row r="37" spans="1:19" x14ac:dyDescent="0.25">
      <c r="A37" s="38"/>
      <c r="B37" s="41"/>
      <c r="C37" s="78"/>
      <c r="D37" s="78"/>
      <c r="E37" s="78"/>
      <c r="F37" s="104"/>
      <c r="G37" s="104"/>
      <c r="H37" s="41"/>
      <c r="I37" s="78"/>
      <c r="J37" s="78"/>
      <c r="K37" s="78"/>
      <c r="L37" s="104"/>
      <c r="M37" s="78"/>
      <c r="N37" s="78"/>
      <c r="O37" s="78"/>
      <c r="P37" s="104"/>
      <c r="Q37" s="78"/>
      <c r="R37" s="78"/>
      <c r="S37" s="78"/>
    </row>
    <row r="38" spans="1:19" ht="16.5" thickBot="1" x14ac:dyDescent="0.3">
      <c r="A38" s="38"/>
      <c r="C38" s="37"/>
      <c r="D38" s="37"/>
      <c r="E38" s="37"/>
      <c r="F38" s="105"/>
      <c r="G38" s="105"/>
      <c r="H38" s="37"/>
      <c r="I38" s="37"/>
      <c r="J38" s="37"/>
      <c r="K38" s="37"/>
      <c r="L38" s="105"/>
      <c r="M38" s="37"/>
      <c r="N38" s="37"/>
      <c r="O38" s="37"/>
      <c r="P38" s="105"/>
      <c r="Q38" s="37"/>
      <c r="R38" s="37"/>
      <c r="S38" s="37"/>
    </row>
    <row r="39" spans="1:19" ht="16.5" thickBot="1" x14ac:dyDescent="0.3">
      <c r="A39" s="38"/>
      <c r="B39" s="189" t="str">
        <f>B10</f>
        <v xml:space="preserve">CLIN 1011: CPFF </v>
      </c>
      <c r="C39" s="186" t="s">
        <v>179</v>
      </c>
      <c r="D39" s="187"/>
      <c r="E39" s="188"/>
      <c r="F39" s="106"/>
      <c r="G39" s="106"/>
      <c r="H39" s="149"/>
      <c r="I39" s="186" t="s">
        <v>179</v>
      </c>
      <c r="J39" s="187"/>
      <c r="K39" s="188"/>
      <c r="L39" s="106"/>
      <c r="M39" s="186" t="s">
        <v>179</v>
      </c>
      <c r="N39" s="187"/>
      <c r="O39" s="188"/>
      <c r="P39" s="106"/>
      <c r="Q39" s="186" t="s">
        <v>179</v>
      </c>
      <c r="R39" s="187"/>
      <c r="S39" s="188"/>
    </row>
    <row r="40" spans="1:19" ht="16.5" thickBot="1" x14ac:dyDescent="0.3">
      <c r="A40" s="38"/>
      <c r="B40" s="190"/>
      <c r="C40" s="132" t="str">
        <f>C11</f>
        <v>1011: Support Government Testing - Option Period 1</v>
      </c>
      <c r="D40" s="133"/>
      <c r="E40" s="134"/>
      <c r="F40" s="107"/>
      <c r="G40" s="107"/>
      <c r="H40" s="150"/>
      <c r="I40" s="132" t="str">
        <f>I11</f>
        <v>2013: Support Government Testing - Option Period 2</v>
      </c>
      <c r="J40" s="133"/>
      <c r="K40" s="134"/>
      <c r="L40" s="107"/>
      <c r="M40" s="132" t="str">
        <f>M11</f>
        <v>3012: Support Government Testing - Option Period 3</v>
      </c>
      <c r="N40" s="133"/>
      <c r="O40" s="134"/>
      <c r="P40" s="107"/>
      <c r="Q40" s="132" t="str">
        <f>Q11</f>
        <v>4008: Support Government Testing - Option Period 4</v>
      </c>
      <c r="R40" s="133"/>
      <c r="S40" s="134"/>
    </row>
    <row r="41" spans="1:19" x14ac:dyDescent="0.25">
      <c r="A41" s="38"/>
      <c r="B41" s="79"/>
      <c r="C41" s="56" t="s">
        <v>174</v>
      </c>
      <c r="D41" s="57" t="s">
        <v>172</v>
      </c>
      <c r="E41" s="58" t="s">
        <v>10</v>
      </c>
      <c r="F41" s="101"/>
      <c r="G41" s="101"/>
      <c r="H41" s="79"/>
      <c r="I41" s="56" t="s">
        <v>174</v>
      </c>
      <c r="J41" s="57" t="s">
        <v>172</v>
      </c>
      <c r="K41" s="58" t="s">
        <v>10</v>
      </c>
      <c r="L41" s="101"/>
      <c r="M41" s="56" t="s">
        <v>174</v>
      </c>
      <c r="N41" s="57" t="s">
        <v>172</v>
      </c>
      <c r="O41" s="58" t="s">
        <v>10</v>
      </c>
      <c r="P41" s="101"/>
      <c r="Q41" s="56" t="s">
        <v>174</v>
      </c>
      <c r="R41" s="57" t="s">
        <v>172</v>
      </c>
      <c r="S41" s="58" t="s">
        <v>10</v>
      </c>
    </row>
    <row r="42" spans="1:19" x14ac:dyDescent="0.25">
      <c r="A42" s="38"/>
      <c r="B42" s="80" t="s">
        <v>180</v>
      </c>
      <c r="C42" s="81"/>
      <c r="D42" s="82"/>
      <c r="E42" s="83"/>
      <c r="F42" s="100"/>
      <c r="G42" s="100"/>
      <c r="H42" s="80" t="s">
        <v>180</v>
      </c>
      <c r="I42" s="81"/>
      <c r="J42" s="82"/>
      <c r="K42" s="83"/>
      <c r="L42" s="100"/>
      <c r="M42" s="81"/>
      <c r="N42" s="82"/>
      <c r="O42" s="83"/>
      <c r="P42" s="100"/>
      <c r="Q42" s="81"/>
      <c r="R42" s="82"/>
      <c r="S42" s="83"/>
    </row>
    <row r="43" spans="1:19" x14ac:dyDescent="0.25">
      <c r="A43" s="38"/>
      <c r="B43" s="51" t="s">
        <v>161</v>
      </c>
      <c r="C43" s="69">
        <f>+E42</f>
        <v>0</v>
      </c>
      <c r="D43" s="70">
        <v>0</v>
      </c>
      <c r="E43" s="71">
        <f>+C43*D43</f>
        <v>0</v>
      </c>
      <c r="F43" s="108"/>
      <c r="G43" s="108"/>
      <c r="H43" s="51" t="s">
        <v>161</v>
      </c>
      <c r="I43" s="69">
        <f>+K42</f>
        <v>0</v>
      </c>
      <c r="J43" s="70">
        <v>0</v>
      </c>
      <c r="K43" s="71">
        <f>+I43*J43</f>
        <v>0</v>
      </c>
      <c r="L43" s="108"/>
      <c r="M43" s="69">
        <f>+O42</f>
        <v>0</v>
      </c>
      <c r="N43" s="70">
        <v>0</v>
      </c>
      <c r="O43" s="71">
        <f>+M43*N43</f>
        <v>0</v>
      </c>
      <c r="P43" s="108"/>
      <c r="Q43" s="69">
        <f>+S42</f>
        <v>0</v>
      </c>
      <c r="R43" s="70">
        <v>0</v>
      </c>
      <c r="S43" s="71">
        <f>+Q43*R43</f>
        <v>0</v>
      </c>
    </row>
    <row r="44" spans="1:19" x14ac:dyDescent="0.25">
      <c r="A44" s="38"/>
      <c r="B44" s="51" t="s">
        <v>162</v>
      </c>
      <c r="C44" s="69">
        <f>+C43+E43</f>
        <v>0</v>
      </c>
      <c r="D44" s="70">
        <v>0</v>
      </c>
      <c r="E44" s="71">
        <f>+C44*D44</f>
        <v>0</v>
      </c>
      <c r="F44" s="108"/>
      <c r="G44" s="108"/>
      <c r="H44" s="51" t="s">
        <v>162</v>
      </c>
      <c r="I44" s="69">
        <f>+I43+K43</f>
        <v>0</v>
      </c>
      <c r="J44" s="70">
        <v>0</v>
      </c>
      <c r="K44" s="71">
        <f>+I44*J44</f>
        <v>0</v>
      </c>
      <c r="L44" s="108"/>
      <c r="M44" s="69">
        <f>+M43+O43</f>
        <v>0</v>
      </c>
      <c r="N44" s="70">
        <v>0</v>
      </c>
      <c r="O44" s="71">
        <f>+M44*N44</f>
        <v>0</v>
      </c>
      <c r="P44" s="108"/>
      <c r="Q44" s="69">
        <f>+Q43+S43</f>
        <v>0</v>
      </c>
      <c r="R44" s="70">
        <v>0</v>
      </c>
      <c r="S44" s="71">
        <f>+Q44*R44</f>
        <v>0</v>
      </c>
    </row>
    <row r="45" spans="1:19" x14ac:dyDescent="0.25">
      <c r="A45" s="38"/>
      <c r="B45" s="51" t="s">
        <v>163</v>
      </c>
      <c r="C45" s="69">
        <f>+C43</f>
        <v>0</v>
      </c>
      <c r="D45" s="70">
        <v>0</v>
      </c>
      <c r="E45" s="71">
        <f>+C45*D45</f>
        <v>0</v>
      </c>
      <c r="F45" s="100"/>
      <c r="G45" s="100"/>
      <c r="H45" s="51" t="s">
        <v>163</v>
      </c>
      <c r="I45" s="69">
        <f>+I43</f>
        <v>0</v>
      </c>
      <c r="J45" s="70">
        <v>0</v>
      </c>
      <c r="K45" s="71">
        <f>+I45*J45</f>
        <v>0</v>
      </c>
      <c r="L45" s="100"/>
      <c r="M45" s="69">
        <f>+M43</f>
        <v>0</v>
      </c>
      <c r="N45" s="70">
        <v>0</v>
      </c>
      <c r="O45" s="71">
        <f>+M45*N45</f>
        <v>0</v>
      </c>
      <c r="P45" s="100"/>
      <c r="Q45" s="69">
        <f>+Q43</f>
        <v>0</v>
      </c>
      <c r="R45" s="70">
        <v>0</v>
      </c>
      <c r="S45" s="71">
        <f>+Q45*R45</f>
        <v>0</v>
      </c>
    </row>
    <row r="46" spans="1:19" x14ac:dyDescent="0.25">
      <c r="A46" s="38"/>
      <c r="B46" s="51" t="s">
        <v>164</v>
      </c>
      <c r="C46" s="69">
        <f>+C44+E44</f>
        <v>0</v>
      </c>
      <c r="D46" s="70">
        <v>0</v>
      </c>
      <c r="E46" s="71">
        <f>+C46*D46</f>
        <v>0</v>
      </c>
      <c r="F46" s="100"/>
      <c r="G46" s="100"/>
      <c r="H46" s="51" t="s">
        <v>164</v>
      </c>
      <c r="I46" s="69">
        <f>+I44+K44</f>
        <v>0</v>
      </c>
      <c r="J46" s="70">
        <v>0</v>
      </c>
      <c r="K46" s="71">
        <f>+I46*J46</f>
        <v>0</v>
      </c>
      <c r="L46" s="100"/>
      <c r="M46" s="69">
        <f>+M44+O44</f>
        <v>0</v>
      </c>
      <c r="N46" s="70">
        <v>0</v>
      </c>
      <c r="O46" s="71">
        <f>+M46*N46</f>
        <v>0</v>
      </c>
      <c r="P46" s="100"/>
      <c r="Q46" s="69">
        <f>+Q44+S44</f>
        <v>0</v>
      </c>
      <c r="R46" s="70">
        <v>0</v>
      </c>
      <c r="S46" s="71">
        <f>+Q46*R46</f>
        <v>0</v>
      </c>
    </row>
    <row r="47" spans="1:19" x14ac:dyDescent="0.25">
      <c r="A47" s="38"/>
      <c r="B47" s="51" t="s">
        <v>175</v>
      </c>
      <c r="C47" s="84"/>
      <c r="D47" s="85"/>
      <c r="E47" s="71">
        <f>+ROUND(SUM(E42:E44),0)</f>
        <v>0</v>
      </c>
      <c r="F47" s="100"/>
      <c r="G47" s="100"/>
      <c r="H47" s="51" t="s">
        <v>270</v>
      </c>
      <c r="I47" s="84"/>
      <c r="J47" s="85"/>
      <c r="K47" s="71">
        <f>+ROUND(SUM(K42:K44),0)</f>
        <v>0</v>
      </c>
      <c r="L47" s="100"/>
      <c r="M47" s="84"/>
      <c r="N47" s="85"/>
      <c r="O47" s="71">
        <f>+ROUND(SUM(O42:O44),0)</f>
        <v>0</v>
      </c>
      <c r="P47" s="100"/>
      <c r="Q47" s="84"/>
      <c r="R47" s="85"/>
      <c r="S47" s="71">
        <f>+ROUND(SUM(S42:S44),0)</f>
        <v>0</v>
      </c>
    </row>
    <row r="48" spans="1:19" x14ac:dyDescent="0.25">
      <c r="A48" s="38"/>
      <c r="B48" s="51" t="s">
        <v>176</v>
      </c>
      <c r="C48" s="81"/>
      <c r="D48" s="86"/>
      <c r="E48" s="71">
        <f>+ROUND(E45,0)</f>
        <v>0</v>
      </c>
      <c r="F48" s="100"/>
      <c r="G48" s="100"/>
      <c r="H48" s="51" t="s">
        <v>271</v>
      </c>
      <c r="I48" s="81"/>
      <c r="J48" s="86"/>
      <c r="K48" s="71">
        <f>+ROUND(K45,0)</f>
        <v>0</v>
      </c>
      <c r="L48" s="100"/>
      <c r="M48" s="81"/>
      <c r="N48" s="86"/>
      <c r="O48" s="71">
        <f>+ROUND(O45,0)</f>
        <v>0</v>
      </c>
      <c r="P48" s="100"/>
      <c r="Q48" s="81"/>
      <c r="R48" s="86"/>
      <c r="S48" s="71">
        <f>+ROUND(S45,0)</f>
        <v>0</v>
      </c>
    </row>
    <row r="49" spans="1:19" x14ac:dyDescent="0.25">
      <c r="B49" s="51" t="s">
        <v>177</v>
      </c>
      <c r="C49" s="81"/>
      <c r="D49" s="86"/>
      <c r="E49" s="87">
        <f>+ROUND(E46,0)</f>
        <v>0</v>
      </c>
      <c r="F49" s="109"/>
      <c r="G49" s="109"/>
      <c r="H49" s="51" t="s">
        <v>272</v>
      </c>
      <c r="I49" s="81"/>
      <c r="J49" s="86"/>
      <c r="K49" s="87">
        <f>+ROUND(K46,0)</f>
        <v>0</v>
      </c>
      <c r="L49" s="109"/>
      <c r="M49" s="81"/>
      <c r="N49" s="86"/>
      <c r="O49" s="87">
        <f>+ROUND(O46,0)</f>
        <v>0</v>
      </c>
      <c r="P49" s="109"/>
      <c r="Q49" s="81"/>
      <c r="R49" s="86"/>
      <c r="S49" s="87">
        <f>+ROUND(S46,0)</f>
        <v>0</v>
      </c>
    </row>
    <row r="50" spans="1:19" ht="16.5" thickBot="1" x14ac:dyDescent="0.3">
      <c r="B50" s="52" t="s">
        <v>178</v>
      </c>
      <c r="C50" s="112"/>
      <c r="D50" s="88"/>
      <c r="E50" s="64">
        <f t="shared" ref="E50" si="4">SUM(E47:E49)</f>
        <v>0</v>
      </c>
      <c r="F50" s="99"/>
      <c r="G50" s="99"/>
      <c r="H50" s="52" t="s">
        <v>273</v>
      </c>
      <c r="I50" s="112"/>
      <c r="J50" s="88"/>
      <c r="K50" s="64">
        <f t="shared" ref="K50" si="5">SUM(K47:K49)</f>
        <v>0</v>
      </c>
      <c r="L50" s="99"/>
      <c r="M50" s="112"/>
      <c r="N50" s="88"/>
      <c r="O50" s="64">
        <f t="shared" ref="O50" si="6">SUM(O47:O49)</f>
        <v>0</v>
      </c>
      <c r="P50" s="99"/>
      <c r="Q50" s="112"/>
      <c r="R50" s="88"/>
      <c r="S50" s="64">
        <f t="shared" ref="S50" si="7">SUM(S47:S49)</f>
        <v>0</v>
      </c>
    </row>
    <row r="51" spans="1:19" ht="16.5" thickBot="1" x14ac:dyDescent="0.3">
      <c r="B51" s="41"/>
      <c r="F51" s="110"/>
      <c r="G51" s="110"/>
      <c r="H51" s="41"/>
      <c r="L51" s="110"/>
      <c r="P51" s="110"/>
    </row>
    <row r="52" spans="1:19" ht="16.5" thickBot="1" x14ac:dyDescent="0.3">
      <c r="A52" s="38"/>
      <c r="B52" s="189" t="str">
        <f>B39</f>
        <v xml:space="preserve">CLIN 1011: CPFF </v>
      </c>
      <c r="C52" s="186" t="s">
        <v>181</v>
      </c>
      <c r="D52" s="187"/>
      <c r="E52" s="188"/>
      <c r="F52" s="106"/>
      <c r="G52" s="106"/>
      <c r="H52" s="149"/>
      <c r="I52" s="186" t="s">
        <v>181</v>
      </c>
      <c r="J52" s="187"/>
      <c r="K52" s="188"/>
      <c r="L52" s="106"/>
      <c r="M52" s="186" t="s">
        <v>181</v>
      </c>
      <c r="N52" s="187"/>
      <c r="O52" s="188"/>
      <c r="P52" s="106"/>
      <c r="Q52" s="186" t="s">
        <v>181</v>
      </c>
      <c r="R52" s="187"/>
      <c r="S52" s="188"/>
    </row>
    <row r="53" spans="1:19" ht="16.5" thickBot="1" x14ac:dyDescent="0.3">
      <c r="A53" s="38"/>
      <c r="B53" s="190"/>
      <c r="C53" s="132" t="str">
        <f>C40</f>
        <v>1011: Support Government Testing - Option Period 1</v>
      </c>
      <c r="D53" s="133"/>
      <c r="E53" s="134"/>
      <c r="F53" s="107"/>
      <c r="G53" s="107"/>
      <c r="H53" s="150"/>
      <c r="I53" s="132" t="str">
        <f>I40</f>
        <v>2013: Support Government Testing - Option Period 2</v>
      </c>
      <c r="J53" s="133"/>
      <c r="K53" s="134"/>
      <c r="L53" s="107"/>
      <c r="M53" s="132" t="str">
        <f>M40</f>
        <v>3012: Support Government Testing - Option Period 3</v>
      </c>
      <c r="N53" s="133"/>
      <c r="O53" s="134"/>
      <c r="P53" s="107"/>
      <c r="Q53" s="132" t="str">
        <f>Q40</f>
        <v>4008: Support Government Testing - Option Period 4</v>
      </c>
      <c r="R53" s="133"/>
      <c r="S53" s="134"/>
    </row>
    <row r="54" spans="1:19" x14ac:dyDescent="0.25">
      <c r="A54" s="38"/>
      <c r="B54" s="79"/>
      <c r="C54" s="56" t="s">
        <v>174</v>
      </c>
      <c r="D54" s="57" t="s">
        <v>172</v>
      </c>
      <c r="E54" s="58" t="s">
        <v>10</v>
      </c>
      <c r="F54" s="101"/>
      <c r="G54" s="101"/>
      <c r="H54" s="79"/>
      <c r="I54" s="56" t="s">
        <v>174</v>
      </c>
      <c r="J54" s="57" t="s">
        <v>172</v>
      </c>
      <c r="K54" s="58" t="s">
        <v>10</v>
      </c>
      <c r="L54" s="101"/>
      <c r="M54" s="56" t="s">
        <v>174</v>
      </c>
      <c r="N54" s="57" t="s">
        <v>172</v>
      </c>
      <c r="O54" s="58" t="s">
        <v>10</v>
      </c>
      <c r="P54" s="101"/>
      <c r="Q54" s="56" t="s">
        <v>174</v>
      </c>
      <c r="R54" s="57" t="s">
        <v>172</v>
      </c>
      <c r="S54" s="58" t="s">
        <v>10</v>
      </c>
    </row>
    <row r="55" spans="1:19" x14ac:dyDescent="0.25">
      <c r="A55" s="38"/>
      <c r="B55" s="80" t="s">
        <v>182</v>
      </c>
      <c r="C55" s="81"/>
      <c r="D55" s="82"/>
      <c r="E55" s="83"/>
      <c r="F55" s="100"/>
      <c r="G55" s="100"/>
      <c r="H55" s="80" t="s">
        <v>182</v>
      </c>
      <c r="I55" s="81"/>
      <c r="J55" s="82"/>
      <c r="K55" s="83"/>
      <c r="L55" s="100"/>
      <c r="M55" s="81"/>
      <c r="N55" s="82"/>
      <c r="O55" s="83"/>
      <c r="P55" s="100"/>
      <c r="Q55" s="81"/>
      <c r="R55" s="82"/>
      <c r="S55" s="83"/>
    </row>
    <row r="56" spans="1:19" x14ac:dyDescent="0.25">
      <c r="A56" s="38"/>
      <c r="B56" s="51" t="s">
        <v>161</v>
      </c>
      <c r="C56" s="69">
        <f>+E55</f>
        <v>0</v>
      </c>
      <c r="D56" s="70">
        <v>0</v>
      </c>
      <c r="E56" s="71">
        <f>+C56*D56</f>
        <v>0</v>
      </c>
      <c r="F56" s="108"/>
      <c r="G56" s="108"/>
      <c r="H56" s="51" t="s">
        <v>161</v>
      </c>
      <c r="I56" s="69">
        <f>+K55</f>
        <v>0</v>
      </c>
      <c r="J56" s="70">
        <v>0</v>
      </c>
      <c r="K56" s="71">
        <f>+I56*J56</f>
        <v>0</v>
      </c>
      <c r="L56" s="108"/>
      <c r="M56" s="69">
        <f>+O55</f>
        <v>0</v>
      </c>
      <c r="N56" s="70">
        <v>0</v>
      </c>
      <c r="O56" s="71">
        <f>+M56*N56</f>
        <v>0</v>
      </c>
      <c r="P56" s="108"/>
      <c r="Q56" s="69">
        <f>+S55</f>
        <v>0</v>
      </c>
      <c r="R56" s="70">
        <v>0</v>
      </c>
      <c r="S56" s="71">
        <f>+Q56*R56</f>
        <v>0</v>
      </c>
    </row>
    <row r="57" spans="1:19" x14ac:dyDescent="0.25">
      <c r="A57" s="38"/>
      <c r="B57" s="51" t="s">
        <v>162</v>
      </c>
      <c r="C57" s="69">
        <f>+C56+E56</f>
        <v>0</v>
      </c>
      <c r="D57" s="70">
        <v>0</v>
      </c>
      <c r="E57" s="71">
        <f>+C57*D57</f>
        <v>0</v>
      </c>
      <c r="F57" s="108"/>
      <c r="G57" s="108"/>
      <c r="H57" s="51" t="s">
        <v>162</v>
      </c>
      <c r="I57" s="69">
        <f>+I56+K56</f>
        <v>0</v>
      </c>
      <c r="J57" s="70">
        <v>0</v>
      </c>
      <c r="K57" s="71">
        <f>+I57*J57</f>
        <v>0</v>
      </c>
      <c r="L57" s="108"/>
      <c r="M57" s="69">
        <f>+M56+O56</f>
        <v>0</v>
      </c>
      <c r="N57" s="70">
        <v>0</v>
      </c>
      <c r="O57" s="71">
        <f>+M57*N57</f>
        <v>0</v>
      </c>
      <c r="P57" s="108"/>
      <c r="Q57" s="69">
        <f>+Q56+S56</f>
        <v>0</v>
      </c>
      <c r="R57" s="70">
        <v>0</v>
      </c>
      <c r="S57" s="71">
        <f>+Q57*R57</f>
        <v>0</v>
      </c>
    </row>
    <row r="58" spans="1:19" x14ac:dyDescent="0.25">
      <c r="A58" s="38"/>
      <c r="B58" s="51" t="s">
        <v>163</v>
      </c>
      <c r="C58" s="69">
        <f>+C56</f>
        <v>0</v>
      </c>
      <c r="D58" s="70">
        <v>0</v>
      </c>
      <c r="E58" s="71">
        <f>+C58*D58</f>
        <v>0</v>
      </c>
      <c r="F58" s="100"/>
      <c r="G58" s="100"/>
      <c r="H58" s="51" t="s">
        <v>163</v>
      </c>
      <c r="I58" s="69">
        <f>+I56</f>
        <v>0</v>
      </c>
      <c r="J58" s="70">
        <v>0</v>
      </c>
      <c r="K58" s="71">
        <f>+I58*J58</f>
        <v>0</v>
      </c>
      <c r="L58" s="100"/>
      <c r="M58" s="69">
        <f>+M56</f>
        <v>0</v>
      </c>
      <c r="N58" s="70">
        <v>0</v>
      </c>
      <c r="O58" s="71">
        <f>+M58*N58</f>
        <v>0</v>
      </c>
      <c r="P58" s="100"/>
      <c r="Q58" s="69">
        <f>+Q56</f>
        <v>0</v>
      </c>
      <c r="R58" s="70">
        <v>0</v>
      </c>
      <c r="S58" s="71">
        <f>+Q58*R58</f>
        <v>0</v>
      </c>
    </row>
    <row r="59" spans="1:19" x14ac:dyDescent="0.25">
      <c r="A59" s="38"/>
      <c r="B59" s="51" t="s">
        <v>164</v>
      </c>
      <c r="C59" s="69">
        <f>+C57+E57</f>
        <v>0</v>
      </c>
      <c r="D59" s="70">
        <v>0</v>
      </c>
      <c r="E59" s="71">
        <f>+C59*D59</f>
        <v>0</v>
      </c>
      <c r="F59" s="100"/>
      <c r="G59" s="100"/>
      <c r="H59" s="51" t="s">
        <v>164</v>
      </c>
      <c r="I59" s="69">
        <f>+I57+K57</f>
        <v>0</v>
      </c>
      <c r="J59" s="70">
        <v>0</v>
      </c>
      <c r="K59" s="71">
        <f>+I59*J59</f>
        <v>0</v>
      </c>
      <c r="L59" s="100"/>
      <c r="M59" s="69">
        <f>+M57+O57</f>
        <v>0</v>
      </c>
      <c r="N59" s="70">
        <v>0</v>
      </c>
      <c r="O59" s="71">
        <f>+M59*N59</f>
        <v>0</v>
      </c>
      <c r="P59" s="100"/>
      <c r="Q59" s="69">
        <f>+Q57+S57</f>
        <v>0</v>
      </c>
      <c r="R59" s="70">
        <v>0</v>
      </c>
      <c r="S59" s="71">
        <f>+Q59*R59</f>
        <v>0</v>
      </c>
    </row>
    <row r="60" spans="1:19" x14ac:dyDescent="0.25">
      <c r="A60" s="38"/>
      <c r="B60" s="51" t="s">
        <v>175</v>
      </c>
      <c r="C60" s="84"/>
      <c r="D60" s="85"/>
      <c r="E60" s="71">
        <f>+ROUND(SUM(E55:E57),0)</f>
        <v>0</v>
      </c>
      <c r="F60" s="100"/>
      <c r="G60" s="100"/>
      <c r="H60" s="51" t="s">
        <v>270</v>
      </c>
      <c r="I60" s="84"/>
      <c r="J60" s="85"/>
      <c r="K60" s="71">
        <f>+ROUND(SUM(K55:K57),0)</f>
        <v>0</v>
      </c>
      <c r="L60" s="100"/>
      <c r="M60" s="84"/>
      <c r="N60" s="85"/>
      <c r="O60" s="71">
        <f>+ROUND(SUM(O55:O57),0)</f>
        <v>0</v>
      </c>
      <c r="P60" s="100"/>
      <c r="Q60" s="84"/>
      <c r="R60" s="85"/>
      <c r="S60" s="71">
        <f>+ROUND(SUM(S55:S57),0)</f>
        <v>0</v>
      </c>
    </row>
    <row r="61" spans="1:19" x14ac:dyDescent="0.25">
      <c r="A61" s="38"/>
      <c r="B61" s="51" t="s">
        <v>176</v>
      </c>
      <c r="C61" s="81"/>
      <c r="D61" s="86"/>
      <c r="E61" s="71">
        <f>+ROUND(E58,0)</f>
        <v>0</v>
      </c>
      <c r="F61" s="100"/>
      <c r="G61" s="100"/>
      <c r="H61" s="51" t="s">
        <v>271</v>
      </c>
      <c r="I61" s="81"/>
      <c r="J61" s="86"/>
      <c r="K61" s="71">
        <f>+ROUND(K58,0)</f>
        <v>0</v>
      </c>
      <c r="L61" s="100"/>
      <c r="M61" s="81"/>
      <c r="N61" s="86"/>
      <c r="O61" s="71">
        <f>+ROUND(O58,0)</f>
        <v>0</v>
      </c>
      <c r="P61" s="100"/>
      <c r="Q61" s="81"/>
      <c r="R61" s="86"/>
      <c r="S61" s="71">
        <f>+ROUND(S58,0)</f>
        <v>0</v>
      </c>
    </row>
    <row r="62" spans="1:19" x14ac:dyDescent="0.25">
      <c r="B62" s="51" t="s">
        <v>177</v>
      </c>
      <c r="C62" s="81"/>
      <c r="D62" s="86"/>
      <c r="E62" s="87">
        <f>+ROUND(E59,0)</f>
        <v>0</v>
      </c>
      <c r="F62" s="109"/>
      <c r="G62" s="109"/>
      <c r="H62" s="51" t="s">
        <v>272</v>
      </c>
      <c r="I62" s="81"/>
      <c r="J62" s="86"/>
      <c r="K62" s="87">
        <f>+ROUND(K59,0)</f>
        <v>0</v>
      </c>
      <c r="L62" s="109"/>
      <c r="M62" s="81"/>
      <c r="N62" s="86"/>
      <c r="O62" s="87">
        <f>+ROUND(O59,0)</f>
        <v>0</v>
      </c>
      <c r="P62" s="109"/>
      <c r="Q62" s="81"/>
      <c r="R62" s="86"/>
      <c r="S62" s="87">
        <f>+ROUND(S59,0)</f>
        <v>0</v>
      </c>
    </row>
    <row r="63" spans="1:19" ht="16.5" thickBot="1" x14ac:dyDescent="0.3">
      <c r="B63" s="52" t="s">
        <v>178</v>
      </c>
      <c r="C63" s="112"/>
      <c r="D63" s="88"/>
      <c r="E63" s="64">
        <f t="shared" ref="E63" si="8">SUM(E60:E62)</f>
        <v>0</v>
      </c>
      <c r="F63" s="99"/>
      <c r="G63" s="99"/>
      <c r="H63" s="52" t="s">
        <v>273</v>
      </c>
      <c r="I63" s="112"/>
      <c r="J63" s="88"/>
      <c r="K63" s="64">
        <f t="shared" ref="K63" si="9">SUM(K60:K62)</f>
        <v>0</v>
      </c>
      <c r="L63" s="99"/>
      <c r="M63" s="112"/>
      <c r="N63" s="88"/>
      <c r="O63" s="64">
        <f t="shared" ref="O63" si="10">SUM(O60:O62)</f>
        <v>0</v>
      </c>
      <c r="P63" s="99"/>
      <c r="Q63" s="112"/>
      <c r="R63" s="88"/>
      <c r="S63" s="64">
        <f t="shared" ref="S63" si="11">SUM(S60:S62)</f>
        <v>0</v>
      </c>
    </row>
    <row r="64" spans="1:19" x14ac:dyDescent="0.25">
      <c r="B64" s="41"/>
      <c r="F64" s="110"/>
      <c r="G64" s="110"/>
      <c r="H64" s="41"/>
      <c r="L64" s="110"/>
      <c r="P64" s="110"/>
    </row>
    <row r="65" spans="2:19" ht="16.5" thickBot="1" x14ac:dyDescent="0.3">
      <c r="F65" s="110"/>
      <c r="G65" s="110"/>
      <c r="H65" s="37"/>
      <c r="L65" s="110"/>
      <c r="P65" s="110"/>
    </row>
    <row r="66" spans="2:19" ht="16.5" thickBot="1" x14ac:dyDescent="0.3">
      <c r="B66" s="189" t="str">
        <f>B52</f>
        <v xml:space="preserve">CLIN 1011: CPFF </v>
      </c>
      <c r="C66" s="186" t="s">
        <v>183</v>
      </c>
      <c r="D66" s="187"/>
      <c r="E66" s="188"/>
      <c r="F66" s="106"/>
      <c r="G66" s="106"/>
      <c r="H66" s="149"/>
      <c r="I66" s="186" t="s">
        <v>183</v>
      </c>
      <c r="J66" s="187"/>
      <c r="K66" s="188"/>
      <c r="L66" s="106"/>
      <c r="M66" s="186" t="s">
        <v>183</v>
      </c>
      <c r="N66" s="187"/>
      <c r="O66" s="188"/>
      <c r="P66" s="106"/>
      <c r="Q66" s="186" t="s">
        <v>183</v>
      </c>
      <c r="R66" s="187"/>
      <c r="S66" s="188"/>
    </row>
    <row r="67" spans="2:19" ht="16.5" thickBot="1" x14ac:dyDescent="0.3">
      <c r="B67" s="190"/>
      <c r="C67" s="89"/>
      <c r="D67" s="55"/>
      <c r="E67" s="90" t="s">
        <v>339</v>
      </c>
      <c r="F67" s="111"/>
      <c r="G67" s="111"/>
      <c r="H67" s="150"/>
      <c r="I67" s="89"/>
      <c r="J67" s="55"/>
      <c r="K67" s="90" t="s">
        <v>344</v>
      </c>
      <c r="L67" s="111"/>
      <c r="M67" s="89"/>
      <c r="N67" s="55"/>
      <c r="O67" s="90" t="s">
        <v>345</v>
      </c>
      <c r="P67" s="111"/>
      <c r="Q67" s="89"/>
      <c r="R67" s="55"/>
      <c r="S67" s="90" t="s">
        <v>346</v>
      </c>
    </row>
    <row r="68" spans="2:19" x14ac:dyDescent="0.25">
      <c r="B68" s="51" t="s">
        <v>175</v>
      </c>
      <c r="C68" s="91"/>
      <c r="D68" s="91"/>
      <c r="E68" s="92">
        <f>+ROUND(E33+E47+E60,0)</f>
        <v>0</v>
      </c>
      <c r="F68" s="100"/>
      <c r="G68" s="100"/>
      <c r="H68" s="51" t="s">
        <v>270</v>
      </c>
      <c r="I68" s="91"/>
      <c r="J68" s="91"/>
      <c r="K68" s="92">
        <f>+ROUND(K33+K47+K60,0)</f>
        <v>0</v>
      </c>
      <c r="L68" s="100"/>
      <c r="M68" s="91"/>
      <c r="N68" s="91"/>
      <c r="O68" s="92">
        <f>+ROUND(O33+O47+O60,0)</f>
        <v>0</v>
      </c>
      <c r="P68" s="100"/>
      <c r="Q68" s="91"/>
      <c r="R68" s="91"/>
      <c r="S68" s="92">
        <f>+ROUND(S33+S47+S60,0)</f>
        <v>0</v>
      </c>
    </row>
    <row r="69" spans="2:19" x14ac:dyDescent="0.25">
      <c r="B69" s="51" t="s">
        <v>176</v>
      </c>
      <c r="C69" s="91"/>
      <c r="D69" s="91"/>
      <c r="E69" s="71">
        <f>+ROUND(E34+E48+E61,0)</f>
        <v>0</v>
      </c>
      <c r="F69" s="100"/>
      <c r="G69" s="100"/>
      <c r="H69" s="51" t="s">
        <v>271</v>
      </c>
      <c r="I69" s="91"/>
      <c r="J69" s="91"/>
      <c r="K69" s="71">
        <f>+ROUND(K34+K48+K61,0)</f>
        <v>0</v>
      </c>
      <c r="L69" s="100"/>
      <c r="M69" s="91"/>
      <c r="N69" s="91"/>
      <c r="O69" s="71">
        <f>+ROUND(O34+O48+O61,0)</f>
        <v>0</v>
      </c>
      <c r="P69" s="100"/>
      <c r="Q69" s="91"/>
      <c r="R69" s="91"/>
      <c r="S69" s="71">
        <f>+ROUND(S34+S48+S61,0)</f>
        <v>0</v>
      </c>
    </row>
    <row r="70" spans="2:19" x14ac:dyDescent="0.25">
      <c r="B70" s="51" t="s">
        <v>177</v>
      </c>
      <c r="C70" s="91"/>
      <c r="D70" s="91"/>
      <c r="E70" s="74">
        <f>+ROUND(E35+E49+E62,0)</f>
        <v>0</v>
      </c>
      <c r="F70" s="102"/>
      <c r="G70" s="102"/>
      <c r="H70" s="51" t="s">
        <v>272</v>
      </c>
      <c r="I70" s="91"/>
      <c r="J70" s="91"/>
      <c r="K70" s="74">
        <f>+ROUND(K35+K49+K62,0)</f>
        <v>0</v>
      </c>
      <c r="L70" s="102"/>
      <c r="M70" s="91"/>
      <c r="N70" s="91"/>
      <c r="O70" s="74">
        <f>+ROUND(O35+O49+O62,0)</f>
        <v>0</v>
      </c>
      <c r="P70" s="102"/>
      <c r="Q70" s="91"/>
      <c r="R70" s="91"/>
      <c r="S70" s="74">
        <f>+ROUND(S35+S49+S62,0)</f>
        <v>0</v>
      </c>
    </row>
    <row r="71" spans="2:19" ht="16.5" thickBot="1" x14ac:dyDescent="0.3">
      <c r="B71" s="52" t="s">
        <v>178</v>
      </c>
      <c r="C71" s="93"/>
      <c r="D71" s="93"/>
      <c r="E71" s="77">
        <f>SUM(E68:E70)</f>
        <v>0</v>
      </c>
      <c r="F71" s="103"/>
      <c r="G71" s="103"/>
      <c r="H71" s="52" t="s">
        <v>273</v>
      </c>
      <c r="I71" s="93"/>
      <c r="J71" s="93"/>
      <c r="K71" s="77">
        <f>SUM(K68:K70)</f>
        <v>0</v>
      </c>
      <c r="L71" s="103"/>
      <c r="M71" s="93"/>
      <c r="N71" s="93"/>
      <c r="O71" s="77">
        <f>SUM(O68:O70)</f>
        <v>0</v>
      </c>
      <c r="P71" s="103"/>
      <c r="Q71" s="93"/>
      <c r="R71" s="93"/>
      <c r="S71" s="77">
        <f>SUM(S68:S70)</f>
        <v>0</v>
      </c>
    </row>
  </sheetData>
  <mergeCells count="21">
    <mergeCell ref="B66:B67"/>
    <mergeCell ref="C66:E66"/>
    <mergeCell ref="I66:K66"/>
    <mergeCell ref="M66:O66"/>
    <mergeCell ref="Q66:S66"/>
    <mergeCell ref="B52:B53"/>
    <mergeCell ref="C52:E52"/>
    <mergeCell ref="I52:K52"/>
    <mergeCell ref="M52:O52"/>
    <mergeCell ref="Q52:S52"/>
    <mergeCell ref="Q10:S10"/>
    <mergeCell ref="B39:B40"/>
    <mergeCell ref="C39:E39"/>
    <mergeCell ref="I39:K39"/>
    <mergeCell ref="M39:O39"/>
    <mergeCell ref="Q39:S39"/>
    <mergeCell ref="B10:B11"/>
    <mergeCell ref="C10:E10"/>
    <mergeCell ref="H10:H11"/>
    <mergeCell ref="I10:K10"/>
    <mergeCell ref="M10:O10"/>
  </mergeCells>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5C602-950C-4C9E-95FD-1D40BD16F598}">
  <sheetPr>
    <tabColor theme="9" tint="0.79998168889431442"/>
  </sheetPr>
  <dimension ref="A1:G47"/>
  <sheetViews>
    <sheetView workbookViewId="0">
      <selection activeCell="B32" sqref="B32"/>
    </sheetView>
  </sheetViews>
  <sheetFormatPr defaultColWidth="8.7109375" defaultRowHeight="12.75" x14ac:dyDescent="0.2"/>
  <cols>
    <col min="1" max="1" width="2.42578125" style="43" customWidth="1"/>
    <col min="2" max="2" width="45.42578125" style="43" customWidth="1"/>
    <col min="3" max="8" width="14.28515625" style="43" customWidth="1"/>
    <col min="9" max="16384" width="8.7109375" style="43"/>
  </cols>
  <sheetData>
    <row r="1" spans="1:7" s="35" customFormat="1" ht="15.75" x14ac:dyDescent="0.2">
      <c r="A1" s="33"/>
      <c r="B1" s="34" t="s">
        <v>147</v>
      </c>
    </row>
    <row r="2" spans="1:7" s="35" customFormat="1" ht="15.75" x14ac:dyDescent="0.25">
      <c r="A2" s="36"/>
      <c r="B2" s="36" t="s">
        <v>226</v>
      </c>
      <c r="C2" s="36"/>
      <c r="D2" s="36"/>
    </row>
    <row r="3" spans="1:7" s="35" customFormat="1" ht="15.75" x14ac:dyDescent="0.25">
      <c r="A3" s="36"/>
      <c r="B3" s="36" t="s">
        <v>150</v>
      </c>
    </row>
    <row r="4" spans="1:7" s="35" customFormat="1" ht="15.75" x14ac:dyDescent="0.25">
      <c r="A4" s="36"/>
      <c r="B4" s="36" t="s">
        <v>349</v>
      </c>
    </row>
    <row r="5" spans="1:7" s="35" customFormat="1" ht="15.75" x14ac:dyDescent="0.25">
      <c r="A5" s="36"/>
      <c r="B5" s="36" t="s">
        <v>232</v>
      </c>
    </row>
    <row r="6" spans="1:7" s="35" customFormat="1" ht="15.75" x14ac:dyDescent="0.25">
      <c r="A6" s="36"/>
      <c r="B6" s="36"/>
    </row>
    <row r="7" spans="1:7" s="35" customFormat="1" ht="16.5" thickBot="1" x14ac:dyDescent="0.3">
      <c r="A7" s="33"/>
      <c r="B7" s="37"/>
    </row>
    <row r="8" spans="1:7" s="35" customFormat="1" ht="16.5" thickBot="1" x14ac:dyDescent="0.3">
      <c r="A8" s="33"/>
      <c r="B8" s="189"/>
      <c r="C8" s="186" t="s">
        <v>151</v>
      </c>
      <c r="D8" s="187"/>
      <c r="E8" s="187"/>
      <c r="F8" s="187"/>
      <c r="G8" s="188"/>
    </row>
    <row r="9" spans="1:7" ht="16.5" thickBot="1" x14ac:dyDescent="0.25">
      <c r="B9" s="190"/>
      <c r="C9" s="44" t="s">
        <v>152</v>
      </c>
      <c r="D9" s="44" t="s">
        <v>153</v>
      </c>
      <c r="E9" s="44" t="s">
        <v>154</v>
      </c>
      <c r="F9" s="44" t="s">
        <v>155</v>
      </c>
      <c r="G9" s="44" t="s">
        <v>156</v>
      </c>
    </row>
    <row r="10" spans="1:7" ht="15.75" x14ac:dyDescent="0.2">
      <c r="B10" s="45" t="s">
        <v>157</v>
      </c>
      <c r="C10" s="46" t="s">
        <v>158</v>
      </c>
      <c r="D10" s="46" t="s">
        <v>158</v>
      </c>
      <c r="E10" s="46" t="s">
        <v>158</v>
      </c>
      <c r="F10" s="46" t="s">
        <v>158</v>
      </c>
      <c r="G10" s="46" t="s">
        <v>158</v>
      </c>
    </row>
    <row r="11" spans="1:7" ht="13.5" x14ac:dyDescent="0.2">
      <c r="B11" s="127" t="s">
        <v>184</v>
      </c>
      <c r="C11" s="47">
        <v>0</v>
      </c>
      <c r="D11" s="47">
        <v>0</v>
      </c>
      <c r="E11" s="47">
        <v>0</v>
      </c>
      <c r="F11" s="47">
        <v>0</v>
      </c>
      <c r="G11" s="47">
        <v>0</v>
      </c>
    </row>
    <row r="12" spans="1:7" ht="13.5" x14ac:dyDescent="0.2">
      <c r="B12" s="127" t="s">
        <v>185</v>
      </c>
      <c r="C12" s="47">
        <v>0</v>
      </c>
      <c r="D12" s="47">
        <v>0</v>
      </c>
      <c r="E12" s="47">
        <v>0</v>
      </c>
      <c r="F12" s="47">
        <v>0</v>
      </c>
      <c r="G12" s="47">
        <v>0</v>
      </c>
    </row>
    <row r="13" spans="1:7" ht="13.5" x14ac:dyDescent="0.2">
      <c r="B13" s="127" t="s">
        <v>186</v>
      </c>
      <c r="C13" s="47">
        <v>0</v>
      </c>
      <c r="D13" s="47">
        <v>0</v>
      </c>
      <c r="E13" s="47">
        <v>0</v>
      </c>
      <c r="F13" s="47">
        <v>0</v>
      </c>
      <c r="G13" s="47">
        <v>0</v>
      </c>
    </row>
    <row r="14" spans="1:7" ht="13.5" x14ac:dyDescent="0.2">
      <c r="B14" s="127" t="s">
        <v>187</v>
      </c>
      <c r="C14" s="47">
        <v>0</v>
      </c>
      <c r="D14" s="47">
        <v>0</v>
      </c>
      <c r="E14" s="47">
        <v>0</v>
      </c>
      <c r="F14" s="47">
        <v>0</v>
      </c>
      <c r="G14" s="47">
        <v>0</v>
      </c>
    </row>
    <row r="15" spans="1:7" ht="13.5" x14ac:dyDescent="0.2">
      <c r="B15" s="127" t="s">
        <v>188</v>
      </c>
      <c r="C15" s="47">
        <v>0</v>
      </c>
      <c r="D15" s="47">
        <v>0</v>
      </c>
      <c r="E15" s="47">
        <v>0</v>
      </c>
      <c r="F15" s="47">
        <v>0</v>
      </c>
      <c r="G15" s="47">
        <v>0</v>
      </c>
    </row>
    <row r="16" spans="1:7" ht="13.5" x14ac:dyDescent="0.2">
      <c r="B16" s="127" t="s">
        <v>189</v>
      </c>
      <c r="C16" s="47">
        <v>0</v>
      </c>
      <c r="D16" s="47">
        <v>0</v>
      </c>
      <c r="E16" s="47">
        <v>0</v>
      </c>
      <c r="F16" s="47">
        <v>0</v>
      </c>
      <c r="G16" s="47">
        <v>0</v>
      </c>
    </row>
    <row r="17" spans="2:7" ht="13.5" x14ac:dyDescent="0.2">
      <c r="B17" s="127" t="s">
        <v>190</v>
      </c>
      <c r="C17" s="47">
        <v>0</v>
      </c>
      <c r="D17" s="47">
        <v>0</v>
      </c>
      <c r="E17" s="47">
        <v>0</v>
      </c>
      <c r="F17" s="47">
        <v>0</v>
      </c>
      <c r="G17" s="47">
        <v>0</v>
      </c>
    </row>
    <row r="18" spans="2:7" ht="13.5" x14ac:dyDescent="0.2">
      <c r="B18" s="127" t="s">
        <v>191</v>
      </c>
      <c r="C18" s="47">
        <v>0</v>
      </c>
      <c r="D18" s="47">
        <v>0</v>
      </c>
      <c r="E18" s="47">
        <v>0</v>
      </c>
      <c r="F18" s="47">
        <v>0</v>
      </c>
      <c r="G18" s="47">
        <v>0</v>
      </c>
    </row>
    <row r="19" spans="2:7" ht="13.5" x14ac:dyDescent="0.2">
      <c r="B19" s="127" t="s">
        <v>192</v>
      </c>
      <c r="C19" s="47">
        <v>0</v>
      </c>
      <c r="D19" s="47">
        <v>0</v>
      </c>
      <c r="E19" s="47">
        <v>0</v>
      </c>
      <c r="F19" s="47">
        <v>0</v>
      </c>
      <c r="G19" s="47">
        <v>0</v>
      </c>
    </row>
    <row r="20" spans="2:7" ht="13.5" x14ac:dyDescent="0.2">
      <c r="B20" s="127" t="s">
        <v>193</v>
      </c>
      <c r="C20" s="47">
        <v>0</v>
      </c>
      <c r="D20" s="47">
        <v>0</v>
      </c>
      <c r="E20" s="47">
        <v>0</v>
      </c>
      <c r="F20" s="47">
        <v>0</v>
      </c>
      <c r="G20" s="47">
        <v>0</v>
      </c>
    </row>
    <row r="21" spans="2:7" ht="13.5" x14ac:dyDescent="0.2">
      <c r="B21" s="127" t="s">
        <v>194</v>
      </c>
      <c r="C21" s="47">
        <v>0</v>
      </c>
      <c r="D21" s="47">
        <v>0</v>
      </c>
      <c r="E21" s="47">
        <v>0</v>
      </c>
      <c r="F21" s="47">
        <v>0</v>
      </c>
      <c r="G21" s="47">
        <v>0</v>
      </c>
    </row>
    <row r="22" spans="2:7" ht="13.5" x14ac:dyDescent="0.2">
      <c r="B22" s="127" t="s">
        <v>195</v>
      </c>
      <c r="C22" s="47">
        <v>0</v>
      </c>
      <c r="D22" s="47">
        <v>0</v>
      </c>
      <c r="E22" s="47">
        <v>0</v>
      </c>
      <c r="F22" s="47">
        <v>0</v>
      </c>
      <c r="G22" s="47">
        <v>0</v>
      </c>
    </row>
    <row r="23" spans="2:7" ht="14.25" thickBot="1" x14ac:dyDescent="0.25">
      <c r="B23" s="128" t="s">
        <v>196</v>
      </c>
      <c r="C23" s="48">
        <v>0</v>
      </c>
      <c r="D23" s="48">
        <v>0</v>
      </c>
      <c r="E23" s="48">
        <v>0</v>
      </c>
      <c r="F23" s="48">
        <v>0</v>
      </c>
      <c r="G23" s="48">
        <v>0</v>
      </c>
    </row>
    <row r="25" spans="2:7" ht="13.5" thickBot="1" x14ac:dyDescent="0.25"/>
    <row r="26" spans="2:7" ht="16.5" thickBot="1" x14ac:dyDescent="0.25">
      <c r="B26" s="189"/>
      <c r="C26" s="186" t="s">
        <v>159</v>
      </c>
      <c r="D26" s="187"/>
      <c r="E26" s="187"/>
      <c r="F26" s="187"/>
      <c r="G26" s="188"/>
    </row>
    <row r="27" spans="2:7" ht="16.5" thickBot="1" x14ac:dyDescent="0.25">
      <c r="B27" s="190"/>
      <c r="C27" s="44" t="s">
        <v>152</v>
      </c>
      <c r="D27" s="44" t="s">
        <v>153</v>
      </c>
      <c r="E27" s="44" t="s">
        <v>154</v>
      </c>
      <c r="F27" s="44" t="s">
        <v>155</v>
      </c>
      <c r="G27" s="44" t="s">
        <v>156</v>
      </c>
    </row>
    <row r="28" spans="2:7" ht="13.5" x14ac:dyDescent="0.25">
      <c r="B28" s="49" t="s">
        <v>160</v>
      </c>
      <c r="C28" s="50"/>
      <c r="D28" s="50"/>
      <c r="E28" s="50"/>
      <c r="F28" s="50"/>
      <c r="G28" s="50"/>
    </row>
    <row r="29" spans="2:7" ht="13.5" x14ac:dyDescent="0.25">
      <c r="B29" s="49" t="s">
        <v>161</v>
      </c>
      <c r="C29" s="50"/>
      <c r="D29" s="50"/>
      <c r="E29" s="50"/>
      <c r="F29" s="50"/>
      <c r="G29" s="50"/>
    </row>
    <row r="30" spans="2:7" ht="13.5" x14ac:dyDescent="0.25">
      <c r="B30" s="49" t="s">
        <v>162</v>
      </c>
      <c r="C30" s="50"/>
      <c r="D30" s="50"/>
      <c r="E30" s="50"/>
      <c r="F30" s="50"/>
      <c r="G30" s="50"/>
    </row>
    <row r="31" spans="2:7" ht="13.5" x14ac:dyDescent="0.25">
      <c r="B31" s="51" t="s">
        <v>163</v>
      </c>
      <c r="C31" s="50"/>
      <c r="D31" s="50"/>
      <c r="E31" s="50"/>
      <c r="F31" s="50"/>
      <c r="G31" s="50"/>
    </row>
    <row r="32" spans="2:7" ht="14.25" thickBot="1" x14ac:dyDescent="0.3">
      <c r="B32" s="52" t="s">
        <v>164</v>
      </c>
      <c r="C32" s="53"/>
      <c r="D32" s="53"/>
      <c r="E32" s="53"/>
      <c r="F32" s="53"/>
      <c r="G32" s="53"/>
    </row>
    <row r="34" spans="2:7" ht="13.5" thickBot="1" x14ac:dyDescent="0.25"/>
    <row r="35" spans="2:7" ht="16.5" thickBot="1" x14ac:dyDescent="0.25">
      <c r="B35" s="189"/>
      <c r="C35" s="186" t="s">
        <v>165</v>
      </c>
      <c r="D35" s="187"/>
      <c r="E35" s="187"/>
      <c r="F35" s="187"/>
      <c r="G35" s="188"/>
    </row>
    <row r="36" spans="2:7" ht="16.5" thickBot="1" x14ac:dyDescent="0.25">
      <c r="B36" s="190"/>
      <c r="C36" s="44" t="s">
        <v>152</v>
      </c>
      <c r="D36" s="44" t="s">
        <v>153</v>
      </c>
      <c r="E36" s="44" t="s">
        <v>154</v>
      </c>
      <c r="F36" s="44" t="s">
        <v>155</v>
      </c>
      <c r="G36" s="44" t="s">
        <v>156</v>
      </c>
    </row>
    <row r="37" spans="2:7" ht="13.5" x14ac:dyDescent="0.25">
      <c r="B37" s="49" t="s">
        <v>161</v>
      </c>
      <c r="C37" s="50"/>
      <c r="D37" s="50"/>
      <c r="E37" s="50"/>
      <c r="F37" s="50"/>
      <c r="G37" s="50"/>
    </row>
    <row r="38" spans="2:7" ht="13.5" x14ac:dyDescent="0.25">
      <c r="B38" s="49" t="s">
        <v>162</v>
      </c>
      <c r="C38" s="50"/>
      <c r="D38" s="50"/>
      <c r="E38" s="50"/>
      <c r="F38" s="50"/>
      <c r="G38" s="50"/>
    </row>
    <row r="39" spans="2:7" ht="13.5" x14ac:dyDescent="0.25">
      <c r="B39" s="49" t="s">
        <v>163</v>
      </c>
      <c r="C39" s="50"/>
      <c r="D39" s="50"/>
      <c r="E39" s="50"/>
      <c r="F39" s="50"/>
      <c r="G39" s="50"/>
    </row>
    <row r="40" spans="2:7" ht="14.25" thickBot="1" x14ac:dyDescent="0.3">
      <c r="B40" s="52" t="s">
        <v>164</v>
      </c>
      <c r="C40" s="53"/>
      <c r="D40" s="53"/>
      <c r="E40" s="53"/>
      <c r="F40" s="53"/>
      <c r="G40" s="53"/>
    </row>
    <row r="42" spans="2:7" ht="13.5" thickBot="1" x14ac:dyDescent="0.25"/>
    <row r="43" spans="2:7" ht="16.5" thickBot="1" x14ac:dyDescent="0.25">
      <c r="B43" s="189"/>
      <c r="C43" s="186" t="s">
        <v>166</v>
      </c>
      <c r="D43" s="187"/>
      <c r="E43" s="187"/>
      <c r="F43" s="187"/>
      <c r="G43" s="188"/>
    </row>
    <row r="44" spans="2:7" ht="16.5" thickBot="1" x14ac:dyDescent="0.25">
      <c r="B44" s="190"/>
      <c r="C44" s="44" t="s">
        <v>152</v>
      </c>
      <c r="D44" s="44" t="s">
        <v>153</v>
      </c>
      <c r="E44" s="44" t="s">
        <v>154</v>
      </c>
      <c r="F44" s="44" t="s">
        <v>155</v>
      </c>
      <c r="G44" s="44" t="s">
        <v>156</v>
      </c>
    </row>
    <row r="45" spans="2:7" ht="13.5" x14ac:dyDescent="0.25">
      <c r="B45" s="49" t="s">
        <v>161</v>
      </c>
      <c r="C45" s="50"/>
      <c r="D45" s="50"/>
      <c r="E45" s="50"/>
      <c r="F45" s="50"/>
      <c r="G45" s="50"/>
    </row>
    <row r="46" spans="2:7" ht="13.5" x14ac:dyDescent="0.25">
      <c r="B46" s="49" t="s">
        <v>162</v>
      </c>
      <c r="C46" s="50"/>
      <c r="D46" s="50"/>
      <c r="E46" s="50"/>
      <c r="F46" s="50"/>
      <c r="G46" s="50"/>
    </row>
    <row r="47" spans="2:7" ht="14.25" thickBot="1" x14ac:dyDescent="0.3">
      <c r="B47" s="54" t="s">
        <v>163</v>
      </c>
      <c r="C47" s="53"/>
      <c r="D47" s="53"/>
      <c r="E47" s="53"/>
      <c r="F47" s="53"/>
      <c r="G47" s="53"/>
    </row>
  </sheetData>
  <mergeCells count="8">
    <mergeCell ref="B43:B44"/>
    <mergeCell ref="C43:G43"/>
    <mergeCell ref="B8:B9"/>
    <mergeCell ref="C8:G8"/>
    <mergeCell ref="B26:B27"/>
    <mergeCell ref="C26:G26"/>
    <mergeCell ref="B35:B36"/>
    <mergeCell ref="C35:G3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DC6F8-FE25-476B-AA69-0A0850445983}">
  <sheetPr>
    <tabColor theme="9" tint="0.79998168889431442"/>
  </sheetPr>
  <dimension ref="A1:E22"/>
  <sheetViews>
    <sheetView workbookViewId="0">
      <selection activeCell="B5" sqref="B5"/>
    </sheetView>
  </sheetViews>
  <sheetFormatPr defaultColWidth="8.7109375" defaultRowHeight="12.75" x14ac:dyDescent="0.2"/>
  <cols>
    <col min="1" max="1" width="2.42578125" style="43" customWidth="1"/>
    <col min="2" max="2" width="49.7109375" style="43" customWidth="1"/>
    <col min="3" max="3" width="104.7109375" style="43" customWidth="1"/>
    <col min="4" max="4" width="42" style="43" customWidth="1"/>
    <col min="5" max="5" width="56.140625" style="43" customWidth="1"/>
    <col min="6" max="16384" width="8.7109375" style="43"/>
  </cols>
  <sheetData>
    <row r="1" spans="1:5" s="35" customFormat="1" ht="15.75" x14ac:dyDescent="0.2">
      <c r="A1" s="33"/>
      <c r="B1" s="34" t="s">
        <v>147</v>
      </c>
    </row>
    <row r="2" spans="1:5" s="35" customFormat="1" ht="15.75" x14ac:dyDescent="0.25">
      <c r="A2" s="36"/>
      <c r="B2" s="36" t="s">
        <v>233</v>
      </c>
      <c r="C2" s="36"/>
    </row>
    <row r="3" spans="1:5" s="35" customFormat="1" ht="15.75" x14ac:dyDescent="0.25">
      <c r="A3" s="36"/>
      <c r="B3" s="36" t="s">
        <v>234</v>
      </c>
    </row>
    <row r="4" spans="1:5" s="35" customFormat="1" ht="15.75" x14ac:dyDescent="0.25">
      <c r="A4" s="36"/>
      <c r="B4" s="36" t="s">
        <v>240</v>
      </c>
    </row>
    <row r="5" spans="1:5" s="35" customFormat="1" ht="15.75" x14ac:dyDescent="0.25">
      <c r="A5" s="36"/>
      <c r="B5" s="36" t="s">
        <v>353</v>
      </c>
    </row>
    <row r="6" spans="1:5" s="35" customFormat="1" ht="16.5" thickBot="1" x14ac:dyDescent="0.3">
      <c r="A6" s="33"/>
      <c r="B6" s="37"/>
      <c r="C6" s="141"/>
    </row>
    <row r="7" spans="1:5" s="35" customFormat="1" ht="15.75" x14ac:dyDescent="0.25">
      <c r="A7" s="33"/>
      <c r="B7" s="189"/>
      <c r="C7" s="189" t="s">
        <v>235</v>
      </c>
      <c r="D7" s="191" t="s">
        <v>237</v>
      </c>
      <c r="E7" s="191" t="s">
        <v>236</v>
      </c>
    </row>
    <row r="8" spans="1:5" ht="13.5" thickBot="1" x14ac:dyDescent="0.25">
      <c r="B8" s="190"/>
      <c r="C8" s="190"/>
      <c r="D8" s="192"/>
      <c r="E8" s="192"/>
    </row>
    <row r="9" spans="1:5" ht="16.5" thickBot="1" x14ac:dyDescent="0.3">
      <c r="B9" s="45" t="s">
        <v>157</v>
      </c>
      <c r="C9" s="142" t="s">
        <v>7</v>
      </c>
    </row>
    <row r="10" spans="1:5" ht="94.5" x14ac:dyDescent="0.2">
      <c r="B10" s="127" t="s">
        <v>184</v>
      </c>
      <c r="C10" s="145"/>
      <c r="D10" s="144" t="s">
        <v>238</v>
      </c>
      <c r="E10" s="143" t="s">
        <v>239</v>
      </c>
    </row>
    <row r="11" spans="1:5" ht="13.5" x14ac:dyDescent="0.2">
      <c r="B11" s="127" t="s">
        <v>185</v>
      </c>
      <c r="C11" s="146"/>
    </row>
    <row r="12" spans="1:5" ht="13.5" x14ac:dyDescent="0.2">
      <c r="B12" s="127" t="s">
        <v>186</v>
      </c>
      <c r="C12" s="145"/>
    </row>
    <row r="13" spans="1:5" ht="13.5" x14ac:dyDescent="0.2">
      <c r="B13" s="127" t="s">
        <v>187</v>
      </c>
      <c r="C13" s="146"/>
    </row>
    <row r="14" spans="1:5" ht="13.5" x14ac:dyDescent="0.2">
      <c r="B14" s="127" t="s">
        <v>188</v>
      </c>
      <c r="C14" s="146"/>
    </row>
    <row r="15" spans="1:5" ht="13.5" x14ac:dyDescent="0.2">
      <c r="B15" s="127" t="s">
        <v>189</v>
      </c>
      <c r="C15" s="146"/>
    </row>
    <row r="16" spans="1:5" ht="13.5" x14ac:dyDescent="0.2">
      <c r="B16" s="127" t="s">
        <v>190</v>
      </c>
      <c r="C16" s="145"/>
    </row>
    <row r="17" spans="2:3" ht="13.5" x14ac:dyDescent="0.2">
      <c r="B17" s="127" t="s">
        <v>191</v>
      </c>
      <c r="C17" s="146"/>
    </row>
    <row r="18" spans="2:3" ht="13.5" x14ac:dyDescent="0.2">
      <c r="B18" s="127" t="s">
        <v>192</v>
      </c>
      <c r="C18" s="146"/>
    </row>
    <row r="19" spans="2:3" ht="13.5" x14ac:dyDescent="0.2">
      <c r="B19" s="127" t="s">
        <v>193</v>
      </c>
      <c r="C19" s="146"/>
    </row>
    <row r="20" spans="2:3" ht="13.5" x14ac:dyDescent="0.2">
      <c r="B20" s="127" t="s">
        <v>194</v>
      </c>
      <c r="C20" s="147"/>
    </row>
    <row r="21" spans="2:3" ht="13.5" x14ac:dyDescent="0.2">
      <c r="B21" s="127" t="s">
        <v>195</v>
      </c>
      <c r="C21" s="146"/>
    </row>
    <row r="22" spans="2:3" ht="14.25" thickBot="1" x14ac:dyDescent="0.25">
      <c r="B22" s="128" t="s">
        <v>196</v>
      </c>
      <c r="C22" s="146"/>
    </row>
  </sheetData>
  <mergeCells count="4">
    <mergeCell ref="C7:C8"/>
    <mergeCell ref="D7:D8"/>
    <mergeCell ref="E7:E8"/>
    <mergeCell ref="B7:B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CAEA5-A837-4F5E-B389-6E489C6B7ED6}">
  <sheetPr>
    <tabColor theme="7" tint="0.79998168889431442"/>
  </sheetPr>
  <dimension ref="A1:W71"/>
  <sheetViews>
    <sheetView workbookViewId="0">
      <selection activeCell="B4" sqref="B4"/>
    </sheetView>
  </sheetViews>
  <sheetFormatPr defaultColWidth="15.85546875" defaultRowHeight="15.75" x14ac:dyDescent="0.25"/>
  <cols>
    <col min="1" max="1" width="3.42578125" style="33" customWidth="1"/>
    <col min="2" max="2" width="49.140625" style="37" customWidth="1"/>
    <col min="3" max="3" width="32.85546875" style="35" customWidth="1"/>
    <col min="4" max="4" width="28.85546875" style="35" customWidth="1"/>
    <col min="5" max="5" width="40.140625" style="35" customWidth="1"/>
    <col min="6" max="6" width="3.140625" style="35" customWidth="1"/>
    <col min="7" max="7" width="28.28515625" style="35" customWidth="1"/>
    <col min="8" max="8" width="25.42578125" style="35" customWidth="1"/>
    <col min="9" max="9" width="35.42578125" style="35" customWidth="1"/>
    <col min="10" max="11" width="3.140625" style="35" customWidth="1"/>
    <col min="12" max="12" width="45" style="35" bestFit="1" customWidth="1"/>
    <col min="13" max="13" width="28.28515625" style="35" customWidth="1"/>
    <col min="14" max="14" width="25.42578125" style="35" customWidth="1"/>
    <col min="15" max="15" width="35.42578125" style="35" customWidth="1"/>
    <col min="16" max="16" width="3.140625" style="35" customWidth="1"/>
    <col min="17" max="17" width="28.28515625" style="35" customWidth="1"/>
    <col min="18" max="18" width="25.42578125" style="35" customWidth="1"/>
    <col min="19" max="19" width="35.42578125" style="35" customWidth="1"/>
    <col min="20" max="20" width="3.140625" style="35" customWidth="1"/>
    <col min="21" max="21" width="28.28515625" style="35" customWidth="1"/>
    <col min="22" max="22" width="25.42578125" style="35" customWidth="1"/>
    <col min="23" max="23" width="35.42578125" style="35" customWidth="1"/>
    <col min="24" max="16384" width="15.85546875" style="35"/>
  </cols>
  <sheetData>
    <row r="1" spans="1:23" x14ac:dyDescent="0.2">
      <c r="B1" s="34" t="s">
        <v>147</v>
      </c>
    </row>
    <row r="2" spans="1:23" x14ac:dyDescent="0.25">
      <c r="A2" s="36"/>
      <c r="B2" s="153" t="s">
        <v>167</v>
      </c>
      <c r="C2" s="94"/>
      <c r="D2" s="94"/>
      <c r="E2" s="94"/>
      <c r="F2" s="94"/>
      <c r="G2" s="94"/>
      <c r="H2" s="94"/>
      <c r="I2" s="94"/>
      <c r="J2" s="94"/>
      <c r="K2" s="94"/>
      <c r="L2" s="94"/>
      <c r="M2" s="94"/>
      <c r="N2" s="94"/>
      <c r="O2" s="94"/>
      <c r="P2" s="94"/>
      <c r="Q2" s="94"/>
      <c r="R2" s="94"/>
      <c r="S2" s="94"/>
      <c r="T2" s="94"/>
      <c r="U2" s="94"/>
      <c r="V2" s="94"/>
      <c r="W2" s="94"/>
    </row>
    <row r="3" spans="1:23" x14ac:dyDescent="0.25">
      <c r="A3" s="36"/>
      <c r="B3" s="153" t="s">
        <v>347</v>
      </c>
      <c r="C3" s="94"/>
      <c r="D3" s="94"/>
      <c r="E3" s="94"/>
      <c r="F3" s="94"/>
      <c r="G3" s="94"/>
      <c r="H3" s="94"/>
      <c r="I3" s="94"/>
      <c r="J3" s="94"/>
      <c r="K3" s="94"/>
      <c r="L3" s="94"/>
      <c r="M3" s="94"/>
      <c r="N3" s="94"/>
      <c r="O3" s="94"/>
      <c r="P3" s="94"/>
      <c r="Q3" s="94"/>
      <c r="R3" s="94"/>
      <c r="S3" s="94"/>
      <c r="T3" s="94"/>
      <c r="U3" s="94"/>
      <c r="V3" s="94"/>
      <c r="W3" s="94"/>
    </row>
    <row r="4" spans="1:23" x14ac:dyDescent="0.25">
      <c r="A4" s="36"/>
      <c r="B4" s="153" t="s">
        <v>231</v>
      </c>
      <c r="C4" s="94"/>
      <c r="D4" s="94"/>
      <c r="E4" s="94"/>
      <c r="F4" s="94"/>
      <c r="G4" s="94"/>
      <c r="H4" s="94"/>
      <c r="I4" s="94"/>
      <c r="J4" s="94"/>
      <c r="K4" s="94"/>
      <c r="L4" s="94"/>
      <c r="M4" s="94"/>
      <c r="N4" s="94"/>
      <c r="O4" s="94"/>
      <c r="P4" s="94"/>
      <c r="Q4" s="94"/>
      <c r="R4" s="94"/>
      <c r="S4" s="94"/>
      <c r="T4" s="94"/>
      <c r="U4" s="94"/>
      <c r="V4" s="94"/>
      <c r="W4" s="94"/>
    </row>
    <row r="5" spans="1:23" x14ac:dyDescent="0.25">
      <c r="A5" s="36"/>
      <c r="B5" s="153" t="s">
        <v>168</v>
      </c>
      <c r="C5" s="94"/>
      <c r="D5" s="94"/>
      <c r="E5" s="94"/>
      <c r="F5" s="94"/>
      <c r="G5" s="94"/>
      <c r="H5" s="94"/>
      <c r="I5" s="94"/>
      <c r="J5" s="94"/>
      <c r="K5" s="94"/>
      <c r="L5" s="94"/>
      <c r="M5" s="94"/>
      <c r="N5" s="94"/>
      <c r="O5" s="94"/>
      <c r="P5" s="94"/>
      <c r="Q5" s="94"/>
      <c r="R5" s="94"/>
      <c r="S5" s="94"/>
      <c r="T5" s="94"/>
      <c r="U5" s="94"/>
      <c r="V5" s="94"/>
      <c r="W5" s="94"/>
    </row>
    <row r="6" spans="1:23" x14ac:dyDescent="0.25">
      <c r="A6" s="36"/>
      <c r="B6" s="153" t="s">
        <v>348</v>
      </c>
      <c r="C6" s="94"/>
      <c r="D6" s="94"/>
      <c r="E6" s="94"/>
      <c r="F6" s="94"/>
      <c r="G6" s="94"/>
      <c r="H6" s="94"/>
      <c r="I6" s="94"/>
      <c r="J6" s="94"/>
      <c r="K6" s="94"/>
      <c r="L6" s="94"/>
      <c r="M6" s="94"/>
      <c r="N6" s="94"/>
      <c r="O6" s="94"/>
      <c r="P6" s="94"/>
      <c r="Q6" s="94"/>
      <c r="R6" s="94"/>
      <c r="S6" s="94"/>
      <c r="T6" s="94"/>
      <c r="U6" s="94"/>
      <c r="V6" s="94"/>
      <c r="W6" s="94"/>
    </row>
    <row r="7" spans="1:23" x14ac:dyDescent="0.25">
      <c r="A7" s="36"/>
      <c r="B7" s="153" t="s">
        <v>274</v>
      </c>
      <c r="C7" s="94"/>
      <c r="D7" s="94"/>
      <c r="E7" s="94"/>
      <c r="F7" s="94"/>
      <c r="G7" s="94"/>
      <c r="H7" s="94"/>
      <c r="I7" s="94"/>
      <c r="J7" s="94"/>
      <c r="K7" s="94"/>
      <c r="L7" s="94"/>
      <c r="M7" s="94"/>
      <c r="N7" s="94"/>
      <c r="O7" s="94"/>
      <c r="P7" s="94"/>
      <c r="Q7" s="94"/>
      <c r="R7" s="94"/>
      <c r="S7" s="94"/>
      <c r="T7" s="94"/>
      <c r="U7" s="94"/>
      <c r="V7" s="94"/>
      <c r="W7" s="94"/>
    </row>
    <row r="9" spans="1:23" ht="16.5" thickBot="1" x14ac:dyDescent="0.3"/>
    <row r="10" spans="1:23" ht="16.5" thickBot="1" x14ac:dyDescent="0.3">
      <c r="A10" s="38"/>
      <c r="B10" s="189" t="s">
        <v>275</v>
      </c>
      <c r="C10" s="186" t="s">
        <v>170</v>
      </c>
      <c r="D10" s="187"/>
      <c r="E10" s="188"/>
      <c r="F10" s="95"/>
      <c r="G10" s="186" t="s">
        <v>170</v>
      </c>
      <c r="H10" s="187"/>
      <c r="I10" s="188"/>
      <c r="J10" s="95"/>
      <c r="K10" s="95"/>
      <c r="L10" s="189" t="s">
        <v>276</v>
      </c>
      <c r="M10" s="186" t="s">
        <v>170</v>
      </c>
      <c r="N10" s="187"/>
      <c r="O10" s="188"/>
      <c r="P10" s="95"/>
      <c r="Q10" s="186" t="s">
        <v>170</v>
      </c>
      <c r="R10" s="187"/>
      <c r="S10" s="188"/>
      <c r="T10" s="95"/>
      <c r="U10" s="186" t="s">
        <v>170</v>
      </c>
      <c r="V10" s="187"/>
      <c r="W10" s="188"/>
    </row>
    <row r="11" spans="1:23" ht="16.5" thickBot="1" x14ac:dyDescent="0.3">
      <c r="A11" s="38"/>
      <c r="B11" s="190"/>
      <c r="C11" s="129" t="s">
        <v>248</v>
      </c>
      <c r="D11" s="130"/>
      <c r="E11" s="131"/>
      <c r="F11" s="96"/>
      <c r="G11" s="132" t="s">
        <v>249</v>
      </c>
      <c r="H11" s="133"/>
      <c r="I11" s="134"/>
      <c r="J11" s="96"/>
      <c r="K11" s="96"/>
      <c r="L11" s="190"/>
      <c r="M11" s="132" t="s">
        <v>250</v>
      </c>
      <c r="N11" s="133"/>
      <c r="O11" s="134"/>
      <c r="P11" s="96"/>
      <c r="Q11" s="132" t="s">
        <v>251</v>
      </c>
      <c r="R11" s="133"/>
      <c r="S11" s="134"/>
      <c r="T11" s="96"/>
      <c r="U11" s="132" t="s">
        <v>252</v>
      </c>
      <c r="V11" s="133"/>
      <c r="W11" s="134"/>
    </row>
    <row r="12" spans="1:23" x14ac:dyDescent="0.25">
      <c r="A12" s="38"/>
      <c r="B12" s="56" t="s">
        <v>157</v>
      </c>
      <c r="C12" s="56" t="s">
        <v>171</v>
      </c>
      <c r="D12" s="57" t="s">
        <v>172</v>
      </c>
      <c r="E12" s="58" t="s">
        <v>10</v>
      </c>
      <c r="F12" s="97"/>
      <c r="G12" s="56" t="s">
        <v>171</v>
      </c>
      <c r="H12" s="57" t="s">
        <v>172</v>
      </c>
      <c r="I12" s="58" t="s">
        <v>10</v>
      </c>
      <c r="J12" s="97"/>
      <c r="K12" s="97"/>
      <c r="L12" s="56" t="s">
        <v>157</v>
      </c>
      <c r="M12" s="56" t="s">
        <v>171</v>
      </c>
      <c r="N12" s="57" t="s">
        <v>172</v>
      </c>
      <c r="O12" s="58" t="s">
        <v>10</v>
      </c>
      <c r="P12" s="97"/>
      <c r="Q12" s="56" t="s">
        <v>171</v>
      </c>
      <c r="R12" s="57" t="s">
        <v>172</v>
      </c>
      <c r="S12" s="58" t="s">
        <v>10</v>
      </c>
      <c r="T12" s="97"/>
      <c r="U12" s="56" t="s">
        <v>171</v>
      </c>
      <c r="V12" s="57" t="s">
        <v>172</v>
      </c>
      <c r="W12" s="58" t="s">
        <v>10</v>
      </c>
    </row>
    <row r="13" spans="1:23" x14ac:dyDescent="0.25">
      <c r="A13" s="38"/>
      <c r="B13" s="59" t="s">
        <v>184</v>
      </c>
      <c r="C13" s="60"/>
      <c r="D13" s="61">
        <v>0</v>
      </c>
      <c r="E13" s="62">
        <f>+C13*D13</f>
        <v>0</v>
      </c>
      <c r="F13" s="98"/>
      <c r="G13" s="60"/>
      <c r="H13" s="61">
        <v>0</v>
      </c>
      <c r="I13" s="62">
        <f>+G13*H13</f>
        <v>0</v>
      </c>
      <c r="J13" s="98"/>
      <c r="K13" s="98"/>
      <c r="L13" s="151" t="s">
        <v>184</v>
      </c>
      <c r="M13" s="60"/>
      <c r="N13" s="61">
        <v>0</v>
      </c>
      <c r="O13" s="62">
        <f>+M13*N13</f>
        <v>0</v>
      </c>
      <c r="P13" s="98"/>
      <c r="Q13" s="60"/>
      <c r="R13" s="61">
        <v>0</v>
      </c>
      <c r="S13" s="62">
        <f>+Q13*R13</f>
        <v>0</v>
      </c>
      <c r="T13" s="98"/>
      <c r="U13" s="60"/>
      <c r="V13" s="61">
        <v>0</v>
      </c>
      <c r="W13" s="62">
        <f>+U13*V13</f>
        <v>0</v>
      </c>
    </row>
    <row r="14" spans="1:23" x14ac:dyDescent="0.25">
      <c r="A14" s="38"/>
      <c r="B14" s="59" t="s">
        <v>185</v>
      </c>
      <c r="C14" s="60"/>
      <c r="D14" s="61">
        <v>0</v>
      </c>
      <c r="E14" s="62">
        <f t="shared" ref="E14:E25" si="0">+C14*D14</f>
        <v>0</v>
      </c>
      <c r="F14" s="98"/>
      <c r="G14" s="60"/>
      <c r="H14" s="61">
        <v>0</v>
      </c>
      <c r="I14" s="62">
        <f t="shared" ref="I14:I25" si="1">+G14*H14</f>
        <v>0</v>
      </c>
      <c r="J14" s="98"/>
      <c r="K14" s="98"/>
      <c r="L14" s="59" t="s">
        <v>185</v>
      </c>
      <c r="M14" s="60"/>
      <c r="N14" s="61">
        <v>0</v>
      </c>
      <c r="O14" s="62">
        <f t="shared" ref="O14:O25" si="2">+M14*N14</f>
        <v>0</v>
      </c>
      <c r="P14" s="98"/>
      <c r="Q14" s="60"/>
      <c r="R14" s="61">
        <v>0</v>
      </c>
      <c r="S14" s="62">
        <f t="shared" ref="S14:S25" si="3">+Q14*R14</f>
        <v>0</v>
      </c>
      <c r="T14" s="98"/>
      <c r="U14" s="60"/>
      <c r="V14" s="61">
        <v>0</v>
      </c>
      <c r="W14" s="62">
        <f t="shared" ref="W14:W25" si="4">+U14*V14</f>
        <v>0</v>
      </c>
    </row>
    <row r="15" spans="1:23" x14ac:dyDescent="0.25">
      <c r="A15" s="38"/>
      <c r="B15" s="59" t="s">
        <v>186</v>
      </c>
      <c r="C15" s="60"/>
      <c r="D15" s="61">
        <v>0</v>
      </c>
      <c r="E15" s="62">
        <f t="shared" si="0"/>
        <v>0</v>
      </c>
      <c r="F15" s="98"/>
      <c r="G15" s="60"/>
      <c r="H15" s="61">
        <v>0</v>
      </c>
      <c r="I15" s="62">
        <f t="shared" si="1"/>
        <v>0</v>
      </c>
      <c r="J15" s="98"/>
      <c r="K15" s="98"/>
      <c r="L15" s="59" t="s">
        <v>186</v>
      </c>
      <c r="M15" s="60"/>
      <c r="N15" s="61">
        <v>0</v>
      </c>
      <c r="O15" s="62">
        <f t="shared" si="2"/>
        <v>0</v>
      </c>
      <c r="P15" s="98"/>
      <c r="Q15" s="60"/>
      <c r="R15" s="61">
        <v>0</v>
      </c>
      <c r="S15" s="62">
        <f t="shared" si="3"/>
        <v>0</v>
      </c>
      <c r="T15" s="98"/>
      <c r="U15" s="60"/>
      <c r="V15" s="61">
        <v>0</v>
      </c>
      <c r="W15" s="62">
        <f t="shared" si="4"/>
        <v>0</v>
      </c>
    </row>
    <row r="16" spans="1:23" x14ac:dyDescent="0.25">
      <c r="A16" s="38"/>
      <c r="B16" s="59" t="s">
        <v>187</v>
      </c>
      <c r="C16" s="60"/>
      <c r="D16" s="61">
        <v>0</v>
      </c>
      <c r="E16" s="62">
        <f t="shared" si="0"/>
        <v>0</v>
      </c>
      <c r="F16" s="98"/>
      <c r="G16" s="60"/>
      <c r="H16" s="61">
        <v>0</v>
      </c>
      <c r="I16" s="62">
        <f t="shared" si="1"/>
        <v>0</v>
      </c>
      <c r="J16" s="98"/>
      <c r="K16" s="98"/>
      <c r="L16" s="59" t="s">
        <v>187</v>
      </c>
      <c r="M16" s="60"/>
      <c r="N16" s="61">
        <v>0</v>
      </c>
      <c r="O16" s="62">
        <f t="shared" si="2"/>
        <v>0</v>
      </c>
      <c r="P16" s="98"/>
      <c r="Q16" s="60"/>
      <c r="R16" s="61">
        <v>0</v>
      </c>
      <c r="S16" s="62">
        <f t="shared" si="3"/>
        <v>0</v>
      </c>
      <c r="T16" s="98"/>
      <c r="U16" s="60"/>
      <c r="V16" s="61">
        <v>0</v>
      </c>
      <c r="W16" s="62">
        <f t="shared" si="4"/>
        <v>0</v>
      </c>
    </row>
    <row r="17" spans="1:23" x14ac:dyDescent="0.25">
      <c r="A17" s="38"/>
      <c r="B17" s="59" t="s">
        <v>188</v>
      </c>
      <c r="C17" s="60"/>
      <c r="D17" s="61">
        <v>0</v>
      </c>
      <c r="E17" s="62">
        <f t="shared" si="0"/>
        <v>0</v>
      </c>
      <c r="F17" s="98"/>
      <c r="G17" s="60"/>
      <c r="H17" s="61">
        <v>0</v>
      </c>
      <c r="I17" s="62">
        <f t="shared" si="1"/>
        <v>0</v>
      </c>
      <c r="J17" s="98"/>
      <c r="K17" s="98"/>
      <c r="L17" s="59" t="s">
        <v>188</v>
      </c>
      <c r="M17" s="60"/>
      <c r="N17" s="61">
        <v>0</v>
      </c>
      <c r="O17" s="62">
        <f t="shared" si="2"/>
        <v>0</v>
      </c>
      <c r="P17" s="98"/>
      <c r="Q17" s="60"/>
      <c r="R17" s="61">
        <v>0</v>
      </c>
      <c r="S17" s="62">
        <f t="shared" si="3"/>
        <v>0</v>
      </c>
      <c r="T17" s="98"/>
      <c r="U17" s="60"/>
      <c r="V17" s="61">
        <v>0</v>
      </c>
      <c r="W17" s="62">
        <f t="shared" si="4"/>
        <v>0</v>
      </c>
    </row>
    <row r="18" spans="1:23" x14ac:dyDescent="0.25">
      <c r="A18" s="38"/>
      <c r="B18" s="59" t="s">
        <v>189</v>
      </c>
      <c r="C18" s="60"/>
      <c r="D18" s="61">
        <v>0</v>
      </c>
      <c r="E18" s="62">
        <f t="shared" si="0"/>
        <v>0</v>
      </c>
      <c r="F18" s="98"/>
      <c r="G18" s="60"/>
      <c r="H18" s="61">
        <v>0</v>
      </c>
      <c r="I18" s="62">
        <f t="shared" si="1"/>
        <v>0</v>
      </c>
      <c r="J18" s="98"/>
      <c r="K18" s="98"/>
      <c r="L18" s="59" t="s">
        <v>189</v>
      </c>
      <c r="M18" s="60"/>
      <c r="N18" s="61">
        <v>0</v>
      </c>
      <c r="O18" s="62">
        <f t="shared" si="2"/>
        <v>0</v>
      </c>
      <c r="P18" s="98"/>
      <c r="Q18" s="60"/>
      <c r="R18" s="61">
        <v>0</v>
      </c>
      <c r="S18" s="62">
        <f t="shared" si="3"/>
        <v>0</v>
      </c>
      <c r="T18" s="98"/>
      <c r="U18" s="60"/>
      <c r="V18" s="61">
        <v>0</v>
      </c>
      <c r="W18" s="62">
        <f t="shared" si="4"/>
        <v>0</v>
      </c>
    </row>
    <row r="19" spans="1:23" x14ac:dyDescent="0.25">
      <c r="A19" s="38"/>
      <c r="B19" s="59" t="s">
        <v>190</v>
      </c>
      <c r="C19" s="60"/>
      <c r="D19" s="61">
        <v>0</v>
      </c>
      <c r="E19" s="62">
        <f t="shared" si="0"/>
        <v>0</v>
      </c>
      <c r="F19" s="98"/>
      <c r="G19" s="60"/>
      <c r="H19" s="61">
        <v>0</v>
      </c>
      <c r="I19" s="62">
        <f t="shared" si="1"/>
        <v>0</v>
      </c>
      <c r="J19" s="98"/>
      <c r="K19" s="98"/>
      <c r="L19" s="59" t="s">
        <v>190</v>
      </c>
      <c r="M19" s="60"/>
      <c r="N19" s="61">
        <v>0</v>
      </c>
      <c r="O19" s="62">
        <f t="shared" si="2"/>
        <v>0</v>
      </c>
      <c r="P19" s="98"/>
      <c r="Q19" s="60"/>
      <c r="R19" s="61">
        <v>0</v>
      </c>
      <c r="S19" s="62">
        <f t="shared" si="3"/>
        <v>0</v>
      </c>
      <c r="T19" s="98"/>
      <c r="U19" s="60"/>
      <c r="V19" s="61">
        <v>0</v>
      </c>
      <c r="W19" s="62">
        <f t="shared" si="4"/>
        <v>0</v>
      </c>
    </row>
    <row r="20" spans="1:23" x14ac:dyDescent="0.25">
      <c r="A20" s="38"/>
      <c r="B20" s="59" t="s">
        <v>191</v>
      </c>
      <c r="C20" s="60"/>
      <c r="D20" s="61">
        <v>0</v>
      </c>
      <c r="E20" s="62">
        <f t="shared" si="0"/>
        <v>0</v>
      </c>
      <c r="F20" s="98"/>
      <c r="G20" s="60"/>
      <c r="H20" s="61">
        <v>0</v>
      </c>
      <c r="I20" s="62">
        <f t="shared" si="1"/>
        <v>0</v>
      </c>
      <c r="J20" s="98"/>
      <c r="K20" s="98"/>
      <c r="L20" s="59" t="s">
        <v>191</v>
      </c>
      <c r="M20" s="60"/>
      <c r="N20" s="61">
        <v>0</v>
      </c>
      <c r="O20" s="62">
        <f t="shared" si="2"/>
        <v>0</v>
      </c>
      <c r="P20" s="98"/>
      <c r="Q20" s="60"/>
      <c r="R20" s="61">
        <v>0</v>
      </c>
      <c r="S20" s="62">
        <f t="shared" si="3"/>
        <v>0</v>
      </c>
      <c r="T20" s="98"/>
      <c r="U20" s="60"/>
      <c r="V20" s="61">
        <v>0</v>
      </c>
      <c r="W20" s="62">
        <f t="shared" si="4"/>
        <v>0</v>
      </c>
    </row>
    <row r="21" spans="1:23" x14ac:dyDescent="0.25">
      <c r="A21" s="38"/>
      <c r="B21" s="59" t="s">
        <v>192</v>
      </c>
      <c r="C21" s="60"/>
      <c r="D21" s="61">
        <v>0</v>
      </c>
      <c r="E21" s="62">
        <f t="shared" si="0"/>
        <v>0</v>
      </c>
      <c r="F21" s="98"/>
      <c r="G21" s="60"/>
      <c r="H21" s="61">
        <v>0</v>
      </c>
      <c r="I21" s="62">
        <f t="shared" si="1"/>
        <v>0</v>
      </c>
      <c r="J21" s="98"/>
      <c r="K21" s="98"/>
      <c r="L21" s="59" t="s">
        <v>192</v>
      </c>
      <c r="M21" s="60"/>
      <c r="N21" s="61">
        <v>0</v>
      </c>
      <c r="O21" s="62">
        <f t="shared" si="2"/>
        <v>0</v>
      </c>
      <c r="P21" s="98"/>
      <c r="Q21" s="60"/>
      <c r="R21" s="61">
        <v>0</v>
      </c>
      <c r="S21" s="62">
        <f t="shared" si="3"/>
        <v>0</v>
      </c>
      <c r="T21" s="98"/>
      <c r="U21" s="60"/>
      <c r="V21" s="61">
        <v>0</v>
      </c>
      <c r="W21" s="62">
        <f t="shared" si="4"/>
        <v>0</v>
      </c>
    </row>
    <row r="22" spans="1:23" ht="15" customHeight="1" x14ac:dyDescent="0.25">
      <c r="A22" s="38"/>
      <c r="B22" s="59" t="s">
        <v>193</v>
      </c>
      <c r="C22" s="60"/>
      <c r="D22" s="61">
        <v>0</v>
      </c>
      <c r="E22" s="62">
        <f t="shared" si="0"/>
        <v>0</v>
      </c>
      <c r="F22" s="98"/>
      <c r="G22" s="60"/>
      <c r="H22" s="61">
        <v>0</v>
      </c>
      <c r="I22" s="62">
        <f t="shared" si="1"/>
        <v>0</v>
      </c>
      <c r="J22" s="98"/>
      <c r="K22" s="98"/>
      <c r="L22" s="59" t="s">
        <v>193</v>
      </c>
      <c r="M22" s="60"/>
      <c r="N22" s="61">
        <v>0</v>
      </c>
      <c r="O22" s="62">
        <f t="shared" si="2"/>
        <v>0</v>
      </c>
      <c r="P22" s="98"/>
      <c r="Q22" s="60"/>
      <c r="R22" s="61">
        <v>0</v>
      </c>
      <c r="S22" s="62">
        <f t="shared" si="3"/>
        <v>0</v>
      </c>
      <c r="T22" s="98"/>
      <c r="U22" s="60"/>
      <c r="V22" s="61">
        <v>0</v>
      </c>
      <c r="W22" s="62">
        <f t="shared" si="4"/>
        <v>0</v>
      </c>
    </row>
    <row r="23" spans="1:23" ht="15" customHeight="1" x14ac:dyDescent="0.25">
      <c r="A23" s="38"/>
      <c r="B23" s="59" t="s">
        <v>194</v>
      </c>
      <c r="C23" s="60"/>
      <c r="D23" s="61">
        <v>0</v>
      </c>
      <c r="E23" s="62">
        <f t="shared" si="0"/>
        <v>0</v>
      </c>
      <c r="F23" s="98"/>
      <c r="G23" s="60"/>
      <c r="H23" s="61">
        <v>0</v>
      </c>
      <c r="I23" s="62">
        <f t="shared" si="1"/>
        <v>0</v>
      </c>
      <c r="J23" s="98"/>
      <c r="K23" s="98"/>
      <c r="L23" s="59" t="s">
        <v>194</v>
      </c>
      <c r="M23" s="60"/>
      <c r="N23" s="61">
        <v>0</v>
      </c>
      <c r="O23" s="62">
        <f t="shared" si="2"/>
        <v>0</v>
      </c>
      <c r="P23" s="98"/>
      <c r="Q23" s="60"/>
      <c r="R23" s="61">
        <v>0</v>
      </c>
      <c r="S23" s="62">
        <f t="shared" si="3"/>
        <v>0</v>
      </c>
      <c r="T23" s="98"/>
      <c r="U23" s="60"/>
      <c r="V23" s="61">
        <v>0</v>
      </c>
      <c r="W23" s="62">
        <f t="shared" si="4"/>
        <v>0</v>
      </c>
    </row>
    <row r="24" spans="1:23" ht="15" customHeight="1" x14ac:dyDescent="0.25">
      <c r="A24" s="38"/>
      <c r="B24" s="59" t="s">
        <v>195</v>
      </c>
      <c r="C24" s="60"/>
      <c r="D24" s="61">
        <v>0</v>
      </c>
      <c r="E24" s="62">
        <f t="shared" si="0"/>
        <v>0</v>
      </c>
      <c r="F24" s="98"/>
      <c r="G24" s="60"/>
      <c r="H24" s="61">
        <v>0</v>
      </c>
      <c r="I24" s="62">
        <f t="shared" si="1"/>
        <v>0</v>
      </c>
      <c r="J24" s="98"/>
      <c r="K24" s="98"/>
      <c r="L24" s="59" t="s">
        <v>195</v>
      </c>
      <c r="M24" s="60"/>
      <c r="N24" s="61">
        <v>0</v>
      </c>
      <c r="O24" s="62">
        <f t="shared" si="2"/>
        <v>0</v>
      </c>
      <c r="P24" s="98"/>
      <c r="Q24" s="60"/>
      <c r="R24" s="61">
        <v>0</v>
      </c>
      <c r="S24" s="62">
        <f t="shared" si="3"/>
        <v>0</v>
      </c>
      <c r="T24" s="98"/>
      <c r="U24" s="60"/>
      <c r="V24" s="61">
        <v>0</v>
      </c>
      <c r="W24" s="62">
        <f t="shared" si="4"/>
        <v>0</v>
      </c>
    </row>
    <row r="25" spans="1:23" ht="15" customHeight="1" thickBot="1" x14ac:dyDescent="0.3">
      <c r="A25" s="38"/>
      <c r="B25" s="59" t="s">
        <v>196</v>
      </c>
      <c r="C25" s="63"/>
      <c r="D25" s="39">
        <v>0</v>
      </c>
      <c r="E25" s="64">
        <f t="shared" si="0"/>
        <v>0</v>
      </c>
      <c r="F25" s="99"/>
      <c r="G25" s="63"/>
      <c r="H25" s="39">
        <v>0</v>
      </c>
      <c r="I25" s="64">
        <f t="shared" si="1"/>
        <v>0</v>
      </c>
      <c r="J25" s="99"/>
      <c r="K25" s="99"/>
      <c r="L25" s="59" t="s">
        <v>196</v>
      </c>
      <c r="M25" s="63"/>
      <c r="N25" s="39">
        <v>0</v>
      </c>
      <c r="O25" s="64">
        <f t="shared" si="2"/>
        <v>0</v>
      </c>
      <c r="P25" s="99"/>
      <c r="Q25" s="63"/>
      <c r="R25" s="39">
        <v>0</v>
      </c>
      <c r="S25" s="64">
        <f t="shared" si="3"/>
        <v>0</v>
      </c>
      <c r="T25" s="99"/>
      <c r="U25" s="63"/>
      <c r="V25" s="39">
        <v>0</v>
      </c>
      <c r="W25" s="64">
        <f t="shared" si="4"/>
        <v>0</v>
      </c>
    </row>
    <row r="26" spans="1:23" ht="16.5" thickBot="1" x14ac:dyDescent="0.3">
      <c r="A26" s="38"/>
      <c r="B26" s="113" t="s">
        <v>173</v>
      </c>
      <c r="C26" s="65">
        <f>SUM(C13:C25)</f>
        <v>0</v>
      </c>
      <c r="D26" s="66"/>
      <c r="E26" s="67">
        <f>SUM(E13:E25)</f>
        <v>0</v>
      </c>
      <c r="F26" s="100"/>
      <c r="G26" s="65">
        <f>SUM(G13:G25)</f>
        <v>0</v>
      </c>
      <c r="H26" s="66"/>
      <c r="I26" s="67">
        <f>SUM(I13:I25)</f>
        <v>0</v>
      </c>
      <c r="J26" s="100"/>
      <c r="K26" s="100"/>
      <c r="L26" s="113" t="s">
        <v>173</v>
      </c>
      <c r="M26" s="65">
        <f>SUM(M13:M25)</f>
        <v>0</v>
      </c>
      <c r="N26" s="66"/>
      <c r="O26" s="67">
        <f>SUM(O13:O25)</f>
        <v>0</v>
      </c>
      <c r="P26" s="100"/>
      <c r="Q26" s="65">
        <f>SUM(Q13:Q25)</f>
        <v>0</v>
      </c>
      <c r="R26" s="66"/>
      <c r="S26" s="67">
        <f>SUM(S13:S25)</f>
        <v>0</v>
      </c>
      <c r="T26" s="100"/>
      <c r="U26" s="65">
        <f>SUM(U13:U25)</f>
        <v>0</v>
      </c>
      <c r="V26" s="66"/>
      <c r="W26" s="67">
        <f>SUM(W13:W25)</f>
        <v>0</v>
      </c>
    </row>
    <row r="27" spans="1:23" x14ac:dyDescent="0.25">
      <c r="A27" s="38"/>
      <c r="B27" s="68"/>
      <c r="C27" s="56" t="s">
        <v>174</v>
      </c>
      <c r="D27" s="57" t="s">
        <v>172</v>
      </c>
      <c r="E27" s="58" t="s">
        <v>10</v>
      </c>
      <c r="F27" s="101"/>
      <c r="G27" s="56" t="s">
        <v>174</v>
      </c>
      <c r="H27" s="57" t="s">
        <v>172</v>
      </c>
      <c r="I27" s="58" t="s">
        <v>10</v>
      </c>
      <c r="J27" s="101"/>
      <c r="K27" s="101"/>
      <c r="L27" s="68"/>
      <c r="M27" s="56" t="s">
        <v>174</v>
      </c>
      <c r="N27" s="57" t="s">
        <v>172</v>
      </c>
      <c r="O27" s="58" t="s">
        <v>10</v>
      </c>
      <c r="P27" s="101"/>
      <c r="Q27" s="56" t="s">
        <v>174</v>
      </c>
      <c r="R27" s="57" t="s">
        <v>172</v>
      </c>
      <c r="S27" s="58" t="s">
        <v>10</v>
      </c>
      <c r="T27" s="101"/>
      <c r="U27" s="56" t="s">
        <v>174</v>
      </c>
      <c r="V27" s="57" t="s">
        <v>172</v>
      </c>
      <c r="W27" s="58" t="s">
        <v>10</v>
      </c>
    </row>
    <row r="28" spans="1:23" x14ac:dyDescent="0.25">
      <c r="A28" s="38"/>
      <c r="B28" s="51" t="s">
        <v>160</v>
      </c>
      <c r="C28" s="69">
        <f>+E26</f>
        <v>0</v>
      </c>
      <c r="D28" s="70">
        <v>0</v>
      </c>
      <c r="E28" s="71">
        <f>+C28*D28</f>
        <v>0</v>
      </c>
      <c r="F28" s="100"/>
      <c r="G28" s="69">
        <f>+I26</f>
        <v>0</v>
      </c>
      <c r="H28" s="70">
        <v>0</v>
      </c>
      <c r="I28" s="71">
        <f>+G28*H28</f>
        <v>0</v>
      </c>
      <c r="J28" s="100"/>
      <c r="K28" s="100"/>
      <c r="L28" s="51" t="s">
        <v>269</v>
      </c>
      <c r="M28" s="69">
        <f>+O26</f>
        <v>0</v>
      </c>
      <c r="N28" s="70">
        <v>0</v>
      </c>
      <c r="O28" s="71">
        <f>+M28*N28</f>
        <v>0</v>
      </c>
      <c r="P28" s="100"/>
      <c r="Q28" s="69">
        <f>+S26</f>
        <v>0</v>
      </c>
      <c r="R28" s="70">
        <v>0</v>
      </c>
      <c r="S28" s="71">
        <f>+Q28*R28</f>
        <v>0</v>
      </c>
      <c r="T28" s="100"/>
      <c r="U28" s="69">
        <f>+W26</f>
        <v>0</v>
      </c>
      <c r="V28" s="70">
        <v>0</v>
      </c>
      <c r="W28" s="71">
        <f>+U28*V28</f>
        <v>0</v>
      </c>
    </row>
    <row r="29" spans="1:23" x14ac:dyDescent="0.25">
      <c r="A29" s="38"/>
      <c r="B29" s="51" t="s">
        <v>161</v>
      </c>
      <c r="C29" s="69">
        <f>+C28+E28</f>
        <v>0</v>
      </c>
      <c r="D29" s="70">
        <v>0</v>
      </c>
      <c r="E29" s="71">
        <f>+C29*D29</f>
        <v>0</v>
      </c>
      <c r="F29" s="100"/>
      <c r="G29" s="69">
        <f>+G28+I28</f>
        <v>0</v>
      </c>
      <c r="H29" s="70">
        <v>0</v>
      </c>
      <c r="I29" s="71">
        <f>+G29*H29</f>
        <v>0</v>
      </c>
      <c r="J29" s="100"/>
      <c r="K29" s="100"/>
      <c r="L29" s="51" t="s">
        <v>161</v>
      </c>
      <c r="M29" s="69">
        <f>+M28+O28</f>
        <v>0</v>
      </c>
      <c r="N29" s="70">
        <v>0</v>
      </c>
      <c r="O29" s="71">
        <f>+M29*N29</f>
        <v>0</v>
      </c>
      <c r="P29" s="100"/>
      <c r="Q29" s="69">
        <f>+Q28+S28</f>
        <v>0</v>
      </c>
      <c r="R29" s="70">
        <v>0</v>
      </c>
      <c r="S29" s="71">
        <f>+Q29*R29</f>
        <v>0</v>
      </c>
      <c r="T29" s="100"/>
      <c r="U29" s="69">
        <f>+U28+W28</f>
        <v>0</v>
      </c>
      <c r="V29" s="70">
        <v>0</v>
      </c>
      <c r="W29" s="71">
        <f>+U29*V29</f>
        <v>0</v>
      </c>
    </row>
    <row r="30" spans="1:23" x14ac:dyDescent="0.25">
      <c r="A30" s="38"/>
      <c r="B30" s="51" t="s">
        <v>162</v>
      </c>
      <c r="C30" s="69">
        <f>+C29+E29</f>
        <v>0</v>
      </c>
      <c r="D30" s="70">
        <v>0</v>
      </c>
      <c r="E30" s="71">
        <f>+C30*D30</f>
        <v>0</v>
      </c>
      <c r="F30" s="100"/>
      <c r="G30" s="69">
        <f>+G29+I29</f>
        <v>0</v>
      </c>
      <c r="H30" s="70">
        <v>0</v>
      </c>
      <c r="I30" s="71">
        <f>+G30*H30</f>
        <v>0</v>
      </c>
      <c r="J30" s="100"/>
      <c r="K30" s="100"/>
      <c r="L30" s="51" t="s">
        <v>162</v>
      </c>
      <c r="M30" s="69">
        <f>+M29+O29</f>
        <v>0</v>
      </c>
      <c r="N30" s="70">
        <v>0</v>
      </c>
      <c r="O30" s="71">
        <f>+M30*N30</f>
        <v>0</v>
      </c>
      <c r="P30" s="100"/>
      <c r="Q30" s="69">
        <f>+Q29+S29</f>
        <v>0</v>
      </c>
      <c r="R30" s="70">
        <v>0</v>
      </c>
      <c r="S30" s="71">
        <f>+Q30*R30</f>
        <v>0</v>
      </c>
      <c r="T30" s="100"/>
      <c r="U30" s="69">
        <f>+U29+W29</f>
        <v>0</v>
      </c>
      <c r="V30" s="70">
        <v>0</v>
      </c>
      <c r="W30" s="71">
        <f>+U30*V30</f>
        <v>0</v>
      </c>
    </row>
    <row r="31" spans="1:23" x14ac:dyDescent="0.25">
      <c r="A31" s="38"/>
      <c r="B31" s="51" t="s">
        <v>163</v>
      </c>
      <c r="C31" s="69">
        <f>+C28</f>
        <v>0</v>
      </c>
      <c r="D31" s="70">
        <v>0</v>
      </c>
      <c r="E31" s="71">
        <f>+C31*D31</f>
        <v>0</v>
      </c>
      <c r="F31" s="100"/>
      <c r="G31" s="69">
        <f>+G28</f>
        <v>0</v>
      </c>
      <c r="H31" s="70">
        <v>0</v>
      </c>
      <c r="I31" s="71">
        <f>+G31*H31</f>
        <v>0</v>
      </c>
      <c r="J31" s="100"/>
      <c r="K31" s="100"/>
      <c r="L31" s="51" t="s">
        <v>163</v>
      </c>
      <c r="M31" s="69">
        <f>+M28</f>
        <v>0</v>
      </c>
      <c r="N31" s="70">
        <v>0</v>
      </c>
      <c r="O31" s="71">
        <f>+M31*N31</f>
        <v>0</v>
      </c>
      <c r="P31" s="100"/>
      <c r="Q31" s="69">
        <f>+Q28</f>
        <v>0</v>
      </c>
      <c r="R31" s="70">
        <v>0</v>
      </c>
      <c r="S31" s="71">
        <f>+Q31*R31</f>
        <v>0</v>
      </c>
      <c r="T31" s="100"/>
      <c r="U31" s="69">
        <f>+U28</f>
        <v>0</v>
      </c>
      <c r="V31" s="70">
        <v>0</v>
      </c>
      <c r="W31" s="71">
        <f>+U31*V31</f>
        <v>0</v>
      </c>
    </row>
    <row r="32" spans="1:23" x14ac:dyDescent="0.25">
      <c r="A32" s="38"/>
      <c r="B32" s="51" t="s">
        <v>164</v>
      </c>
      <c r="C32" s="69">
        <f>+C30+E30</f>
        <v>0</v>
      </c>
      <c r="D32" s="70">
        <v>0</v>
      </c>
      <c r="E32" s="71">
        <f>+C32*D32</f>
        <v>0</v>
      </c>
      <c r="F32" s="100"/>
      <c r="G32" s="69">
        <f>+G30+I30</f>
        <v>0</v>
      </c>
      <c r="H32" s="70">
        <v>0</v>
      </c>
      <c r="I32" s="71">
        <f>+G32*H32</f>
        <v>0</v>
      </c>
      <c r="J32" s="100"/>
      <c r="K32" s="100"/>
      <c r="L32" s="51" t="s">
        <v>164</v>
      </c>
      <c r="M32" s="69">
        <f>+M30+O30</f>
        <v>0</v>
      </c>
      <c r="N32" s="70">
        <v>0</v>
      </c>
      <c r="O32" s="71">
        <f>+M32*N32</f>
        <v>0</v>
      </c>
      <c r="P32" s="100"/>
      <c r="Q32" s="69">
        <f>+Q30+S30</f>
        <v>0</v>
      </c>
      <c r="R32" s="70">
        <v>0</v>
      </c>
      <c r="S32" s="71">
        <f>+Q32*R32</f>
        <v>0</v>
      </c>
      <c r="T32" s="100"/>
      <c r="U32" s="69">
        <f>+U30+W30</f>
        <v>0</v>
      </c>
      <c r="V32" s="70">
        <v>0</v>
      </c>
      <c r="W32" s="71">
        <f>+U32*V32</f>
        <v>0</v>
      </c>
    </row>
    <row r="33" spans="1:23" x14ac:dyDescent="0.25">
      <c r="A33" s="38"/>
      <c r="B33" s="51" t="s">
        <v>175</v>
      </c>
      <c r="C33" s="72"/>
      <c r="D33" s="73"/>
      <c r="E33" s="71">
        <f>+SUM(E26,E28,E29,E30)</f>
        <v>0</v>
      </c>
      <c r="F33" s="100"/>
      <c r="G33" s="72"/>
      <c r="H33" s="73"/>
      <c r="I33" s="71">
        <f>+SUM(I26,I28,I29,I30)</f>
        <v>0</v>
      </c>
      <c r="J33" s="100"/>
      <c r="K33" s="100"/>
      <c r="L33" s="51" t="s">
        <v>270</v>
      </c>
      <c r="M33" s="72"/>
      <c r="N33" s="73"/>
      <c r="O33" s="71">
        <f>+SUM(O26,O28,O29,O30)</f>
        <v>0</v>
      </c>
      <c r="P33" s="100"/>
      <c r="Q33" s="72"/>
      <c r="R33" s="73"/>
      <c r="S33" s="71">
        <f>+SUM(S26,S28,S29,S30)</f>
        <v>0</v>
      </c>
      <c r="T33" s="100"/>
      <c r="U33" s="72"/>
      <c r="V33" s="73"/>
      <c r="W33" s="71">
        <f>+SUM(W26,W28,W29,W30)</f>
        <v>0</v>
      </c>
    </row>
    <row r="34" spans="1:23" x14ac:dyDescent="0.25">
      <c r="A34" s="38"/>
      <c r="B34" s="51" t="s">
        <v>176</v>
      </c>
      <c r="C34" s="72"/>
      <c r="D34" s="73"/>
      <c r="E34" s="71">
        <f>+E31</f>
        <v>0</v>
      </c>
      <c r="F34" s="100"/>
      <c r="G34" s="72"/>
      <c r="H34" s="73"/>
      <c r="I34" s="71">
        <f>+I31</f>
        <v>0</v>
      </c>
      <c r="J34" s="100"/>
      <c r="K34" s="100"/>
      <c r="L34" s="51" t="s">
        <v>271</v>
      </c>
      <c r="M34" s="72"/>
      <c r="N34" s="73"/>
      <c r="O34" s="71">
        <f>+O31</f>
        <v>0</v>
      </c>
      <c r="P34" s="100"/>
      <c r="Q34" s="72"/>
      <c r="R34" s="73"/>
      <c r="S34" s="71">
        <f>+S31</f>
        <v>0</v>
      </c>
      <c r="T34" s="100"/>
      <c r="U34" s="72"/>
      <c r="V34" s="73"/>
      <c r="W34" s="71">
        <f>+W31</f>
        <v>0</v>
      </c>
    </row>
    <row r="35" spans="1:23" x14ac:dyDescent="0.25">
      <c r="A35" s="38"/>
      <c r="B35" s="51" t="s">
        <v>177</v>
      </c>
      <c r="C35" s="72"/>
      <c r="D35" s="73"/>
      <c r="E35" s="74">
        <f>+E32</f>
        <v>0</v>
      </c>
      <c r="F35" s="102"/>
      <c r="G35" s="72"/>
      <c r="H35" s="73"/>
      <c r="I35" s="74">
        <f>+I32</f>
        <v>0</v>
      </c>
      <c r="J35" s="102"/>
      <c r="K35" s="102"/>
      <c r="L35" s="51" t="s">
        <v>272</v>
      </c>
      <c r="M35" s="72"/>
      <c r="N35" s="73"/>
      <c r="O35" s="74">
        <f>+O32</f>
        <v>0</v>
      </c>
      <c r="P35" s="102"/>
      <c r="Q35" s="72"/>
      <c r="R35" s="73"/>
      <c r="S35" s="74">
        <f>+S32</f>
        <v>0</v>
      </c>
      <c r="T35" s="102"/>
      <c r="U35" s="72"/>
      <c r="V35" s="73"/>
      <c r="W35" s="74">
        <f>+W32</f>
        <v>0</v>
      </c>
    </row>
    <row r="36" spans="1:23" ht="16.5" thickBot="1" x14ac:dyDescent="0.3">
      <c r="A36" s="38"/>
      <c r="B36" s="52" t="s">
        <v>178</v>
      </c>
      <c r="C36" s="75"/>
      <c r="D36" s="76"/>
      <c r="E36" s="77">
        <f>SUM(E33:E35)</f>
        <v>0</v>
      </c>
      <c r="F36" s="103"/>
      <c r="G36" s="75"/>
      <c r="H36" s="76"/>
      <c r="I36" s="77">
        <f>SUM(I33:I35)</f>
        <v>0</v>
      </c>
      <c r="J36" s="103"/>
      <c r="K36" s="103"/>
      <c r="L36" s="52" t="s">
        <v>273</v>
      </c>
      <c r="M36" s="75"/>
      <c r="N36" s="76"/>
      <c r="O36" s="77">
        <f>SUM(O33:O35)</f>
        <v>0</v>
      </c>
      <c r="P36" s="103"/>
      <c r="Q36" s="75"/>
      <c r="R36" s="76"/>
      <c r="S36" s="77">
        <f>SUM(S33:S35)</f>
        <v>0</v>
      </c>
      <c r="T36" s="103"/>
      <c r="U36" s="75"/>
      <c r="V36" s="76"/>
      <c r="W36" s="77">
        <f>SUM(W33:W35)</f>
        <v>0</v>
      </c>
    </row>
    <row r="37" spans="1:23" x14ac:dyDescent="0.25">
      <c r="A37" s="38"/>
      <c r="B37" s="41"/>
      <c r="C37" s="78"/>
      <c r="D37" s="78"/>
      <c r="E37" s="78"/>
      <c r="F37" s="104"/>
      <c r="G37" s="78"/>
      <c r="H37" s="78"/>
      <c r="I37" s="78"/>
      <c r="J37" s="104"/>
      <c r="K37" s="104"/>
      <c r="L37" s="41"/>
      <c r="M37" s="78"/>
      <c r="N37" s="78"/>
      <c r="O37" s="78"/>
      <c r="P37" s="104"/>
      <c r="Q37" s="78"/>
      <c r="R37" s="78"/>
      <c r="S37" s="78"/>
      <c r="T37" s="104"/>
      <c r="U37" s="78"/>
      <c r="V37" s="78"/>
      <c r="W37" s="78"/>
    </row>
    <row r="38" spans="1:23" ht="16.5" thickBot="1" x14ac:dyDescent="0.3">
      <c r="A38" s="38"/>
      <c r="C38" s="37"/>
      <c r="D38" s="37"/>
      <c r="E38" s="37"/>
      <c r="F38" s="105"/>
      <c r="G38" s="37"/>
      <c r="H38" s="37"/>
      <c r="I38" s="37"/>
      <c r="J38" s="105"/>
      <c r="K38" s="105"/>
      <c r="L38" s="37"/>
      <c r="M38" s="37"/>
      <c r="N38" s="37"/>
      <c r="O38" s="37"/>
      <c r="P38" s="105"/>
      <c r="Q38" s="37"/>
      <c r="R38" s="37"/>
      <c r="S38" s="37"/>
      <c r="T38" s="105"/>
      <c r="U38" s="37"/>
      <c r="V38" s="37"/>
      <c r="W38" s="37"/>
    </row>
    <row r="39" spans="1:23" ht="16.5" thickBot="1" x14ac:dyDescent="0.3">
      <c r="A39" s="38"/>
      <c r="B39" s="189" t="str">
        <f>B10</f>
        <v xml:space="preserve">CLINs 0001 &amp; 1001: CPFF </v>
      </c>
      <c r="C39" s="186" t="s">
        <v>179</v>
      </c>
      <c r="D39" s="187"/>
      <c r="E39" s="188"/>
      <c r="F39" s="106"/>
      <c r="G39" s="186" t="s">
        <v>179</v>
      </c>
      <c r="H39" s="187"/>
      <c r="I39" s="188"/>
      <c r="J39" s="106"/>
      <c r="K39" s="106"/>
      <c r="L39" s="149"/>
      <c r="M39" s="186" t="s">
        <v>179</v>
      </c>
      <c r="N39" s="187"/>
      <c r="O39" s="188"/>
      <c r="P39" s="106"/>
      <c r="Q39" s="186" t="s">
        <v>179</v>
      </c>
      <c r="R39" s="187"/>
      <c r="S39" s="188"/>
      <c r="T39" s="106"/>
      <c r="U39" s="186" t="s">
        <v>179</v>
      </c>
      <c r="V39" s="187"/>
      <c r="W39" s="188"/>
    </row>
    <row r="40" spans="1:23" ht="16.5" thickBot="1" x14ac:dyDescent="0.3">
      <c r="A40" s="38"/>
      <c r="B40" s="190"/>
      <c r="C40" s="129" t="str">
        <f>C11</f>
        <v>0001: F-16 O-Level Handheld/Pre-load Tester Prototype Design and Digital Development - Basic Period</v>
      </c>
      <c r="D40" s="130"/>
      <c r="E40" s="131"/>
      <c r="F40" s="107"/>
      <c r="G40" s="132" t="str">
        <f>G11</f>
        <v>1001: F-16 O-Level Handheld/Pre-load Tester EMD - Option Period 1</v>
      </c>
      <c r="H40" s="133"/>
      <c r="I40" s="134"/>
      <c r="J40" s="107"/>
      <c r="K40" s="107"/>
      <c r="L40" s="150"/>
      <c r="M40" s="132" t="str">
        <f>M11</f>
        <v>2001: F-15 O-Level Handheld/Pre-load Tester EMD - Option Period 2</v>
      </c>
      <c r="N40" s="133"/>
      <c r="O40" s="134"/>
      <c r="P40" s="107"/>
      <c r="Q40" s="132" t="str">
        <f>Q11</f>
        <v>3001: A-10 O-Level Handheld/Pre-load Tester EMD - Option Period 3</v>
      </c>
      <c r="R40" s="133"/>
      <c r="S40" s="134"/>
      <c r="T40" s="107"/>
      <c r="U40" s="132" t="str">
        <f>U11</f>
        <v>4001: F-15 I-Level Fault Isolation Tester EMD - Option Period 4</v>
      </c>
      <c r="V40" s="133"/>
      <c r="W40" s="134"/>
    </row>
    <row r="41" spans="1:23" x14ac:dyDescent="0.25">
      <c r="A41" s="38"/>
      <c r="B41" s="79"/>
      <c r="C41" s="56" t="s">
        <v>174</v>
      </c>
      <c r="D41" s="57" t="s">
        <v>172</v>
      </c>
      <c r="E41" s="58" t="s">
        <v>10</v>
      </c>
      <c r="F41" s="101"/>
      <c r="G41" s="56" t="s">
        <v>174</v>
      </c>
      <c r="H41" s="57" t="s">
        <v>172</v>
      </c>
      <c r="I41" s="58" t="s">
        <v>10</v>
      </c>
      <c r="J41" s="101"/>
      <c r="K41" s="101"/>
      <c r="L41" s="79"/>
      <c r="M41" s="56" t="s">
        <v>174</v>
      </c>
      <c r="N41" s="57" t="s">
        <v>172</v>
      </c>
      <c r="O41" s="58" t="s">
        <v>10</v>
      </c>
      <c r="P41" s="101"/>
      <c r="Q41" s="56" t="s">
        <v>174</v>
      </c>
      <c r="R41" s="57" t="s">
        <v>172</v>
      </c>
      <c r="S41" s="58" t="s">
        <v>10</v>
      </c>
      <c r="T41" s="101"/>
      <c r="U41" s="56" t="s">
        <v>174</v>
      </c>
      <c r="V41" s="57" t="s">
        <v>172</v>
      </c>
      <c r="W41" s="58" t="s">
        <v>10</v>
      </c>
    </row>
    <row r="42" spans="1:23" x14ac:dyDescent="0.25">
      <c r="A42" s="38"/>
      <c r="B42" s="80" t="s">
        <v>180</v>
      </c>
      <c r="C42" s="81"/>
      <c r="D42" s="82"/>
      <c r="E42" s="83"/>
      <c r="F42" s="100"/>
      <c r="G42" s="81"/>
      <c r="H42" s="82"/>
      <c r="I42" s="83"/>
      <c r="J42" s="100"/>
      <c r="K42" s="100"/>
      <c r="L42" s="80" t="s">
        <v>180</v>
      </c>
      <c r="M42" s="81"/>
      <c r="N42" s="82"/>
      <c r="O42" s="83"/>
      <c r="P42" s="100"/>
      <c r="Q42" s="81"/>
      <c r="R42" s="82"/>
      <c r="S42" s="83"/>
      <c r="T42" s="100"/>
      <c r="U42" s="81"/>
      <c r="V42" s="82"/>
      <c r="W42" s="83"/>
    </row>
    <row r="43" spans="1:23" x14ac:dyDescent="0.25">
      <c r="A43" s="38"/>
      <c r="B43" s="51" t="s">
        <v>161</v>
      </c>
      <c r="C43" s="69">
        <f>+E42</f>
        <v>0</v>
      </c>
      <c r="D43" s="70">
        <v>0</v>
      </c>
      <c r="E43" s="71">
        <f>+C43*D43</f>
        <v>0</v>
      </c>
      <c r="F43" s="108"/>
      <c r="G43" s="69">
        <f>+I42</f>
        <v>0</v>
      </c>
      <c r="H43" s="70">
        <v>0</v>
      </c>
      <c r="I43" s="71">
        <f>+G43*H43</f>
        <v>0</v>
      </c>
      <c r="J43" s="108"/>
      <c r="K43" s="108"/>
      <c r="L43" s="51" t="s">
        <v>161</v>
      </c>
      <c r="M43" s="69">
        <f>+O42</f>
        <v>0</v>
      </c>
      <c r="N43" s="70">
        <v>0</v>
      </c>
      <c r="O43" s="71">
        <f>+M43*N43</f>
        <v>0</v>
      </c>
      <c r="P43" s="108"/>
      <c r="Q43" s="69">
        <f>+S42</f>
        <v>0</v>
      </c>
      <c r="R43" s="70">
        <v>0</v>
      </c>
      <c r="S43" s="71">
        <f>+Q43*R43</f>
        <v>0</v>
      </c>
      <c r="T43" s="108"/>
      <c r="U43" s="69">
        <f>+W42</f>
        <v>0</v>
      </c>
      <c r="V43" s="70">
        <v>0</v>
      </c>
      <c r="W43" s="71">
        <f>+U43*V43</f>
        <v>0</v>
      </c>
    </row>
    <row r="44" spans="1:23" x14ac:dyDescent="0.25">
      <c r="A44" s="38"/>
      <c r="B44" s="51" t="s">
        <v>162</v>
      </c>
      <c r="C44" s="69">
        <f>+C43+E43</f>
        <v>0</v>
      </c>
      <c r="D44" s="70">
        <v>0</v>
      </c>
      <c r="E44" s="71">
        <f>+C44*D44</f>
        <v>0</v>
      </c>
      <c r="F44" s="108"/>
      <c r="G44" s="69">
        <f>+G43+I43</f>
        <v>0</v>
      </c>
      <c r="H44" s="70">
        <v>0</v>
      </c>
      <c r="I44" s="71">
        <f>+G44*H44</f>
        <v>0</v>
      </c>
      <c r="J44" s="108"/>
      <c r="K44" s="108"/>
      <c r="L44" s="51" t="s">
        <v>162</v>
      </c>
      <c r="M44" s="69">
        <f>+M43+O43</f>
        <v>0</v>
      </c>
      <c r="N44" s="70">
        <v>0</v>
      </c>
      <c r="O44" s="71">
        <f>+M44*N44</f>
        <v>0</v>
      </c>
      <c r="P44" s="108"/>
      <c r="Q44" s="69">
        <f>+Q43+S43</f>
        <v>0</v>
      </c>
      <c r="R44" s="70">
        <v>0</v>
      </c>
      <c r="S44" s="71">
        <f>+Q44*R44</f>
        <v>0</v>
      </c>
      <c r="T44" s="108"/>
      <c r="U44" s="69">
        <f>+U43+W43</f>
        <v>0</v>
      </c>
      <c r="V44" s="70">
        <v>0</v>
      </c>
      <c r="W44" s="71">
        <f>+U44*V44</f>
        <v>0</v>
      </c>
    </row>
    <row r="45" spans="1:23" x14ac:dyDescent="0.25">
      <c r="A45" s="38"/>
      <c r="B45" s="51" t="s">
        <v>163</v>
      </c>
      <c r="C45" s="69">
        <f>+C43</f>
        <v>0</v>
      </c>
      <c r="D45" s="70">
        <v>0</v>
      </c>
      <c r="E45" s="71">
        <f>+C45*D45</f>
        <v>0</v>
      </c>
      <c r="F45" s="100"/>
      <c r="G45" s="69">
        <f>+G43</f>
        <v>0</v>
      </c>
      <c r="H45" s="70">
        <v>0</v>
      </c>
      <c r="I45" s="71">
        <f>+G45*H45</f>
        <v>0</v>
      </c>
      <c r="J45" s="100"/>
      <c r="K45" s="100"/>
      <c r="L45" s="51" t="s">
        <v>163</v>
      </c>
      <c r="M45" s="69">
        <f>+M43</f>
        <v>0</v>
      </c>
      <c r="N45" s="70">
        <v>0</v>
      </c>
      <c r="O45" s="71">
        <f>+M45*N45</f>
        <v>0</v>
      </c>
      <c r="P45" s="100"/>
      <c r="Q45" s="69">
        <f>+Q43</f>
        <v>0</v>
      </c>
      <c r="R45" s="70">
        <v>0</v>
      </c>
      <c r="S45" s="71">
        <f>+Q45*R45</f>
        <v>0</v>
      </c>
      <c r="T45" s="100"/>
      <c r="U45" s="69">
        <f>+U43</f>
        <v>0</v>
      </c>
      <c r="V45" s="70">
        <v>0</v>
      </c>
      <c r="W45" s="71">
        <f>+U45*V45</f>
        <v>0</v>
      </c>
    </row>
    <row r="46" spans="1:23" x14ac:dyDescent="0.25">
      <c r="A46" s="38"/>
      <c r="B46" s="51" t="s">
        <v>164</v>
      </c>
      <c r="C46" s="69">
        <f>+C44+E44</f>
        <v>0</v>
      </c>
      <c r="D46" s="70">
        <v>0</v>
      </c>
      <c r="E46" s="71">
        <f>+C46*D46</f>
        <v>0</v>
      </c>
      <c r="F46" s="100"/>
      <c r="G46" s="69">
        <f>+G44+I44</f>
        <v>0</v>
      </c>
      <c r="H46" s="70">
        <v>0</v>
      </c>
      <c r="I46" s="71">
        <f>+G46*H46</f>
        <v>0</v>
      </c>
      <c r="J46" s="100"/>
      <c r="K46" s="100"/>
      <c r="L46" s="51" t="s">
        <v>164</v>
      </c>
      <c r="M46" s="69">
        <f>+M44+O44</f>
        <v>0</v>
      </c>
      <c r="N46" s="70">
        <v>0</v>
      </c>
      <c r="O46" s="71">
        <f>+M46*N46</f>
        <v>0</v>
      </c>
      <c r="P46" s="100"/>
      <c r="Q46" s="69">
        <f>+Q44+S44</f>
        <v>0</v>
      </c>
      <c r="R46" s="70">
        <v>0</v>
      </c>
      <c r="S46" s="71">
        <f>+Q46*R46</f>
        <v>0</v>
      </c>
      <c r="T46" s="100"/>
      <c r="U46" s="69">
        <f>+U44+W44</f>
        <v>0</v>
      </c>
      <c r="V46" s="70">
        <v>0</v>
      </c>
      <c r="W46" s="71">
        <f>+U46*V46</f>
        <v>0</v>
      </c>
    </row>
    <row r="47" spans="1:23" x14ac:dyDescent="0.25">
      <c r="A47" s="38"/>
      <c r="B47" s="51" t="s">
        <v>175</v>
      </c>
      <c r="C47" s="84"/>
      <c r="D47" s="85"/>
      <c r="E47" s="71">
        <f>+ROUND(SUM(E42:E44),0)</f>
        <v>0</v>
      </c>
      <c r="F47" s="100"/>
      <c r="G47" s="84"/>
      <c r="H47" s="85"/>
      <c r="I47" s="71">
        <f>+ROUND(SUM(I42:I44),0)</f>
        <v>0</v>
      </c>
      <c r="J47" s="100"/>
      <c r="K47" s="100"/>
      <c r="L47" s="51" t="s">
        <v>270</v>
      </c>
      <c r="M47" s="84"/>
      <c r="N47" s="85"/>
      <c r="O47" s="71">
        <f>+ROUND(SUM(O42:O44),0)</f>
        <v>0</v>
      </c>
      <c r="P47" s="100"/>
      <c r="Q47" s="84"/>
      <c r="R47" s="85"/>
      <c r="S47" s="71">
        <f>+ROUND(SUM(S42:S44),0)</f>
        <v>0</v>
      </c>
      <c r="T47" s="100"/>
      <c r="U47" s="84"/>
      <c r="V47" s="85"/>
      <c r="W47" s="71">
        <f>+ROUND(SUM(W42:W44),0)</f>
        <v>0</v>
      </c>
    </row>
    <row r="48" spans="1:23" x14ac:dyDescent="0.25">
      <c r="A48" s="38"/>
      <c r="B48" s="51" t="s">
        <v>176</v>
      </c>
      <c r="C48" s="81"/>
      <c r="D48" s="86"/>
      <c r="E48" s="71">
        <f>+ROUND(E45,0)</f>
        <v>0</v>
      </c>
      <c r="F48" s="100"/>
      <c r="G48" s="81"/>
      <c r="H48" s="86"/>
      <c r="I48" s="71">
        <f>+ROUND(I45,0)</f>
        <v>0</v>
      </c>
      <c r="J48" s="100"/>
      <c r="K48" s="100"/>
      <c r="L48" s="51" t="s">
        <v>271</v>
      </c>
      <c r="M48" s="81"/>
      <c r="N48" s="86"/>
      <c r="O48" s="71">
        <f>+ROUND(O45,0)</f>
        <v>0</v>
      </c>
      <c r="P48" s="100"/>
      <c r="Q48" s="81"/>
      <c r="R48" s="86"/>
      <c r="S48" s="71">
        <f>+ROUND(S45,0)</f>
        <v>0</v>
      </c>
      <c r="T48" s="100"/>
      <c r="U48" s="81"/>
      <c r="V48" s="86"/>
      <c r="W48" s="71">
        <f>+ROUND(W45,0)</f>
        <v>0</v>
      </c>
    </row>
    <row r="49" spans="1:23" x14ac:dyDescent="0.25">
      <c r="B49" s="51" t="s">
        <v>177</v>
      </c>
      <c r="C49" s="81"/>
      <c r="D49" s="86"/>
      <c r="E49" s="87">
        <f>+ROUND(E46,0)</f>
        <v>0</v>
      </c>
      <c r="F49" s="109"/>
      <c r="G49" s="81"/>
      <c r="H49" s="86"/>
      <c r="I49" s="87">
        <f>+ROUND(I46,0)</f>
        <v>0</v>
      </c>
      <c r="J49" s="109"/>
      <c r="K49" s="109"/>
      <c r="L49" s="51" t="s">
        <v>272</v>
      </c>
      <c r="M49" s="81"/>
      <c r="N49" s="86"/>
      <c r="O49" s="87">
        <f>+ROUND(O46,0)</f>
        <v>0</v>
      </c>
      <c r="P49" s="109"/>
      <c r="Q49" s="81"/>
      <c r="R49" s="86"/>
      <c r="S49" s="87">
        <f>+ROUND(S46,0)</f>
        <v>0</v>
      </c>
      <c r="T49" s="109"/>
      <c r="U49" s="81"/>
      <c r="V49" s="86"/>
      <c r="W49" s="87">
        <f>+ROUND(W46,0)</f>
        <v>0</v>
      </c>
    </row>
    <row r="50" spans="1:23" ht="16.5" thickBot="1" x14ac:dyDescent="0.3">
      <c r="B50" s="52" t="s">
        <v>178</v>
      </c>
      <c r="C50" s="112"/>
      <c r="D50" s="88"/>
      <c r="E50" s="64">
        <f t="shared" ref="E50" si="5">SUM(E47:E49)</f>
        <v>0</v>
      </c>
      <c r="F50" s="99"/>
      <c r="G50" s="112"/>
      <c r="H50" s="88"/>
      <c r="I50" s="64">
        <f t="shared" ref="I50" si="6">SUM(I47:I49)</f>
        <v>0</v>
      </c>
      <c r="J50" s="99"/>
      <c r="K50" s="99"/>
      <c r="L50" s="52" t="s">
        <v>273</v>
      </c>
      <c r="M50" s="112"/>
      <c r="N50" s="88"/>
      <c r="O50" s="64">
        <f t="shared" ref="O50" si="7">SUM(O47:O49)</f>
        <v>0</v>
      </c>
      <c r="P50" s="99"/>
      <c r="Q50" s="112"/>
      <c r="R50" s="88"/>
      <c r="S50" s="64">
        <f t="shared" ref="S50" si="8">SUM(S47:S49)</f>
        <v>0</v>
      </c>
      <c r="T50" s="99"/>
      <c r="U50" s="112"/>
      <c r="V50" s="88"/>
      <c r="W50" s="64">
        <f t="shared" ref="W50" si="9">SUM(W47:W49)</f>
        <v>0</v>
      </c>
    </row>
    <row r="51" spans="1:23" ht="16.5" thickBot="1" x14ac:dyDescent="0.3">
      <c r="B51" s="41"/>
      <c r="F51" s="110"/>
      <c r="J51" s="110"/>
      <c r="K51" s="110"/>
      <c r="L51" s="41"/>
      <c r="P51" s="110"/>
      <c r="T51" s="110"/>
    </row>
    <row r="52" spans="1:23" ht="16.5" thickBot="1" x14ac:dyDescent="0.3">
      <c r="A52" s="38"/>
      <c r="B52" s="189" t="str">
        <f>B39</f>
        <v xml:space="preserve">CLINs 0001 &amp; 1001: CPFF </v>
      </c>
      <c r="C52" s="186" t="s">
        <v>181</v>
      </c>
      <c r="D52" s="187"/>
      <c r="E52" s="188"/>
      <c r="F52" s="106"/>
      <c r="G52" s="186" t="s">
        <v>181</v>
      </c>
      <c r="H52" s="187"/>
      <c r="I52" s="188"/>
      <c r="J52" s="106"/>
      <c r="K52" s="106"/>
      <c r="L52" s="149"/>
      <c r="M52" s="186" t="s">
        <v>181</v>
      </c>
      <c r="N52" s="187"/>
      <c r="O52" s="188"/>
      <c r="P52" s="106"/>
      <c r="Q52" s="186" t="s">
        <v>181</v>
      </c>
      <c r="R52" s="187"/>
      <c r="S52" s="188"/>
      <c r="T52" s="106"/>
      <c r="U52" s="186" t="s">
        <v>181</v>
      </c>
      <c r="V52" s="187"/>
      <c r="W52" s="188"/>
    </row>
    <row r="53" spans="1:23" ht="16.5" thickBot="1" x14ac:dyDescent="0.3">
      <c r="A53" s="38"/>
      <c r="B53" s="190"/>
      <c r="C53" s="129" t="str">
        <f>C40</f>
        <v>0001: F-16 O-Level Handheld/Pre-load Tester Prototype Design and Digital Development - Basic Period</v>
      </c>
      <c r="D53" s="130"/>
      <c r="E53" s="131"/>
      <c r="F53" s="107"/>
      <c r="G53" s="132" t="str">
        <f>G40</f>
        <v>1001: F-16 O-Level Handheld/Pre-load Tester EMD - Option Period 1</v>
      </c>
      <c r="H53" s="133"/>
      <c r="I53" s="134"/>
      <c r="J53" s="107"/>
      <c r="K53" s="107"/>
      <c r="L53" s="150"/>
      <c r="M53" s="132" t="str">
        <f>M40</f>
        <v>2001: F-15 O-Level Handheld/Pre-load Tester EMD - Option Period 2</v>
      </c>
      <c r="N53" s="133"/>
      <c r="O53" s="134"/>
      <c r="P53" s="107"/>
      <c r="Q53" s="132" t="str">
        <f>Q40</f>
        <v>3001: A-10 O-Level Handheld/Pre-load Tester EMD - Option Period 3</v>
      </c>
      <c r="R53" s="133"/>
      <c r="S53" s="134"/>
      <c r="T53" s="107"/>
      <c r="U53" s="132" t="str">
        <f>U40</f>
        <v>4001: F-15 I-Level Fault Isolation Tester EMD - Option Period 4</v>
      </c>
      <c r="V53" s="133"/>
      <c r="W53" s="134"/>
    </row>
    <row r="54" spans="1:23" x14ac:dyDescent="0.25">
      <c r="A54" s="38"/>
      <c r="B54" s="79"/>
      <c r="C54" s="56" t="s">
        <v>174</v>
      </c>
      <c r="D54" s="57" t="s">
        <v>172</v>
      </c>
      <c r="E54" s="58" t="s">
        <v>10</v>
      </c>
      <c r="F54" s="101"/>
      <c r="G54" s="56" t="s">
        <v>174</v>
      </c>
      <c r="H54" s="57" t="s">
        <v>172</v>
      </c>
      <c r="I54" s="58" t="s">
        <v>10</v>
      </c>
      <c r="J54" s="101"/>
      <c r="K54" s="101"/>
      <c r="L54" s="79"/>
      <c r="M54" s="56" t="s">
        <v>174</v>
      </c>
      <c r="N54" s="57" t="s">
        <v>172</v>
      </c>
      <c r="O54" s="58" t="s">
        <v>10</v>
      </c>
      <c r="P54" s="101"/>
      <c r="Q54" s="56" t="s">
        <v>174</v>
      </c>
      <c r="R54" s="57" t="s">
        <v>172</v>
      </c>
      <c r="S54" s="58" t="s">
        <v>10</v>
      </c>
      <c r="T54" s="101"/>
      <c r="U54" s="56" t="s">
        <v>174</v>
      </c>
      <c r="V54" s="57" t="s">
        <v>172</v>
      </c>
      <c r="W54" s="58" t="s">
        <v>10</v>
      </c>
    </row>
    <row r="55" spans="1:23" x14ac:dyDescent="0.25">
      <c r="A55" s="38"/>
      <c r="B55" s="80" t="s">
        <v>182</v>
      </c>
      <c r="C55" s="81"/>
      <c r="D55" s="82"/>
      <c r="E55" s="83"/>
      <c r="F55" s="100"/>
      <c r="G55" s="81"/>
      <c r="H55" s="82"/>
      <c r="I55" s="83"/>
      <c r="J55" s="100"/>
      <c r="K55" s="100"/>
      <c r="L55" s="80" t="s">
        <v>182</v>
      </c>
      <c r="M55" s="81"/>
      <c r="N55" s="82"/>
      <c r="O55" s="83"/>
      <c r="P55" s="100"/>
      <c r="Q55" s="81"/>
      <c r="R55" s="82"/>
      <c r="S55" s="83"/>
      <c r="T55" s="100"/>
      <c r="U55" s="81"/>
      <c r="V55" s="82"/>
      <c r="W55" s="83"/>
    </row>
    <row r="56" spans="1:23" x14ac:dyDescent="0.25">
      <c r="A56" s="38"/>
      <c r="B56" s="51" t="s">
        <v>161</v>
      </c>
      <c r="C56" s="69">
        <f>+E55</f>
        <v>0</v>
      </c>
      <c r="D56" s="70">
        <v>0</v>
      </c>
      <c r="E56" s="71">
        <f>+C56*D56</f>
        <v>0</v>
      </c>
      <c r="F56" s="108"/>
      <c r="G56" s="69">
        <f>+I55</f>
        <v>0</v>
      </c>
      <c r="H56" s="70">
        <v>0</v>
      </c>
      <c r="I56" s="71">
        <f>+G56*H56</f>
        <v>0</v>
      </c>
      <c r="J56" s="108"/>
      <c r="K56" s="108"/>
      <c r="L56" s="51" t="s">
        <v>161</v>
      </c>
      <c r="M56" s="69">
        <f>+O55</f>
        <v>0</v>
      </c>
      <c r="N56" s="70">
        <v>0</v>
      </c>
      <c r="O56" s="71">
        <f>+M56*N56</f>
        <v>0</v>
      </c>
      <c r="P56" s="108"/>
      <c r="Q56" s="69">
        <f>+S55</f>
        <v>0</v>
      </c>
      <c r="R56" s="70">
        <v>0</v>
      </c>
      <c r="S56" s="71">
        <f>+Q56*R56</f>
        <v>0</v>
      </c>
      <c r="T56" s="108"/>
      <c r="U56" s="69">
        <f>+W55</f>
        <v>0</v>
      </c>
      <c r="V56" s="70">
        <v>0</v>
      </c>
      <c r="W56" s="71">
        <f>+U56*V56</f>
        <v>0</v>
      </c>
    </row>
    <row r="57" spans="1:23" x14ac:dyDescent="0.25">
      <c r="A57" s="38"/>
      <c r="B57" s="51" t="s">
        <v>162</v>
      </c>
      <c r="C57" s="69">
        <f>+C56+E56</f>
        <v>0</v>
      </c>
      <c r="D57" s="70">
        <v>0</v>
      </c>
      <c r="E57" s="71">
        <f>+C57*D57</f>
        <v>0</v>
      </c>
      <c r="F57" s="108"/>
      <c r="G57" s="69">
        <f>+G56+I56</f>
        <v>0</v>
      </c>
      <c r="H57" s="70">
        <v>0</v>
      </c>
      <c r="I57" s="71">
        <f>+G57*H57</f>
        <v>0</v>
      </c>
      <c r="J57" s="108"/>
      <c r="K57" s="108"/>
      <c r="L57" s="51" t="s">
        <v>162</v>
      </c>
      <c r="M57" s="69">
        <f>+M56+O56</f>
        <v>0</v>
      </c>
      <c r="N57" s="70">
        <v>0</v>
      </c>
      <c r="O57" s="71">
        <f>+M57*N57</f>
        <v>0</v>
      </c>
      <c r="P57" s="108"/>
      <c r="Q57" s="69">
        <f>+Q56+S56</f>
        <v>0</v>
      </c>
      <c r="R57" s="70">
        <v>0</v>
      </c>
      <c r="S57" s="71">
        <f>+Q57*R57</f>
        <v>0</v>
      </c>
      <c r="T57" s="108"/>
      <c r="U57" s="69">
        <f>+U56+W56</f>
        <v>0</v>
      </c>
      <c r="V57" s="70">
        <v>0</v>
      </c>
      <c r="W57" s="71">
        <f>+U57*V57</f>
        <v>0</v>
      </c>
    </row>
    <row r="58" spans="1:23" x14ac:dyDescent="0.25">
      <c r="A58" s="38"/>
      <c r="B58" s="51" t="s">
        <v>163</v>
      </c>
      <c r="C58" s="69">
        <f>+C56</f>
        <v>0</v>
      </c>
      <c r="D58" s="70">
        <v>0</v>
      </c>
      <c r="E58" s="71">
        <f>+C58*D58</f>
        <v>0</v>
      </c>
      <c r="F58" s="100"/>
      <c r="G58" s="69">
        <f>+G56</f>
        <v>0</v>
      </c>
      <c r="H58" s="70">
        <v>0</v>
      </c>
      <c r="I58" s="71">
        <f>+G58*H58</f>
        <v>0</v>
      </c>
      <c r="J58" s="100"/>
      <c r="K58" s="100"/>
      <c r="L58" s="51" t="s">
        <v>163</v>
      </c>
      <c r="M58" s="69">
        <f>+M56</f>
        <v>0</v>
      </c>
      <c r="N58" s="70">
        <v>0</v>
      </c>
      <c r="O58" s="71">
        <f>+M58*N58</f>
        <v>0</v>
      </c>
      <c r="P58" s="100"/>
      <c r="Q58" s="69">
        <f>+Q56</f>
        <v>0</v>
      </c>
      <c r="R58" s="70">
        <v>0</v>
      </c>
      <c r="S58" s="71">
        <f>+Q58*R58</f>
        <v>0</v>
      </c>
      <c r="T58" s="100"/>
      <c r="U58" s="69">
        <f>+U56</f>
        <v>0</v>
      </c>
      <c r="V58" s="70">
        <v>0</v>
      </c>
      <c r="W58" s="71">
        <f>+U58*V58</f>
        <v>0</v>
      </c>
    </row>
    <row r="59" spans="1:23" x14ac:dyDescent="0.25">
      <c r="A59" s="38"/>
      <c r="B59" s="51" t="s">
        <v>164</v>
      </c>
      <c r="C59" s="69">
        <f>+C57+E57</f>
        <v>0</v>
      </c>
      <c r="D59" s="70">
        <v>0</v>
      </c>
      <c r="E59" s="71">
        <f>+C59*D59</f>
        <v>0</v>
      </c>
      <c r="F59" s="100"/>
      <c r="G59" s="69">
        <f>+G57+I57</f>
        <v>0</v>
      </c>
      <c r="H59" s="70">
        <v>0</v>
      </c>
      <c r="I59" s="71">
        <f>+G59*H59</f>
        <v>0</v>
      </c>
      <c r="J59" s="100"/>
      <c r="K59" s="100"/>
      <c r="L59" s="51" t="s">
        <v>164</v>
      </c>
      <c r="M59" s="69">
        <f>+M57+O57</f>
        <v>0</v>
      </c>
      <c r="N59" s="70">
        <v>0</v>
      </c>
      <c r="O59" s="71">
        <f>+M59*N59</f>
        <v>0</v>
      </c>
      <c r="P59" s="100"/>
      <c r="Q59" s="69">
        <f>+Q57+S57</f>
        <v>0</v>
      </c>
      <c r="R59" s="70">
        <v>0</v>
      </c>
      <c r="S59" s="71">
        <f>+Q59*R59</f>
        <v>0</v>
      </c>
      <c r="T59" s="100"/>
      <c r="U59" s="69">
        <f>+U57+W57</f>
        <v>0</v>
      </c>
      <c r="V59" s="70">
        <v>0</v>
      </c>
      <c r="W59" s="71">
        <f>+U59*V59</f>
        <v>0</v>
      </c>
    </row>
    <row r="60" spans="1:23" x14ac:dyDescent="0.25">
      <c r="A60" s="38"/>
      <c r="B60" s="51" t="s">
        <v>175</v>
      </c>
      <c r="C60" s="84"/>
      <c r="D60" s="85"/>
      <c r="E60" s="71">
        <f>+ROUND(SUM(E55:E57),0)</f>
        <v>0</v>
      </c>
      <c r="F60" s="100"/>
      <c r="G60" s="84"/>
      <c r="H60" s="85"/>
      <c r="I60" s="71">
        <f>+ROUND(SUM(I55:I57),0)</f>
        <v>0</v>
      </c>
      <c r="J60" s="100"/>
      <c r="K60" s="100"/>
      <c r="L60" s="51" t="s">
        <v>270</v>
      </c>
      <c r="M60" s="84"/>
      <c r="N60" s="85"/>
      <c r="O60" s="71">
        <f>+ROUND(SUM(O55:O57),0)</f>
        <v>0</v>
      </c>
      <c r="P60" s="100"/>
      <c r="Q60" s="84"/>
      <c r="R60" s="85"/>
      <c r="S60" s="71">
        <f>+ROUND(SUM(S55:S57),0)</f>
        <v>0</v>
      </c>
      <c r="T60" s="100"/>
      <c r="U60" s="84"/>
      <c r="V60" s="85"/>
      <c r="W60" s="71">
        <f>+ROUND(SUM(W55:W57),0)</f>
        <v>0</v>
      </c>
    </row>
    <row r="61" spans="1:23" x14ac:dyDescent="0.25">
      <c r="A61" s="38"/>
      <c r="B61" s="51" t="s">
        <v>176</v>
      </c>
      <c r="C61" s="81"/>
      <c r="D61" s="86"/>
      <c r="E61" s="71">
        <f>+ROUND(E58,0)</f>
        <v>0</v>
      </c>
      <c r="F61" s="100"/>
      <c r="G61" s="81"/>
      <c r="H61" s="86"/>
      <c r="I61" s="71">
        <f>+ROUND(I58,0)</f>
        <v>0</v>
      </c>
      <c r="J61" s="100"/>
      <c r="K61" s="100"/>
      <c r="L61" s="51" t="s">
        <v>271</v>
      </c>
      <c r="M61" s="81"/>
      <c r="N61" s="86"/>
      <c r="O61" s="71">
        <f>+ROUND(O58,0)</f>
        <v>0</v>
      </c>
      <c r="P61" s="100"/>
      <c r="Q61" s="81"/>
      <c r="R61" s="86"/>
      <c r="S61" s="71">
        <f>+ROUND(S58,0)</f>
        <v>0</v>
      </c>
      <c r="T61" s="100"/>
      <c r="U61" s="81"/>
      <c r="V61" s="86"/>
      <c r="W61" s="71">
        <f>+ROUND(W58,0)</f>
        <v>0</v>
      </c>
    </row>
    <row r="62" spans="1:23" x14ac:dyDescent="0.25">
      <c r="B62" s="51" t="s">
        <v>177</v>
      </c>
      <c r="C62" s="81"/>
      <c r="D62" s="86"/>
      <c r="E62" s="87">
        <f>+ROUND(E59,0)</f>
        <v>0</v>
      </c>
      <c r="F62" s="109"/>
      <c r="G62" s="81"/>
      <c r="H62" s="86"/>
      <c r="I62" s="87">
        <f>+ROUND(I59,0)</f>
        <v>0</v>
      </c>
      <c r="J62" s="109"/>
      <c r="K62" s="109"/>
      <c r="L62" s="51" t="s">
        <v>272</v>
      </c>
      <c r="M62" s="81"/>
      <c r="N62" s="86"/>
      <c r="O62" s="87">
        <f>+ROUND(O59,0)</f>
        <v>0</v>
      </c>
      <c r="P62" s="109"/>
      <c r="Q62" s="81"/>
      <c r="R62" s="86"/>
      <c r="S62" s="87">
        <f>+ROUND(S59,0)</f>
        <v>0</v>
      </c>
      <c r="T62" s="109"/>
      <c r="U62" s="81"/>
      <c r="V62" s="86"/>
      <c r="W62" s="87">
        <f>+ROUND(W59,0)</f>
        <v>0</v>
      </c>
    </row>
    <row r="63" spans="1:23" ht="16.5" thickBot="1" x14ac:dyDescent="0.3">
      <c r="B63" s="52" t="s">
        <v>178</v>
      </c>
      <c r="C63" s="112"/>
      <c r="D63" s="88"/>
      <c r="E63" s="64">
        <f t="shared" ref="E63" si="10">SUM(E60:E62)</f>
        <v>0</v>
      </c>
      <c r="F63" s="99"/>
      <c r="G63" s="112"/>
      <c r="H63" s="88"/>
      <c r="I63" s="64">
        <f t="shared" ref="I63" si="11">SUM(I60:I62)</f>
        <v>0</v>
      </c>
      <c r="J63" s="99"/>
      <c r="K63" s="99"/>
      <c r="L63" s="52" t="s">
        <v>273</v>
      </c>
      <c r="M63" s="112"/>
      <c r="N63" s="88"/>
      <c r="O63" s="64">
        <f t="shared" ref="O63" si="12">SUM(O60:O62)</f>
        <v>0</v>
      </c>
      <c r="P63" s="99"/>
      <c r="Q63" s="112"/>
      <c r="R63" s="88"/>
      <c r="S63" s="64">
        <f t="shared" ref="S63" si="13">SUM(S60:S62)</f>
        <v>0</v>
      </c>
      <c r="T63" s="99"/>
      <c r="U63" s="112"/>
      <c r="V63" s="88"/>
      <c r="W63" s="64">
        <f t="shared" ref="W63" si="14">SUM(W60:W62)</f>
        <v>0</v>
      </c>
    </row>
    <row r="64" spans="1:23" x14ac:dyDescent="0.25">
      <c r="B64" s="41"/>
      <c r="F64" s="110"/>
      <c r="J64" s="110"/>
      <c r="K64" s="110"/>
      <c r="L64" s="41"/>
      <c r="P64" s="110"/>
      <c r="T64" s="110"/>
    </row>
    <row r="65" spans="2:23" ht="16.5" thickBot="1" x14ac:dyDescent="0.3">
      <c r="F65" s="110"/>
      <c r="J65" s="110"/>
      <c r="K65" s="110"/>
      <c r="L65" s="37"/>
      <c r="P65" s="110"/>
      <c r="T65" s="110"/>
    </row>
    <row r="66" spans="2:23" ht="16.5" thickBot="1" x14ac:dyDescent="0.3">
      <c r="B66" s="189" t="str">
        <f>B52</f>
        <v xml:space="preserve">CLINs 0001 &amp; 1001: CPFF </v>
      </c>
      <c r="C66" s="186" t="s">
        <v>183</v>
      </c>
      <c r="D66" s="187"/>
      <c r="E66" s="188"/>
      <c r="F66" s="106"/>
      <c r="G66" s="186" t="s">
        <v>183</v>
      </c>
      <c r="H66" s="187"/>
      <c r="I66" s="188"/>
      <c r="J66" s="106"/>
      <c r="K66" s="106"/>
      <c r="L66" s="149"/>
      <c r="M66" s="186" t="s">
        <v>183</v>
      </c>
      <c r="N66" s="187"/>
      <c r="O66" s="188"/>
      <c r="P66" s="106"/>
      <c r="Q66" s="186" t="s">
        <v>183</v>
      </c>
      <c r="R66" s="187"/>
      <c r="S66" s="188"/>
      <c r="T66" s="106"/>
      <c r="U66" s="186" t="s">
        <v>183</v>
      </c>
      <c r="V66" s="187"/>
      <c r="W66" s="188"/>
    </row>
    <row r="67" spans="2:23" ht="16.5" thickBot="1" x14ac:dyDescent="0.3">
      <c r="B67" s="190"/>
      <c r="C67" s="89"/>
      <c r="D67" s="55"/>
      <c r="E67" s="90" t="s">
        <v>267</v>
      </c>
      <c r="F67" s="111"/>
      <c r="G67" s="89"/>
      <c r="H67" s="55"/>
      <c r="I67" s="90" t="s">
        <v>268</v>
      </c>
      <c r="J67" s="111"/>
      <c r="K67" s="111"/>
      <c r="L67" s="150"/>
      <c r="M67" s="89"/>
      <c r="N67" s="55"/>
      <c r="O67" s="90" t="s">
        <v>299</v>
      </c>
      <c r="P67" s="111"/>
      <c r="Q67" s="89"/>
      <c r="R67" s="55"/>
      <c r="S67" s="90" t="s">
        <v>300</v>
      </c>
      <c r="T67" s="111"/>
      <c r="U67" s="89"/>
      <c r="V67" s="55"/>
      <c r="W67" s="90" t="s">
        <v>301</v>
      </c>
    </row>
    <row r="68" spans="2:23" x14ac:dyDescent="0.25">
      <c r="B68" s="51" t="s">
        <v>175</v>
      </c>
      <c r="C68" s="91"/>
      <c r="D68" s="91"/>
      <c r="E68" s="92">
        <f>+ROUND(E33+E47+E60,0)</f>
        <v>0</v>
      </c>
      <c r="F68" s="100"/>
      <c r="G68" s="91"/>
      <c r="H68" s="91"/>
      <c r="I68" s="92">
        <f>+ROUND(I33+I47+I60,0)</f>
        <v>0</v>
      </c>
      <c r="J68" s="100"/>
      <c r="K68" s="100"/>
      <c r="L68" s="51" t="s">
        <v>270</v>
      </c>
      <c r="M68" s="91"/>
      <c r="N68" s="91"/>
      <c r="O68" s="92">
        <f>+ROUND(O33+O47+O60,0)</f>
        <v>0</v>
      </c>
      <c r="P68" s="100"/>
      <c r="Q68" s="91"/>
      <c r="R68" s="91"/>
      <c r="S68" s="92">
        <f>+ROUND(S33+S47+S60,0)</f>
        <v>0</v>
      </c>
      <c r="T68" s="100"/>
      <c r="U68" s="91"/>
      <c r="V68" s="91"/>
      <c r="W68" s="92">
        <f>+ROUND(W33+W47+W60,0)</f>
        <v>0</v>
      </c>
    </row>
    <row r="69" spans="2:23" x14ac:dyDescent="0.25">
      <c r="B69" s="51" t="s">
        <v>176</v>
      </c>
      <c r="C69" s="91"/>
      <c r="D69" s="91"/>
      <c r="E69" s="71">
        <f>+ROUND(E34+E48+E61,0)</f>
        <v>0</v>
      </c>
      <c r="F69" s="100"/>
      <c r="G69" s="91"/>
      <c r="H69" s="91"/>
      <c r="I69" s="71">
        <f>+ROUND(I34+I48+I61,0)</f>
        <v>0</v>
      </c>
      <c r="J69" s="100"/>
      <c r="K69" s="100"/>
      <c r="L69" s="51" t="s">
        <v>271</v>
      </c>
      <c r="M69" s="91"/>
      <c r="N69" s="91"/>
      <c r="O69" s="71">
        <f>+ROUND(O34+O48+O61,0)</f>
        <v>0</v>
      </c>
      <c r="P69" s="100"/>
      <c r="Q69" s="91"/>
      <c r="R69" s="91"/>
      <c r="S69" s="71">
        <f>+ROUND(S34+S48+S61,0)</f>
        <v>0</v>
      </c>
      <c r="T69" s="100"/>
      <c r="U69" s="91"/>
      <c r="V69" s="91"/>
      <c r="W69" s="71">
        <f>+ROUND(W34+W48+W61,0)</f>
        <v>0</v>
      </c>
    </row>
    <row r="70" spans="2:23" x14ac:dyDescent="0.25">
      <c r="B70" s="51" t="s">
        <v>177</v>
      </c>
      <c r="C70" s="91"/>
      <c r="D70" s="91"/>
      <c r="E70" s="74">
        <f>+ROUND(E35+E49+E62,0)</f>
        <v>0</v>
      </c>
      <c r="F70" s="102"/>
      <c r="G70" s="91"/>
      <c r="H70" s="91"/>
      <c r="I70" s="74">
        <f>+ROUND(I35+I49+I62,0)</f>
        <v>0</v>
      </c>
      <c r="J70" s="102"/>
      <c r="K70" s="102"/>
      <c r="L70" s="51" t="s">
        <v>272</v>
      </c>
      <c r="M70" s="91"/>
      <c r="N70" s="91"/>
      <c r="O70" s="74">
        <f>+ROUND(O35+O49+O62,0)</f>
        <v>0</v>
      </c>
      <c r="P70" s="102"/>
      <c r="Q70" s="91"/>
      <c r="R70" s="91"/>
      <c r="S70" s="74">
        <f>+ROUND(S35+S49+S62,0)</f>
        <v>0</v>
      </c>
      <c r="T70" s="102"/>
      <c r="U70" s="91"/>
      <c r="V70" s="91"/>
      <c r="W70" s="74">
        <f>+ROUND(W35+W49+W62,0)</f>
        <v>0</v>
      </c>
    </row>
    <row r="71" spans="2:23" ht="16.5" thickBot="1" x14ac:dyDescent="0.3">
      <c r="B71" s="52" t="s">
        <v>178</v>
      </c>
      <c r="C71" s="93"/>
      <c r="D71" s="93"/>
      <c r="E71" s="77">
        <f>SUM(E68:E70)</f>
        <v>0</v>
      </c>
      <c r="F71" s="103"/>
      <c r="G71" s="93"/>
      <c r="H71" s="93"/>
      <c r="I71" s="77">
        <f>SUM(I68:I70)</f>
        <v>0</v>
      </c>
      <c r="J71" s="103"/>
      <c r="K71" s="103"/>
      <c r="L71" s="52" t="s">
        <v>273</v>
      </c>
      <c r="M71" s="93"/>
      <c r="N71" s="93"/>
      <c r="O71" s="77">
        <f>SUM(O68:O70)</f>
        <v>0</v>
      </c>
      <c r="P71" s="103"/>
      <c r="Q71" s="93"/>
      <c r="R71" s="93"/>
      <c r="S71" s="77">
        <f>SUM(S68:S70)</f>
        <v>0</v>
      </c>
      <c r="T71" s="103"/>
      <c r="U71" s="93"/>
      <c r="V71" s="93"/>
      <c r="W71" s="77">
        <f>SUM(W68:W70)</f>
        <v>0</v>
      </c>
    </row>
  </sheetData>
  <mergeCells count="25">
    <mergeCell ref="U66:W66"/>
    <mergeCell ref="B52:B53"/>
    <mergeCell ref="C52:E52"/>
    <mergeCell ref="G52:I52"/>
    <mergeCell ref="M52:O52"/>
    <mergeCell ref="Q52:S52"/>
    <mergeCell ref="U52:W52"/>
    <mergeCell ref="B66:B67"/>
    <mergeCell ref="C66:E66"/>
    <mergeCell ref="G66:I66"/>
    <mergeCell ref="M66:O66"/>
    <mergeCell ref="Q66:S66"/>
    <mergeCell ref="U10:W10"/>
    <mergeCell ref="B39:B40"/>
    <mergeCell ref="C39:E39"/>
    <mergeCell ref="G39:I39"/>
    <mergeCell ref="M39:O39"/>
    <mergeCell ref="Q39:S39"/>
    <mergeCell ref="U39:W39"/>
    <mergeCell ref="B10:B11"/>
    <mergeCell ref="C10:E10"/>
    <mergeCell ref="G10:I10"/>
    <mergeCell ref="L10:L11"/>
    <mergeCell ref="M10:O10"/>
    <mergeCell ref="Q10:S10"/>
  </mergeCells>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B9062-A823-45E5-A4D5-97F1F79F02D1}">
  <sheetPr>
    <tabColor theme="7" tint="0.79998168889431442"/>
  </sheetPr>
  <dimension ref="A1:W71"/>
  <sheetViews>
    <sheetView workbookViewId="0">
      <selection activeCell="B4" sqref="B4"/>
    </sheetView>
  </sheetViews>
  <sheetFormatPr defaultColWidth="15.85546875" defaultRowHeight="15.75" x14ac:dyDescent="0.25"/>
  <cols>
    <col min="1" max="1" width="3.42578125" style="33" customWidth="1"/>
    <col min="2" max="2" width="49.140625" style="37" customWidth="1"/>
    <col min="3" max="3" width="32.85546875" style="35" customWidth="1"/>
    <col min="4" max="4" width="28.85546875" style="35" customWidth="1"/>
    <col min="5" max="5" width="40.140625" style="35" customWidth="1"/>
    <col min="6" max="6" width="3.140625" style="35" customWidth="1"/>
    <col min="7" max="7" width="28.28515625" style="35" customWidth="1"/>
    <col min="8" max="8" width="25.42578125" style="35" customWidth="1"/>
    <col min="9" max="9" width="35.42578125" style="35" customWidth="1"/>
    <col min="10" max="11" width="3.140625" style="35" customWidth="1"/>
    <col min="12" max="12" width="45" style="35" bestFit="1" customWidth="1"/>
    <col min="13" max="13" width="28.28515625" style="35" customWidth="1"/>
    <col min="14" max="14" width="25.42578125" style="35" customWidth="1"/>
    <col min="15" max="15" width="35.42578125" style="35" customWidth="1"/>
    <col min="16" max="16" width="3.140625" style="35" customWidth="1"/>
    <col min="17" max="17" width="28.28515625" style="35" customWidth="1"/>
    <col min="18" max="18" width="25.42578125" style="35" customWidth="1"/>
    <col min="19" max="19" width="35.42578125" style="35" customWidth="1"/>
    <col min="20" max="20" width="3.140625" style="35" customWidth="1"/>
    <col min="21" max="21" width="28.28515625" style="35" customWidth="1"/>
    <col min="22" max="22" width="25.42578125" style="35" customWidth="1"/>
    <col min="23" max="23" width="35.42578125" style="35" customWidth="1"/>
    <col min="24" max="16384" width="15.85546875" style="35"/>
  </cols>
  <sheetData>
    <row r="1" spans="1:23" x14ac:dyDescent="0.2">
      <c r="B1" s="34" t="s">
        <v>147</v>
      </c>
    </row>
    <row r="2" spans="1:23" x14ac:dyDescent="0.25">
      <c r="A2" s="36"/>
      <c r="B2" s="153" t="s">
        <v>167</v>
      </c>
      <c r="C2" s="94"/>
      <c r="D2" s="94"/>
      <c r="E2" s="94"/>
      <c r="F2" s="94"/>
      <c r="G2" s="94"/>
      <c r="H2" s="94"/>
      <c r="I2" s="94"/>
      <c r="J2" s="94"/>
      <c r="K2" s="94"/>
      <c r="L2" s="94"/>
      <c r="M2" s="94"/>
      <c r="N2" s="94"/>
      <c r="O2" s="94"/>
      <c r="P2" s="94"/>
      <c r="Q2" s="94"/>
      <c r="R2" s="94"/>
      <c r="S2" s="94"/>
      <c r="T2" s="94"/>
      <c r="U2" s="94"/>
      <c r="V2" s="94"/>
      <c r="W2" s="94"/>
    </row>
    <row r="3" spans="1:23" x14ac:dyDescent="0.25">
      <c r="A3" s="36"/>
      <c r="B3" s="153" t="s">
        <v>347</v>
      </c>
      <c r="C3" s="94"/>
      <c r="D3" s="94"/>
      <c r="E3" s="94"/>
      <c r="F3" s="94"/>
      <c r="G3" s="94"/>
      <c r="H3" s="94"/>
      <c r="I3" s="94"/>
      <c r="J3" s="94"/>
      <c r="K3" s="94"/>
      <c r="L3" s="94"/>
      <c r="M3" s="94"/>
      <c r="N3" s="94"/>
      <c r="O3" s="94"/>
      <c r="P3" s="94"/>
      <c r="Q3" s="94"/>
      <c r="R3" s="94"/>
      <c r="S3" s="94"/>
      <c r="T3" s="94"/>
      <c r="U3" s="94"/>
      <c r="V3" s="94"/>
      <c r="W3" s="94"/>
    </row>
    <row r="4" spans="1:23" x14ac:dyDescent="0.25">
      <c r="A4" s="36"/>
      <c r="B4" s="153" t="s">
        <v>231</v>
      </c>
      <c r="C4" s="94"/>
      <c r="D4" s="94"/>
      <c r="E4" s="94"/>
      <c r="F4" s="94"/>
      <c r="G4" s="94"/>
      <c r="H4" s="94"/>
      <c r="I4" s="94"/>
      <c r="J4" s="94"/>
      <c r="K4" s="94"/>
      <c r="L4" s="94"/>
      <c r="M4" s="94"/>
      <c r="N4" s="94"/>
      <c r="O4" s="94"/>
      <c r="P4" s="94"/>
      <c r="Q4" s="94"/>
      <c r="R4" s="94"/>
      <c r="S4" s="94"/>
      <c r="T4" s="94"/>
      <c r="U4" s="94"/>
      <c r="V4" s="94"/>
      <c r="W4" s="94"/>
    </row>
    <row r="5" spans="1:23" x14ac:dyDescent="0.25">
      <c r="A5" s="36"/>
      <c r="B5" s="153" t="s">
        <v>168</v>
      </c>
      <c r="C5" s="94"/>
      <c r="D5" s="94"/>
      <c r="E5" s="94"/>
      <c r="F5" s="94"/>
      <c r="G5" s="94"/>
      <c r="H5" s="94"/>
      <c r="I5" s="94"/>
      <c r="J5" s="94"/>
      <c r="K5" s="94"/>
      <c r="L5" s="94"/>
      <c r="M5" s="94"/>
      <c r="N5" s="94"/>
      <c r="O5" s="94"/>
      <c r="P5" s="94"/>
      <c r="Q5" s="94"/>
      <c r="R5" s="94"/>
      <c r="S5" s="94"/>
      <c r="T5" s="94"/>
      <c r="U5" s="94"/>
      <c r="V5" s="94"/>
      <c r="W5" s="94"/>
    </row>
    <row r="6" spans="1:23" x14ac:dyDescent="0.25">
      <c r="A6" s="36"/>
      <c r="B6" s="153" t="s">
        <v>348</v>
      </c>
      <c r="C6" s="94"/>
      <c r="D6" s="94"/>
      <c r="E6" s="94"/>
      <c r="F6" s="94"/>
      <c r="G6" s="94"/>
      <c r="H6" s="94"/>
      <c r="I6" s="94"/>
      <c r="J6" s="94"/>
      <c r="K6" s="94"/>
      <c r="L6" s="94"/>
      <c r="M6" s="94"/>
      <c r="N6" s="94"/>
      <c r="O6" s="94"/>
      <c r="P6" s="94"/>
      <c r="Q6" s="94"/>
      <c r="R6" s="94"/>
      <c r="S6" s="94"/>
      <c r="T6" s="94"/>
      <c r="U6" s="94"/>
      <c r="V6" s="94"/>
      <c r="W6" s="94"/>
    </row>
    <row r="7" spans="1:23" x14ac:dyDescent="0.25">
      <c r="A7" s="36"/>
      <c r="B7" s="153" t="s">
        <v>274</v>
      </c>
      <c r="C7" s="94"/>
      <c r="D7" s="94"/>
      <c r="E7" s="94"/>
      <c r="F7" s="94"/>
      <c r="G7" s="94"/>
      <c r="H7" s="94"/>
      <c r="I7" s="94"/>
      <c r="J7" s="94"/>
      <c r="K7" s="94"/>
      <c r="L7" s="94"/>
      <c r="M7" s="94"/>
      <c r="N7" s="94"/>
      <c r="O7" s="94"/>
      <c r="P7" s="94"/>
      <c r="Q7" s="94"/>
      <c r="R7" s="94"/>
      <c r="S7" s="94"/>
      <c r="T7" s="94"/>
      <c r="U7" s="94"/>
      <c r="V7" s="94"/>
      <c r="W7" s="94"/>
    </row>
    <row r="9" spans="1:23" ht="16.5" thickBot="1" x14ac:dyDescent="0.3"/>
    <row r="10" spans="1:23" ht="16.5" thickBot="1" x14ac:dyDescent="0.3">
      <c r="A10" s="38"/>
      <c r="B10" s="189" t="s">
        <v>277</v>
      </c>
      <c r="C10" s="186" t="s">
        <v>170</v>
      </c>
      <c r="D10" s="187"/>
      <c r="E10" s="188"/>
      <c r="F10" s="95"/>
      <c r="G10" s="186" t="s">
        <v>170</v>
      </c>
      <c r="H10" s="187"/>
      <c r="I10" s="188"/>
      <c r="J10" s="95"/>
      <c r="K10" s="95"/>
      <c r="L10" s="189" t="s">
        <v>278</v>
      </c>
      <c r="M10" s="186" t="s">
        <v>170</v>
      </c>
      <c r="N10" s="187"/>
      <c r="O10" s="188"/>
      <c r="P10" s="95"/>
      <c r="Q10" s="186" t="s">
        <v>170</v>
      </c>
      <c r="R10" s="187"/>
      <c r="S10" s="188"/>
      <c r="T10" s="95"/>
      <c r="U10" s="186" t="s">
        <v>170</v>
      </c>
      <c r="V10" s="187"/>
      <c r="W10" s="188"/>
    </row>
    <row r="11" spans="1:23" ht="16.5" thickBot="1" x14ac:dyDescent="0.3">
      <c r="A11" s="38"/>
      <c r="B11" s="190"/>
      <c r="C11" s="129" t="s">
        <v>279</v>
      </c>
      <c r="D11" s="130"/>
      <c r="E11" s="131"/>
      <c r="F11" s="96"/>
      <c r="G11" s="132" t="s">
        <v>280</v>
      </c>
      <c r="H11" s="133"/>
      <c r="I11" s="134"/>
      <c r="J11" s="96"/>
      <c r="K11" s="96"/>
      <c r="L11" s="190"/>
      <c r="M11" s="132" t="s">
        <v>281</v>
      </c>
      <c r="N11" s="133"/>
      <c r="O11" s="134"/>
      <c r="P11" s="96"/>
      <c r="Q11" s="132" t="s">
        <v>282</v>
      </c>
      <c r="R11" s="133"/>
      <c r="S11" s="134"/>
      <c r="T11" s="96"/>
      <c r="U11" s="132" t="s">
        <v>283</v>
      </c>
      <c r="V11" s="133"/>
      <c r="W11" s="134"/>
    </row>
    <row r="12" spans="1:23" x14ac:dyDescent="0.25">
      <c r="A12" s="38"/>
      <c r="B12" s="56" t="s">
        <v>157</v>
      </c>
      <c r="C12" s="56" t="s">
        <v>171</v>
      </c>
      <c r="D12" s="57" t="s">
        <v>172</v>
      </c>
      <c r="E12" s="58" t="s">
        <v>10</v>
      </c>
      <c r="F12" s="97"/>
      <c r="G12" s="56" t="s">
        <v>171</v>
      </c>
      <c r="H12" s="57" t="s">
        <v>172</v>
      </c>
      <c r="I12" s="58" t="s">
        <v>10</v>
      </c>
      <c r="J12" s="97"/>
      <c r="K12" s="97"/>
      <c r="L12" s="56" t="s">
        <v>157</v>
      </c>
      <c r="M12" s="56" t="s">
        <v>171</v>
      </c>
      <c r="N12" s="57" t="s">
        <v>172</v>
      </c>
      <c r="O12" s="58" t="s">
        <v>10</v>
      </c>
      <c r="P12" s="97"/>
      <c r="Q12" s="56" t="s">
        <v>171</v>
      </c>
      <c r="R12" s="57" t="s">
        <v>172</v>
      </c>
      <c r="S12" s="58" t="s">
        <v>10</v>
      </c>
      <c r="T12" s="97"/>
      <c r="U12" s="56" t="s">
        <v>171</v>
      </c>
      <c r="V12" s="57" t="s">
        <v>172</v>
      </c>
      <c r="W12" s="58" t="s">
        <v>10</v>
      </c>
    </row>
    <row r="13" spans="1:23" x14ac:dyDescent="0.25">
      <c r="A13" s="38"/>
      <c r="B13" s="59" t="s">
        <v>184</v>
      </c>
      <c r="C13" s="60"/>
      <c r="D13" s="61">
        <v>0</v>
      </c>
      <c r="E13" s="62">
        <f>+C13*D13</f>
        <v>0</v>
      </c>
      <c r="F13" s="98"/>
      <c r="G13" s="60"/>
      <c r="H13" s="61">
        <v>0</v>
      </c>
      <c r="I13" s="62">
        <f>+G13*H13</f>
        <v>0</v>
      </c>
      <c r="J13" s="98"/>
      <c r="K13" s="98"/>
      <c r="L13" s="151" t="s">
        <v>184</v>
      </c>
      <c r="M13" s="60"/>
      <c r="N13" s="61">
        <v>0</v>
      </c>
      <c r="O13" s="62">
        <f>+M13*N13</f>
        <v>0</v>
      </c>
      <c r="P13" s="98"/>
      <c r="Q13" s="60"/>
      <c r="R13" s="61">
        <v>0</v>
      </c>
      <c r="S13" s="62">
        <f>+Q13*R13</f>
        <v>0</v>
      </c>
      <c r="T13" s="98"/>
      <c r="U13" s="60"/>
      <c r="V13" s="61">
        <v>0</v>
      </c>
      <c r="W13" s="62">
        <f>+U13*V13</f>
        <v>0</v>
      </c>
    </row>
    <row r="14" spans="1:23" x14ac:dyDescent="0.25">
      <c r="A14" s="38"/>
      <c r="B14" s="59" t="s">
        <v>185</v>
      </c>
      <c r="C14" s="60"/>
      <c r="D14" s="61">
        <v>0</v>
      </c>
      <c r="E14" s="62">
        <f t="shared" ref="E14:E25" si="0">+C14*D14</f>
        <v>0</v>
      </c>
      <c r="F14" s="98"/>
      <c r="G14" s="60"/>
      <c r="H14" s="61">
        <v>0</v>
      </c>
      <c r="I14" s="62">
        <f t="shared" ref="I14:I25" si="1">+G14*H14</f>
        <v>0</v>
      </c>
      <c r="J14" s="98"/>
      <c r="K14" s="98"/>
      <c r="L14" s="59" t="s">
        <v>185</v>
      </c>
      <c r="M14" s="60"/>
      <c r="N14" s="61">
        <v>0</v>
      </c>
      <c r="O14" s="62">
        <f t="shared" ref="O14:O25" si="2">+M14*N14</f>
        <v>0</v>
      </c>
      <c r="P14" s="98"/>
      <c r="Q14" s="60"/>
      <c r="R14" s="61">
        <v>0</v>
      </c>
      <c r="S14" s="62">
        <f t="shared" ref="S14:S25" si="3">+Q14*R14</f>
        <v>0</v>
      </c>
      <c r="T14" s="98"/>
      <c r="U14" s="60"/>
      <c r="V14" s="61">
        <v>0</v>
      </c>
      <c r="W14" s="62">
        <f t="shared" ref="W14:W25" si="4">+U14*V14</f>
        <v>0</v>
      </c>
    </row>
    <row r="15" spans="1:23" x14ac:dyDescent="0.25">
      <c r="A15" s="38"/>
      <c r="B15" s="59" t="s">
        <v>186</v>
      </c>
      <c r="C15" s="60"/>
      <c r="D15" s="61">
        <v>0</v>
      </c>
      <c r="E15" s="62">
        <f t="shared" si="0"/>
        <v>0</v>
      </c>
      <c r="F15" s="98"/>
      <c r="G15" s="60"/>
      <c r="H15" s="61">
        <v>0</v>
      </c>
      <c r="I15" s="62">
        <f t="shared" si="1"/>
        <v>0</v>
      </c>
      <c r="J15" s="98"/>
      <c r="K15" s="98"/>
      <c r="L15" s="59" t="s">
        <v>186</v>
      </c>
      <c r="M15" s="60"/>
      <c r="N15" s="61">
        <v>0</v>
      </c>
      <c r="O15" s="62">
        <f t="shared" si="2"/>
        <v>0</v>
      </c>
      <c r="P15" s="98"/>
      <c r="Q15" s="60"/>
      <c r="R15" s="61">
        <v>0</v>
      </c>
      <c r="S15" s="62">
        <f t="shared" si="3"/>
        <v>0</v>
      </c>
      <c r="T15" s="98"/>
      <c r="U15" s="60"/>
      <c r="V15" s="61">
        <v>0</v>
      </c>
      <c r="W15" s="62">
        <f t="shared" si="4"/>
        <v>0</v>
      </c>
    </row>
    <row r="16" spans="1:23" x14ac:dyDescent="0.25">
      <c r="A16" s="38"/>
      <c r="B16" s="59" t="s">
        <v>187</v>
      </c>
      <c r="C16" s="60"/>
      <c r="D16" s="61">
        <v>0</v>
      </c>
      <c r="E16" s="62">
        <f t="shared" si="0"/>
        <v>0</v>
      </c>
      <c r="F16" s="98"/>
      <c r="G16" s="60"/>
      <c r="H16" s="61">
        <v>0</v>
      </c>
      <c r="I16" s="62">
        <f t="shared" si="1"/>
        <v>0</v>
      </c>
      <c r="J16" s="98"/>
      <c r="K16" s="98"/>
      <c r="L16" s="59" t="s">
        <v>187</v>
      </c>
      <c r="M16" s="60"/>
      <c r="N16" s="61">
        <v>0</v>
      </c>
      <c r="O16" s="62">
        <f t="shared" si="2"/>
        <v>0</v>
      </c>
      <c r="P16" s="98"/>
      <c r="Q16" s="60"/>
      <c r="R16" s="61">
        <v>0</v>
      </c>
      <c r="S16" s="62">
        <f t="shared" si="3"/>
        <v>0</v>
      </c>
      <c r="T16" s="98"/>
      <c r="U16" s="60"/>
      <c r="V16" s="61">
        <v>0</v>
      </c>
      <c r="W16" s="62">
        <f t="shared" si="4"/>
        <v>0</v>
      </c>
    </row>
    <row r="17" spans="1:23" x14ac:dyDescent="0.25">
      <c r="A17" s="38"/>
      <c r="B17" s="59" t="s">
        <v>188</v>
      </c>
      <c r="C17" s="60"/>
      <c r="D17" s="61">
        <v>0</v>
      </c>
      <c r="E17" s="62">
        <f t="shared" si="0"/>
        <v>0</v>
      </c>
      <c r="F17" s="98"/>
      <c r="G17" s="60"/>
      <c r="H17" s="61">
        <v>0</v>
      </c>
      <c r="I17" s="62">
        <f t="shared" si="1"/>
        <v>0</v>
      </c>
      <c r="J17" s="98"/>
      <c r="K17" s="98"/>
      <c r="L17" s="59" t="s">
        <v>188</v>
      </c>
      <c r="M17" s="60"/>
      <c r="N17" s="61">
        <v>0</v>
      </c>
      <c r="O17" s="62">
        <f t="shared" si="2"/>
        <v>0</v>
      </c>
      <c r="P17" s="98"/>
      <c r="Q17" s="60"/>
      <c r="R17" s="61">
        <v>0</v>
      </c>
      <c r="S17" s="62">
        <f t="shared" si="3"/>
        <v>0</v>
      </c>
      <c r="T17" s="98"/>
      <c r="U17" s="60"/>
      <c r="V17" s="61">
        <v>0</v>
      </c>
      <c r="W17" s="62">
        <f t="shared" si="4"/>
        <v>0</v>
      </c>
    </row>
    <row r="18" spans="1:23" x14ac:dyDescent="0.25">
      <c r="A18" s="38"/>
      <c r="B18" s="59" t="s">
        <v>189</v>
      </c>
      <c r="C18" s="60"/>
      <c r="D18" s="61">
        <v>0</v>
      </c>
      <c r="E18" s="62">
        <f t="shared" si="0"/>
        <v>0</v>
      </c>
      <c r="F18" s="98"/>
      <c r="G18" s="60"/>
      <c r="H18" s="61">
        <v>0</v>
      </c>
      <c r="I18" s="62">
        <f t="shared" si="1"/>
        <v>0</v>
      </c>
      <c r="J18" s="98"/>
      <c r="K18" s="98"/>
      <c r="L18" s="59" t="s">
        <v>189</v>
      </c>
      <c r="M18" s="60"/>
      <c r="N18" s="61">
        <v>0</v>
      </c>
      <c r="O18" s="62">
        <f t="shared" si="2"/>
        <v>0</v>
      </c>
      <c r="P18" s="98"/>
      <c r="Q18" s="60"/>
      <c r="R18" s="61">
        <v>0</v>
      </c>
      <c r="S18" s="62">
        <f t="shared" si="3"/>
        <v>0</v>
      </c>
      <c r="T18" s="98"/>
      <c r="U18" s="60"/>
      <c r="V18" s="61">
        <v>0</v>
      </c>
      <c r="W18" s="62">
        <f t="shared" si="4"/>
        <v>0</v>
      </c>
    </row>
    <row r="19" spans="1:23" x14ac:dyDescent="0.25">
      <c r="A19" s="38"/>
      <c r="B19" s="59" t="s">
        <v>190</v>
      </c>
      <c r="C19" s="60"/>
      <c r="D19" s="61">
        <v>0</v>
      </c>
      <c r="E19" s="62">
        <f t="shared" si="0"/>
        <v>0</v>
      </c>
      <c r="F19" s="98"/>
      <c r="G19" s="60"/>
      <c r="H19" s="61">
        <v>0</v>
      </c>
      <c r="I19" s="62">
        <f t="shared" si="1"/>
        <v>0</v>
      </c>
      <c r="J19" s="98"/>
      <c r="K19" s="98"/>
      <c r="L19" s="59" t="s">
        <v>190</v>
      </c>
      <c r="M19" s="60"/>
      <c r="N19" s="61">
        <v>0</v>
      </c>
      <c r="O19" s="62">
        <f t="shared" si="2"/>
        <v>0</v>
      </c>
      <c r="P19" s="98"/>
      <c r="Q19" s="60"/>
      <c r="R19" s="61">
        <v>0</v>
      </c>
      <c r="S19" s="62">
        <f t="shared" si="3"/>
        <v>0</v>
      </c>
      <c r="T19" s="98"/>
      <c r="U19" s="60"/>
      <c r="V19" s="61">
        <v>0</v>
      </c>
      <c r="W19" s="62">
        <f t="shared" si="4"/>
        <v>0</v>
      </c>
    </row>
    <row r="20" spans="1:23" x14ac:dyDescent="0.25">
      <c r="A20" s="38"/>
      <c r="B20" s="59" t="s">
        <v>191</v>
      </c>
      <c r="C20" s="60"/>
      <c r="D20" s="61">
        <v>0</v>
      </c>
      <c r="E20" s="62">
        <f t="shared" si="0"/>
        <v>0</v>
      </c>
      <c r="F20" s="98"/>
      <c r="G20" s="60"/>
      <c r="H20" s="61">
        <v>0</v>
      </c>
      <c r="I20" s="62">
        <f t="shared" si="1"/>
        <v>0</v>
      </c>
      <c r="J20" s="98"/>
      <c r="K20" s="98"/>
      <c r="L20" s="59" t="s">
        <v>191</v>
      </c>
      <c r="M20" s="60"/>
      <c r="N20" s="61">
        <v>0</v>
      </c>
      <c r="O20" s="62">
        <f t="shared" si="2"/>
        <v>0</v>
      </c>
      <c r="P20" s="98"/>
      <c r="Q20" s="60"/>
      <c r="R20" s="61">
        <v>0</v>
      </c>
      <c r="S20" s="62">
        <f t="shared" si="3"/>
        <v>0</v>
      </c>
      <c r="T20" s="98"/>
      <c r="U20" s="60"/>
      <c r="V20" s="61">
        <v>0</v>
      </c>
      <c r="W20" s="62">
        <f t="shared" si="4"/>
        <v>0</v>
      </c>
    </row>
    <row r="21" spans="1:23" x14ac:dyDescent="0.25">
      <c r="A21" s="38"/>
      <c r="B21" s="59" t="s">
        <v>192</v>
      </c>
      <c r="C21" s="60"/>
      <c r="D21" s="61">
        <v>0</v>
      </c>
      <c r="E21" s="62">
        <f t="shared" si="0"/>
        <v>0</v>
      </c>
      <c r="F21" s="98"/>
      <c r="G21" s="60"/>
      <c r="H21" s="61">
        <v>0</v>
      </c>
      <c r="I21" s="62">
        <f t="shared" si="1"/>
        <v>0</v>
      </c>
      <c r="J21" s="98"/>
      <c r="K21" s="98"/>
      <c r="L21" s="59" t="s">
        <v>192</v>
      </c>
      <c r="M21" s="60"/>
      <c r="N21" s="61">
        <v>0</v>
      </c>
      <c r="O21" s="62">
        <f t="shared" si="2"/>
        <v>0</v>
      </c>
      <c r="P21" s="98"/>
      <c r="Q21" s="60"/>
      <c r="R21" s="61">
        <v>0</v>
      </c>
      <c r="S21" s="62">
        <f t="shared" si="3"/>
        <v>0</v>
      </c>
      <c r="T21" s="98"/>
      <c r="U21" s="60"/>
      <c r="V21" s="61">
        <v>0</v>
      </c>
      <c r="W21" s="62">
        <f t="shared" si="4"/>
        <v>0</v>
      </c>
    </row>
    <row r="22" spans="1:23" ht="15" customHeight="1" x14ac:dyDescent="0.25">
      <c r="A22" s="38"/>
      <c r="B22" s="59" t="s">
        <v>193</v>
      </c>
      <c r="C22" s="60"/>
      <c r="D22" s="61">
        <v>0</v>
      </c>
      <c r="E22" s="62">
        <f t="shared" si="0"/>
        <v>0</v>
      </c>
      <c r="F22" s="98"/>
      <c r="G22" s="60"/>
      <c r="H22" s="61">
        <v>0</v>
      </c>
      <c r="I22" s="62">
        <f t="shared" si="1"/>
        <v>0</v>
      </c>
      <c r="J22" s="98"/>
      <c r="K22" s="98"/>
      <c r="L22" s="59" t="s">
        <v>193</v>
      </c>
      <c r="M22" s="60"/>
      <c r="N22" s="61">
        <v>0</v>
      </c>
      <c r="O22" s="62">
        <f t="shared" si="2"/>
        <v>0</v>
      </c>
      <c r="P22" s="98"/>
      <c r="Q22" s="60"/>
      <c r="R22" s="61">
        <v>0</v>
      </c>
      <c r="S22" s="62">
        <f t="shared" si="3"/>
        <v>0</v>
      </c>
      <c r="T22" s="98"/>
      <c r="U22" s="60"/>
      <c r="V22" s="61">
        <v>0</v>
      </c>
      <c r="W22" s="62">
        <f t="shared" si="4"/>
        <v>0</v>
      </c>
    </row>
    <row r="23" spans="1:23" ht="15" customHeight="1" x14ac:dyDescent="0.25">
      <c r="A23" s="38"/>
      <c r="B23" s="59" t="s">
        <v>194</v>
      </c>
      <c r="C23" s="60"/>
      <c r="D23" s="61">
        <v>0</v>
      </c>
      <c r="E23" s="62">
        <f t="shared" si="0"/>
        <v>0</v>
      </c>
      <c r="F23" s="98"/>
      <c r="G23" s="60"/>
      <c r="H23" s="61">
        <v>0</v>
      </c>
      <c r="I23" s="62">
        <f t="shared" si="1"/>
        <v>0</v>
      </c>
      <c r="J23" s="98"/>
      <c r="K23" s="98"/>
      <c r="L23" s="59" t="s">
        <v>194</v>
      </c>
      <c r="M23" s="60"/>
      <c r="N23" s="61">
        <v>0</v>
      </c>
      <c r="O23" s="62">
        <f t="shared" si="2"/>
        <v>0</v>
      </c>
      <c r="P23" s="98"/>
      <c r="Q23" s="60"/>
      <c r="R23" s="61">
        <v>0</v>
      </c>
      <c r="S23" s="62">
        <f t="shared" si="3"/>
        <v>0</v>
      </c>
      <c r="T23" s="98"/>
      <c r="U23" s="60"/>
      <c r="V23" s="61">
        <v>0</v>
      </c>
      <c r="W23" s="62">
        <f t="shared" si="4"/>
        <v>0</v>
      </c>
    </row>
    <row r="24" spans="1:23" ht="15" customHeight="1" x14ac:dyDescent="0.25">
      <c r="A24" s="38"/>
      <c r="B24" s="59" t="s">
        <v>195</v>
      </c>
      <c r="C24" s="60"/>
      <c r="D24" s="61">
        <v>0</v>
      </c>
      <c r="E24" s="62">
        <f t="shared" si="0"/>
        <v>0</v>
      </c>
      <c r="F24" s="98"/>
      <c r="G24" s="60"/>
      <c r="H24" s="61">
        <v>0</v>
      </c>
      <c r="I24" s="62">
        <f t="shared" si="1"/>
        <v>0</v>
      </c>
      <c r="J24" s="98"/>
      <c r="K24" s="98"/>
      <c r="L24" s="59" t="s">
        <v>195</v>
      </c>
      <c r="M24" s="60"/>
      <c r="N24" s="61">
        <v>0</v>
      </c>
      <c r="O24" s="62">
        <f t="shared" si="2"/>
        <v>0</v>
      </c>
      <c r="P24" s="98"/>
      <c r="Q24" s="60"/>
      <c r="R24" s="61">
        <v>0</v>
      </c>
      <c r="S24" s="62">
        <f t="shared" si="3"/>
        <v>0</v>
      </c>
      <c r="T24" s="98"/>
      <c r="U24" s="60"/>
      <c r="V24" s="61">
        <v>0</v>
      </c>
      <c r="W24" s="62">
        <f t="shared" si="4"/>
        <v>0</v>
      </c>
    </row>
    <row r="25" spans="1:23" ht="15" customHeight="1" thickBot="1" x14ac:dyDescent="0.3">
      <c r="A25" s="38"/>
      <c r="B25" s="59" t="s">
        <v>196</v>
      </c>
      <c r="C25" s="63"/>
      <c r="D25" s="39">
        <v>0</v>
      </c>
      <c r="E25" s="64">
        <f t="shared" si="0"/>
        <v>0</v>
      </c>
      <c r="F25" s="99"/>
      <c r="G25" s="63"/>
      <c r="H25" s="39">
        <v>0</v>
      </c>
      <c r="I25" s="64">
        <f t="shared" si="1"/>
        <v>0</v>
      </c>
      <c r="J25" s="99"/>
      <c r="K25" s="99"/>
      <c r="L25" s="59" t="s">
        <v>196</v>
      </c>
      <c r="M25" s="63"/>
      <c r="N25" s="39">
        <v>0</v>
      </c>
      <c r="O25" s="64">
        <f t="shared" si="2"/>
        <v>0</v>
      </c>
      <c r="P25" s="99"/>
      <c r="Q25" s="63"/>
      <c r="R25" s="39">
        <v>0</v>
      </c>
      <c r="S25" s="64">
        <f t="shared" si="3"/>
        <v>0</v>
      </c>
      <c r="T25" s="99"/>
      <c r="U25" s="63"/>
      <c r="V25" s="39">
        <v>0</v>
      </c>
      <c r="W25" s="64">
        <f t="shared" si="4"/>
        <v>0</v>
      </c>
    </row>
    <row r="26" spans="1:23" ht="16.5" thickBot="1" x14ac:dyDescent="0.3">
      <c r="A26" s="38"/>
      <c r="B26" s="113" t="s">
        <v>173</v>
      </c>
      <c r="C26" s="65">
        <f>SUM(C13:C25)</f>
        <v>0</v>
      </c>
      <c r="D26" s="66"/>
      <c r="E26" s="67">
        <f>SUM(E13:E25)</f>
        <v>0</v>
      </c>
      <c r="F26" s="100"/>
      <c r="G26" s="65">
        <f>SUM(G13:G25)</f>
        <v>0</v>
      </c>
      <c r="H26" s="66"/>
      <c r="I26" s="67">
        <f>SUM(I13:I25)</f>
        <v>0</v>
      </c>
      <c r="J26" s="100"/>
      <c r="K26" s="100"/>
      <c r="L26" s="113" t="s">
        <v>173</v>
      </c>
      <c r="M26" s="65">
        <f>SUM(M13:M25)</f>
        <v>0</v>
      </c>
      <c r="N26" s="66"/>
      <c r="O26" s="67">
        <f>SUM(O13:O25)</f>
        <v>0</v>
      </c>
      <c r="P26" s="100"/>
      <c r="Q26" s="65">
        <f>SUM(Q13:Q25)</f>
        <v>0</v>
      </c>
      <c r="R26" s="66"/>
      <c r="S26" s="67">
        <f>SUM(S13:S25)</f>
        <v>0</v>
      </c>
      <c r="T26" s="100"/>
      <c r="U26" s="65">
        <f>SUM(U13:U25)</f>
        <v>0</v>
      </c>
      <c r="V26" s="66"/>
      <c r="W26" s="67">
        <f>SUM(W13:W25)</f>
        <v>0</v>
      </c>
    </row>
    <row r="27" spans="1:23" x14ac:dyDescent="0.25">
      <c r="A27" s="38"/>
      <c r="B27" s="68"/>
      <c r="C27" s="56" t="s">
        <v>174</v>
      </c>
      <c r="D27" s="57" t="s">
        <v>172</v>
      </c>
      <c r="E27" s="58" t="s">
        <v>10</v>
      </c>
      <c r="F27" s="101"/>
      <c r="G27" s="56" t="s">
        <v>174</v>
      </c>
      <c r="H27" s="57" t="s">
        <v>172</v>
      </c>
      <c r="I27" s="58" t="s">
        <v>10</v>
      </c>
      <c r="J27" s="101"/>
      <c r="K27" s="101"/>
      <c r="L27" s="68"/>
      <c r="M27" s="56" t="s">
        <v>174</v>
      </c>
      <c r="N27" s="57" t="s">
        <v>172</v>
      </c>
      <c r="O27" s="58" t="s">
        <v>10</v>
      </c>
      <c r="P27" s="101"/>
      <c r="Q27" s="56" t="s">
        <v>174</v>
      </c>
      <c r="R27" s="57" t="s">
        <v>172</v>
      </c>
      <c r="S27" s="58" t="s">
        <v>10</v>
      </c>
      <c r="T27" s="101"/>
      <c r="U27" s="56" t="s">
        <v>174</v>
      </c>
      <c r="V27" s="57" t="s">
        <v>172</v>
      </c>
      <c r="W27" s="58" t="s">
        <v>10</v>
      </c>
    </row>
    <row r="28" spans="1:23" x14ac:dyDescent="0.25">
      <c r="A28" s="38"/>
      <c r="B28" s="51" t="s">
        <v>160</v>
      </c>
      <c r="C28" s="69">
        <f>+E26</f>
        <v>0</v>
      </c>
      <c r="D28" s="70">
        <v>0</v>
      </c>
      <c r="E28" s="71">
        <f>+C28*D28</f>
        <v>0</v>
      </c>
      <c r="F28" s="100"/>
      <c r="G28" s="69">
        <f>+I26</f>
        <v>0</v>
      </c>
      <c r="H28" s="70">
        <v>0</v>
      </c>
      <c r="I28" s="71">
        <f>+G28*H28</f>
        <v>0</v>
      </c>
      <c r="J28" s="100"/>
      <c r="K28" s="100"/>
      <c r="L28" s="51" t="s">
        <v>269</v>
      </c>
      <c r="M28" s="69">
        <f>+O26</f>
        <v>0</v>
      </c>
      <c r="N28" s="70">
        <v>0</v>
      </c>
      <c r="O28" s="71">
        <f>+M28*N28</f>
        <v>0</v>
      </c>
      <c r="P28" s="100"/>
      <c r="Q28" s="69">
        <f>+S26</f>
        <v>0</v>
      </c>
      <c r="R28" s="70">
        <v>0</v>
      </c>
      <c r="S28" s="71">
        <f>+Q28*R28</f>
        <v>0</v>
      </c>
      <c r="T28" s="100"/>
      <c r="U28" s="69">
        <f>+W26</f>
        <v>0</v>
      </c>
      <c r="V28" s="70">
        <v>0</v>
      </c>
      <c r="W28" s="71">
        <f>+U28*V28</f>
        <v>0</v>
      </c>
    </row>
    <row r="29" spans="1:23" x14ac:dyDescent="0.25">
      <c r="A29" s="38"/>
      <c r="B29" s="51" t="s">
        <v>161</v>
      </c>
      <c r="C29" s="69">
        <f>+C28+E28</f>
        <v>0</v>
      </c>
      <c r="D29" s="70">
        <v>0</v>
      </c>
      <c r="E29" s="71">
        <f>+C29*D29</f>
        <v>0</v>
      </c>
      <c r="F29" s="100"/>
      <c r="G29" s="69">
        <f>+G28+I28</f>
        <v>0</v>
      </c>
      <c r="H29" s="70">
        <v>0</v>
      </c>
      <c r="I29" s="71">
        <f>+G29*H29</f>
        <v>0</v>
      </c>
      <c r="J29" s="100"/>
      <c r="K29" s="100"/>
      <c r="L29" s="51" t="s">
        <v>161</v>
      </c>
      <c r="M29" s="69">
        <f>+M28+O28</f>
        <v>0</v>
      </c>
      <c r="N29" s="70">
        <v>0</v>
      </c>
      <c r="O29" s="71">
        <f>+M29*N29</f>
        <v>0</v>
      </c>
      <c r="P29" s="100"/>
      <c r="Q29" s="69">
        <f>+Q28+S28</f>
        <v>0</v>
      </c>
      <c r="R29" s="70">
        <v>0</v>
      </c>
      <c r="S29" s="71">
        <f>+Q29*R29</f>
        <v>0</v>
      </c>
      <c r="T29" s="100"/>
      <c r="U29" s="69">
        <f>+U28+W28</f>
        <v>0</v>
      </c>
      <c r="V29" s="70">
        <v>0</v>
      </c>
      <c r="W29" s="71">
        <f>+U29*V29</f>
        <v>0</v>
      </c>
    </row>
    <row r="30" spans="1:23" x14ac:dyDescent="0.25">
      <c r="A30" s="38"/>
      <c r="B30" s="51" t="s">
        <v>162</v>
      </c>
      <c r="C30" s="69">
        <f>+C29+E29</f>
        <v>0</v>
      </c>
      <c r="D30" s="70">
        <v>0</v>
      </c>
      <c r="E30" s="71">
        <f>+C30*D30</f>
        <v>0</v>
      </c>
      <c r="F30" s="100"/>
      <c r="G30" s="69">
        <f>+G29+I29</f>
        <v>0</v>
      </c>
      <c r="H30" s="70">
        <v>0</v>
      </c>
      <c r="I30" s="71">
        <f>+G30*H30</f>
        <v>0</v>
      </c>
      <c r="J30" s="100"/>
      <c r="K30" s="100"/>
      <c r="L30" s="51" t="s">
        <v>162</v>
      </c>
      <c r="M30" s="69">
        <f>+M29+O29</f>
        <v>0</v>
      </c>
      <c r="N30" s="70">
        <v>0</v>
      </c>
      <c r="O30" s="71">
        <f>+M30*N30</f>
        <v>0</v>
      </c>
      <c r="P30" s="100"/>
      <c r="Q30" s="69">
        <f>+Q29+S29</f>
        <v>0</v>
      </c>
      <c r="R30" s="70">
        <v>0</v>
      </c>
      <c r="S30" s="71">
        <f>+Q30*R30</f>
        <v>0</v>
      </c>
      <c r="T30" s="100"/>
      <c r="U30" s="69">
        <f>+U29+W29</f>
        <v>0</v>
      </c>
      <c r="V30" s="70">
        <v>0</v>
      </c>
      <c r="W30" s="71">
        <f>+U30*V30</f>
        <v>0</v>
      </c>
    </row>
    <row r="31" spans="1:23" x14ac:dyDescent="0.25">
      <c r="A31" s="38"/>
      <c r="B31" s="51" t="s">
        <v>163</v>
      </c>
      <c r="C31" s="69">
        <f>+C28</f>
        <v>0</v>
      </c>
      <c r="D31" s="70">
        <v>0</v>
      </c>
      <c r="E31" s="71">
        <f>+C31*D31</f>
        <v>0</v>
      </c>
      <c r="F31" s="100"/>
      <c r="G31" s="69">
        <f>+G28</f>
        <v>0</v>
      </c>
      <c r="H31" s="70">
        <v>0</v>
      </c>
      <c r="I31" s="71">
        <f>+G31*H31</f>
        <v>0</v>
      </c>
      <c r="J31" s="100"/>
      <c r="K31" s="100"/>
      <c r="L31" s="51" t="s">
        <v>163</v>
      </c>
      <c r="M31" s="69">
        <f>+M28</f>
        <v>0</v>
      </c>
      <c r="N31" s="70">
        <v>0</v>
      </c>
      <c r="O31" s="71">
        <f>+M31*N31</f>
        <v>0</v>
      </c>
      <c r="P31" s="100"/>
      <c r="Q31" s="69">
        <f>+Q28</f>
        <v>0</v>
      </c>
      <c r="R31" s="70">
        <v>0</v>
      </c>
      <c r="S31" s="71">
        <f>+Q31*R31</f>
        <v>0</v>
      </c>
      <c r="T31" s="100"/>
      <c r="U31" s="69">
        <f>+U28</f>
        <v>0</v>
      </c>
      <c r="V31" s="70">
        <v>0</v>
      </c>
      <c r="W31" s="71">
        <f>+U31*V31</f>
        <v>0</v>
      </c>
    </row>
    <row r="32" spans="1:23" x14ac:dyDescent="0.25">
      <c r="A32" s="38"/>
      <c r="B32" s="51" t="s">
        <v>164</v>
      </c>
      <c r="C32" s="69">
        <f>+C30+E30</f>
        <v>0</v>
      </c>
      <c r="D32" s="70">
        <v>0</v>
      </c>
      <c r="E32" s="71">
        <f>+C32*D32</f>
        <v>0</v>
      </c>
      <c r="F32" s="100"/>
      <c r="G32" s="69">
        <f>+G30+I30</f>
        <v>0</v>
      </c>
      <c r="H32" s="70">
        <v>0</v>
      </c>
      <c r="I32" s="71">
        <f>+G32*H32</f>
        <v>0</v>
      </c>
      <c r="J32" s="100"/>
      <c r="K32" s="100"/>
      <c r="L32" s="51" t="s">
        <v>164</v>
      </c>
      <c r="M32" s="69">
        <f>+M30+O30</f>
        <v>0</v>
      </c>
      <c r="N32" s="70">
        <v>0</v>
      </c>
      <c r="O32" s="71">
        <f>+M32*N32</f>
        <v>0</v>
      </c>
      <c r="P32" s="100"/>
      <c r="Q32" s="69">
        <f>+Q30+S30</f>
        <v>0</v>
      </c>
      <c r="R32" s="70">
        <v>0</v>
      </c>
      <c r="S32" s="71">
        <f>+Q32*R32</f>
        <v>0</v>
      </c>
      <c r="T32" s="100"/>
      <c r="U32" s="69">
        <f>+U30+W30</f>
        <v>0</v>
      </c>
      <c r="V32" s="70">
        <v>0</v>
      </c>
      <c r="W32" s="71">
        <f>+U32*V32</f>
        <v>0</v>
      </c>
    </row>
    <row r="33" spans="1:23" x14ac:dyDescent="0.25">
      <c r="A33" s="38"/>
      <c r="B33" s="51" t="s">
        <v>175</v>
      </c>
      <c r="C33" s="72"/>
      <c r="D33" s="73"/>
      <c r="E33" s="71">
        <f>+SUM(E26,E28,E29,E30)</f>
        <v>0</v>
      </c>
      <c r="F33" s="100"/>
      <c r="G33" s="72"/>
      <c r="H33" s="73"/>
      <c r="I33" s="71">
        <f>+SUM(I26,I28,I29,I30)</f>
        <v>0</v>
      </c>
      <c r="J33" s="100"/>
      <c r="K33" s="100"/>
      <c r="L33" s="51" t="s">
        <v>270</v>
      </c>
      <c r="M33" s="72"/>
      <c r="N33" s="73"/>
      <c r="O33" s="71">
        <f>+SUM(O26,O28,O29,O30)</f>
        <v>0</v>
      </c>
      <c r="P33" s="100"/>
      <c r="Q33" s="72"/>
      <c r="R33" s="73"/>
      <c r="S33" s="71">
        <f>+SUM(S26,S28,S29,S30)</f>
        <v>0</v>
      </c>
      <c r="T33" s="100"/>
      <c r="U33" s="72"/>
      <c r="V33" s="73"/>
      <c r="W33" s="71">
        <f>+SUM(W26,W28,W29,W30)</f>
        <v>0</v>
      </c>
    </row>
    <row r="34" spans="1:23" x14ac:dyDescent="0.25">
      <c r="A34" s="38"/>
      <c r="B34" s="51" t="s">
        <v>176</v>
      </c>
      <c r="C34" s="72"/>
      <c r="D34" s="73"/>
      <c r="E34" s="71">
        <f>+E31</f>
        <v>0</v>
      </c>
      <c r="F34" s="100"/>
      <c r="G34" s="72"/>
      <c r="H34" s="73"/>
      <c r="I34" s="71">
        <f>+I31</f>
        <v>0</v>
      </c>
      <c r="J34" s="100"/>
      <c r="K34" s="100"/>
      <c r="L34" s="51" t="s">
        <v>271</v>
      </c>
      <c r="M34" s="72"/>
      <c r="N34" s="73"/>
      <c r="O34" s="71">
        <f>+O31</f>
        <v>0</v>
      </c>
      <c r="P34" s="100"/>
      <c r="Q34" s="72"/>
      <c r="R34" s="73"/>
      <c r="S34" s="71">
        <f>+S31</f>
        <v>0</v>
      </c>
      <c r="T34" s="100"/>
      <c r="U34" s="72"/>
      <c r="V34" s="73"/>
      <c r="W34" s="71">
        <f>+W31</f>
        <v>0</v>
      </c>
    </row>
    <row r="35" spans="1:23" x14ac:dyDescent="0.25">
      <c r="A35" s="38"/>
      <c r="B35" s="51" t="s">
        <v>177</v>
      </c>
      <c r="C35" s="72"/>
      <c r="D35" s="73"/>
      <c r="E35" s="74">
        <f>+E32</f>
        <v>0</v>
      </c>
      <c r="F35" s="102"/>
      <c r="G35" s="72"/>
      <c r="H35" s="73"/>
      <c r="I35" s="74">
        <f>+I32</f>
        <v>0</v>
      </c>
      <c r="J35" s="102"/>
      <c r="K35" s="102"/>
      <c r="L35" s="51" t="s">
        <v>272</v>
      </c>
      <c r="M35" s="72"/>
      <c r="N35" s="73"/>
      <c r="O35" s="74">
        <f>+O32</f>
        <v>0</v>
      </c>
      <c r="P35" s="102"/>
      <c r="Q35" s="72"/>
      <c r="R35" s="73"/>
      <c r="S35" s="74">
        <f>+S32</f>
        <v>0</v>
      </c>
      <c r="T35" s="102"/>
      <c r="U35" s="72"/>
      <c r="V35" s="73"/>
      <c r="W35" s="74">
        <f>+W32</f>
        <v>0</v>
      </c>
    </row>
    <row r="36" spans="1:23" ht="16.5" thickBot="1" x14ac:dyDescent="0.3">
      <c r="A36" s="38"/>
      <c r="B36" s="52" t="s">
        <v>178</v>
      </c>
      <c r="C36" s="75"/>
      <c r="D36" s="76"/>
      <c r="E36" s="77">
        <f>SUM(E33:E35)</f>
        <v>0</v>
      </c>
      <c r="F36" s="103"/>
      <c r="G36" s="75"/>
      <c r="H36" s="76"/>
      <c r="I36" s="77">
        <f>SUM(I33:I35)</f>
        <v>0</v>
      </c>
      <c r="J36" s="103"/>
      <c r="K36" s="103"/>
      <c r="L36" s="52" t="s">
        <v>273</v>
      </c>
      <c r="M36" s="75"/>
      <c r="N36" s="76"/>
      <c r="O36" s="77">
        <f>SUM(O33:O35)</f>
        <v>0</v>
      </c>
      <c r="P36" s="103"/>
      <c r="Q36" s="75"/>
      <c r="R36" s="76"/>
      <c r="S36" s="77">
        <f>SUM(S33:S35)</f>
        <v>0</v>
      </c>
      <c r="T36" s="103"/>
      <c r="U36" s="75"/>
      <c r="V36" s="76"/>
      <c r="W36" s="77">
        <f>SUM(W33:W35)</f>
        <v>0</v>
      </c>
    </row>
    <row r="37" spans="1:23" x14ac:dyDescent="0.25">
      <c r="A37" s="38"/>
      <c r="B37" s="41"/>
      <c r="C37" s="78"/>
      <c r="D37" s="78"/>
      <c r="E37" s="78"/>
      <c r="F37" s="104"/>
      <c r="G37" s="78"/>
      <c r="H37" s="78"/>
      <c r="I37" s="78"/>
      <c r="J37" s="104"/>
      <c r="K37" s="104"/>
      <c r="L37" s="41"/>
      <c r="M37" s="78"/>
      <c r="N37" s="78"/>
      <c r="O37" s="78"/>
      <c r="P37" s="104"/>
      <c r="Q37" s="78"/>
      <c r="R37" s="78"/>
      <c r="S37" s="78"/>
      <c r="T37" s="104"/>
      <c r="U37" s="78"/>
      <c r="V37" s="78"/>
      <c r="W37" s="78"/>
    </row>
    <row r="38" spans="1:23" ht="16.5" thickBot="1" x14ac:dyDescent="0.3">
      <c r="A38" s="38"/>
      <c r="C38" s="37"/>
      <c r="D38" s="37"/>
      <c r="E38" s="37"/>
      <c r="F38" s="105"/>
      <c r="G38" s="37"/>
      <c r="H38" s="37"/>
      <c r="I38" s="37"/>
      <c r="J38" s="105"/>
      <c r="K38" s="105"/>
      <c r="L38" s="37"/>
      <c r="M38" s="37"/>
      <c r="N38" s="37"/>
      <c r="O38" s="37"/>
      <c r="P38" s="105"/>
      <c r="Q38" s="37"/>
      <c r="R38" s="37"/>
      <c r="S38" s="37"/>
      <c r="T38" s="105"/>
      <c r="U38" s="37"/>
      <c r="V38" s="37"/>
      <c r="W38" s="37"/>
    </row>
    <row r="39" spans="1:23" ht="16.5" thickBot="1" x14ac:dyDescent="0.3">
      <c r="A39" s="38"/>
      <c r="B39" s="189" t="str">
        <f>B10</f>
        <v xml:space="preserve">CLINs 0002 &amp; 1002: CPFF </v>
      </c>
      <c r="C39" s="186" t="s">
        <v>179</v>
      </c>
      <c r="D39" s="187"/>
      <c r="E39" s="188"/>
      <c r="F39" s="106"/>
      <c r="G39" s="186" t="s">
        <v>179</v>
      </c>
      <c r="H39" s="187"/>
      <c r="I39" s="188"/>
      <c r="J39" s="106"/>
      <c r="K39" s="106"/>
      <c r="L39" s="149"/>
      <c r="M39" s="186" t="s">
        <v>179</v>
      </c>
      <c r="N39" s="187"/>
      <c r="O39" s="188"/>
      <c r="P39" s="106"/>
      <c r="Q39" s="186" t="s">
        <v>179</v>
      </c>
      <c r="R39" s="187"/>
      <c r="S39" s="188"/>
      <c r="T39" s="106"/>
      <c r="U39" s="186" t="s">
        <v>179</v>
      </c>
      <c r="V39" s="187"/>
      <c r="W39" s="188"/>
    </row>
    <row r="40" spans="1:23" ht="16.5" thickBot="1" x14ac:dyDescent="0.3">
      <c r="A40" s="38"/>
      <c r="B40" s="190"/>
      <c r="C40" s="129" t="str">
        <f>C11</f>
        <v>0002: F-15 O-Level Handheld/Pre-load  Tester Prototype design and digital development - Basic Period</v>
      </c>
      <c r="D40" s="130"/>
      <c r="E40" s="131"/>
      <c r="F40" s="107"/>
      <c r="G40" s="132" t="str">
        <f>G11</f>
        <v>1002: F-15 O-Level Handheld/Pre-load Tester EMD - Option Period 1</v>
      </c>
      <c r="H40" s="133"/>
      <c r="I40" s="134"/>
      <c r="J40" s="107"/>
      <c r="K40" s="107"/>
      <c r="L40" s="150"/>
      <c r="M40" s="132" t="str">
        <f>M11</f>
        <v>2002: A-10 O-Level Handheld/Pre-load Tester EMD - Option Period 2</v>
      </c>
      <c r="N40" s="133"/>
      <c r="O40" s="134"/>
      <c r="P40" s="107"/>
      <c r="Q40" s="132" t="str">
        <f>Q11</f>
        <v>3002: F-16 I-Level Fault Isolation Tester EMD - Option Period 3</v>
      </c>
      <c r="R40" s="133"/>
      <c r="S40" s="134"/>
      <c r="T40" s="107"/>
      <c r="U40" s="132" t="str">
        <f>U11</f>
        <v>4002: A-10 I-Level Fault Isolation Tester EMD - Option Period 4</v>
      </c>
      <c r="V40" s="133"/>
      <c r="W40" s="134"/>
    </row>
    <row r="41" spans="1:23" x14ac:dyDescent="0.25">
      <c r="A41" s="38"/>
      <c r="B41" s="79"/>
      <c r="C41" s="56" t="s">
        <v>174</v>
      </c>
      <c r="D41" s="57" t="s">
        <v>172</v>
      </c>
      <c r="E41" s="58" t="s">
        <v>10</v>
      </c>
      <c r="F41" s="101"/>
      <c r="G41" s="56" t="s">
        <v>174</v>
      </c>
      <c r="H41" s="57" t="s">
        <v>172</v>
      </c>
      <c r="I41" s="58" t="s">
        <v>10</v>
      </c>
      <c r="J41" s="101"/>
      <c r="K41" s="101"/>
      <c r="L41" s="79"/>
      <c r="M41" s="56" t="s">
        <v>174</v>
      </c>
      <c r="N41" s="57" t="s">
        <v>172</v>
      </c>
      <c r="O41" s="58" t="s">
        <v>10</v>
      </c>
      <c r="P41" s="101"/>
      <c r="Q41" s="56" t="s">
        <v>174</v>
      </c>
      <c r="R41" s="57" t="s">
        <v>172</v>
      </c>
      <c r="S41" s="58" t="s">
        <v>10</v>
      </c>
      <c r="T41" s="101"/>
      <c r="U41" s="56" t="s">
        <v>174</v>
      </c>
      <c r="V41" s="57" t="s">
        <v>172</v>
      </c>
      <c r="W41" s="58" t="s">
        <v>10</v>
      </c>
    </row>
    <row r="42" spans="1:23" x14ac:dyDescent="0.25">
      <c r="A42" s="38"/>
      <c r="B42" s="80" t="s">
        <v>180</v>
      </c>
      <c r="C42" s="81"/>
      <c r="D42" s="82"/>
      <c r="E42" s="83"/>
      <c r="F42" s="100"/>
      <c r="G42" s="81"/>
      <c r="H42" s="82"/>
      <c r="I42" s="83"/>
      <c r="J42" s="100"/>
      <c r="K42" s="100"/>
      <c r="L42" s="80" t="s">
        <v>180</v>
      </c>
      <c r="M42" s="81"/>
      <c r="N42" s="82"/>
      <c r="O42" s="83"/>
      <c r="P42" s="100"/>
      <c r="Q42" s="81"/>
      <c r="R42" s="82"/>
      <c r="S42" s="83"/>
      <c r="T42" s="100"/>
      <c r="U42" s="81"/>
      <c r="V42" s="82"/>
      <c r="W42" s="83"/>
    </row>
    <row r="43" spans="1:23" x14ac:dyDescent="0.25">
      <c r="A43" s="38"/>
      <c r="B43" s="51" t="s">
        <v>161</v>
      </c>
      <c r="C43" s="69">
        <f>+E42</f>
        <v>0</v>
      </c>
      <c r="D43" s="70">
        <v>0</v>
      </c>
      <c r="E43" s="71">
        <f>+C43*D43</f>
        <v>0</v>
      </c>
      <c r="F43" s="108"/>
      <c r="G43" s="69">
        <f>+I42</f>
        <v>0</v>
      </c>
      <c r="H43" s="70">
        <v>0</v>
      </c>
      <c r="I43" s="71">
        <f>+G43*H43</f>
        <v>0</v>
      </c>
      <c r="J43" s="108"/>
      <c r="K43" s="108"/>
      <c r="L43" s="51" t="s">
        <v>161</v>
      </c>
      <c r="M43" s="69">
        <f>+O42</f>
        <v>0</v>
      </c>
      <c r="N43" s="70">
        <v>0</v>
      </c>
      <c r="O43" s="71">
        <f>+M43*N43</f>
        <v>0</v>
      </c>
      <c r="P43" s="108"/>
      <c r="Q43" s="69">
        <f>+S42</f>
        <v>0</v>
      </c>
      <c r="R43" s="70">
        <v>0</v>
      </c>
      <c r="S43" s="71">
        <f>+Q43*R43</f>
        <v>0</v>
      </c>
      <c r="T43" s="108"/>
      <c r="U43" s="69">
        <f>+W42</f>
        <v>0</v>
      </c>
      <c r="V43" s="70">
        <v>0</v>
      </c>
      <c r="W43" s="71">
        <f>+U43*V43</f>
        <v>0</v>
      </c>
    </row>
    <row r="44" spans="1:23" x14ac:dyDescent="0.25">
      <c r="A44" s="38"/>
      <c r="B44" s="51" t="s">
        <v>162</v>
      </c>
      <c r="C44" s="69">
        <f>+C43+E43</f>
        <v>0</v>
      </c>
      <c r="D44" s="70">
        <v>0</v>
      </c>
      <c r="E44" s="71">
        <f>+C44*D44</f>
        <v>0</v>
      </c>
      <c r="F44" s="108"/>
      <c r="G44" s="69">
        <f>+G43+I43</f>
        <v>0</v>
      </c>
      <c r="H44" s="70">
        <v>0</v>
      </c>
      <c r="I44" s="71">
        <f>+G44*H44</f>
        <v>0</v>
      </c>
      <c r="J44" s="108"/>
      <c r="K44" s="108"/>
      <c r="L44" s="51" t="s">
        <v>162</v>
      </c>
      <c r="M44" s="69">
        <f>+M43+O43</f>
        <v>0</v>
      </c>
      <c r="N44" s="70">
        <v>0</v>
      </c>
      <c r="O44" s="71">
        <f>+M44*N44</f>
        <v>0</v>
      </c>
      <c r="P44" s="108"/>
      <c r="Q44" s="69">
        <f>+Q43+S43</f>
        <v>0</v>
      </c>
      <c r="R44" s="70">
        <v>0</v>
      </c>
      <c r="S44" s="71">
        <f>+Q44*R44</f>
        <v>0</v>
      </c>
      <c r="T44" s="108"/>
      <c r="U44" s="69">
        <f>+U43+W43</f>
        <v>0</v>
      </c>
      <c r="V44" s="70">
        <v>0</v>
      </c>
      <c r="W44" s="71">
        <f>+U44*V44</f>
        <v>0</v>
      </c>
    </row>
    <row r="45" spans="1:23" x14ac:dyDescent="0.25">
      <c r="A45" s="38"/>
      <c r="B45" s="51" t="s">
        <v>163</v>
      </c>
      <c r="C45" s="69">
        <f>+C43</f>
        <v>0</v>
      </c>
      <c r="D45" s="70">
        <v>0</v>
      </c>
      <c r="E45" s="71">
        <f>+C45*D45</f>
        <v>0</v>
      </c>
      <c r="F45" s="100"/>
      <c r="G45" s="69">
        <f>+G43</f>
        <v>0</v>
      </c>
      <c r="H45" s="70">
        <v>0</v>
      </c>
      <c r="I45" s="71">
        <f>+G45*H45</f>
        <v>0</v>
      </c>
      <c r="J45" s="100"/>
      <c r="K45" s="100"/>
      <c r="L45" s="51" t="s">
        <v>163</v>
      </c>
      <c r="M45" s="69">
        <f>+M43</f>
        <v>0</v>
      </c>
      <c r="N45" s="70">
        <v>0</v>
      </c>
      <c r="O45" s="71">
        <f>+M45*N45</f>
        <v>0</v>
      </c>
      <c r="P45" s="100"/>
      <c r="Q45" s="69">
        <f>+Q43</f>
        <v>0</v>
      </c>
      <c r="R45" s="70">
        <v>0</v>
      </c>
      <c r="S45" s="71">
        <f>+Q45*R45</f>
        <v>0</v>
      </c>
      <c r="T45" s="100"/>
      <c r="U45" s="69">
        <f>+U43</f>
        <v>0</v>
      </c>
      <c r="V45" s="70">
        <v>0</v>
      </c>
      <c r="W45" s="71">
        <f>+U45*V45</f>
        <v>0</v>
      </c>
    </row>
    <row r="46" spans="1:23" x14ac:dyDescent="0.25">
      <c r="A46" s="38"/>
      <c r="B46" s="51" t="s">
        <v>164</v>
      </c>
      <c r="C46" s="69">
        <f>+C44+E44</f>
        <v>0</v>
      </c>
      <c r="D46" s="70">
        <v>0</v>
      </c>
      <c r="E46" s="71">
        <f>+C46*D46</f>
        <v>0</v>
      </c>
      <c r="F46" s="100"/>
      <c r="G46" s="69">
        <f>+G44+I44</f>
        <v>0</v>
      </c>
      <c r="H46" s="70">
        <v>0</v>
      </c>
      <c r="I46" s="71">
        <f>+G46*H46</f>
        <v>0</v>
      </c>
      <c r="J46" s="100"/>
      <c r="K46" s="100"/>
      <c r="L46" s="51" t="s">
        <v>164</v>
      </c>
      <c r="M46" s="69">
        <f>+M44+O44</f>
        <v>0</v>
      </c>
      <c r="N46" s="70">
        <v>0</v>
      </c>
      <c r="O46" s="71">
        <f>+M46*N46</f>
        <v>0</v>
      </c>
      <c r="P46" s="100"/>
      <c r="Q46" s="69">
        <f>+Q44+S44</f>
        <v>0</v>
      </c>
      <c r="R46" s="70">
        <v>0</v>
      </c>
      <c r="S46" s="71">
        <f>+Q46*R46</f>
        <v>0</v>
      </c>
      <c r="T46" s="100"/>
      <c r="U46" s="69">
        <f>+U44+W44</f>
        <v>0</v>
      </c>
      <c r="V46" s="70">
        <v>0</v>
      </c>
      <c r="W46" s="71">
        <f>+U46*V46</f>
        <v>0</v>
      </c>
    </row>
    <row r="47" spans="1:23" x14ac:dyDescent="0.25">
      <c r="A47" s="38"/>
      <c r="B47" s="51" t="s">
        <v>175</v>
      </c>
      <c r="C47" s="84"/>
      <c r="D47" s="85"/>
      <c r="E47" s="71">
        <f>+ROUND(SUM(E42:E44),0)</f>
        <v>0</v>
      </c>
      <c r="F47" s="100"/>
      <c r="G47" s="84"/>
      <c r="H47" s="85"/>
      <c r="I47" s="71">
        <f>+ROUND(SUM(I42:I44),0)</f>
        <v>0</v>
      </c>
      <c r="J47" s="100"/>
      <c r="K47" s="100"/>
      <c r="L47" s="51" t="s">
        <v>270</v>
      </c>
      <c r="M47" s="84"/>
      <c r="N47" s="85"/>
      <c r="O47" s="71">
        <f>+ROUND(SUM(O42:O44),0)</f>
        <v>0</v>
      </c>
      <c r="P47" s="100"/>
      <c r="Q47" s="84"/>
      <c r="R47" s="85"/>
      <c r="S47" s="71">
        <f>+ROUND(SUM(S42:S44),0)</f>
        <v>0</v>
      </c>
      <c r="T47" s="100"/>
      <c r="U47" s="84"/>
      <c r="V47" s="85"/>
      <c r="W47" s="71">
        <f>+ROUND(SUM(W42:W44),0)</f>
        <v>0</v>
      </c>
    </row>
    <row r="48" spans="1:23" x14ac:dyDescent="0.25">
      <c r="A48" s="38"/>
      <c r="B48" s="51" t="s">
        <v>176</v>
      </c>
      <c r="C48" s="81"/>
      <c r="D48" s="86"/>
      <c r="E48" s="71">
        <f>+ROUND(E45,0)</f>
        <v>0</v>
      </c>
      <c r="F48" s="100"/>
      <c r="G48" s="81"/>
      <c r="H48" s="86"/>
      <c r="I48" s="71">
        <f>+ROUND(I45,0)</f>
        <v>0</v>
      </c>
      <c r="J48" s="100"/>
      <c r="K48" s="100"/>
      <c r="L48" s="51" t="s">
        <v>271</v>
      </c>
      <c r="M48" s="81"/>
      <c r="N48" s="86"/>
      <c r="O48" s="71">
        <f>+ROUND(O45,0)</f>
        <v>0</v>
      </c>
      <c r="P48" s="100"/>
      <c r="Q48" s="81"/>
      <c r="R48" s="86"/>
      <c r="S48" s="71">
        <f>+ROUND(S45,0)</f>
        <v>0</v>
      </c>
      <c r="T48" s="100"/>
      <c r="U48" s="81"/>
      <c r="V48" s="86"/>
      <c r="W48" s="71">
        <f>+ROUND(W45,0)</f>
        <v>0</v>
      </c>
    </row>
    <row r="49" spans="1:23" x14ac:dyDescent="0.25">
      <c r="B49" s="51" t="s">
        <v>177</v>
      </c>
      <c r="C49" s="81"/>
      <c r="D49" s="86"/>
      <c r="E49" s="87">
        <f>+ROUND(E46,0)</f>
        <v>0</v>
      </c>
      <c r="F49" s="109"/>
      <c r="G49" s="81"/>
      <c r="H49" s="86"/>
      <c r="I49" s="87">
        <f>+ROUND(I46,0)</f>
        <v>0</v>
      </c>
      <c r="J49" s="109"/>
      <c r="K49" s="109"/>
      <c r="L49" s="51" t="s">
        <v>272</v>
      </c>
      <c r="M49" s="81"/>
      <c r="N49" s="86"/>
      <c r="O49" s="87">
        <f>+ROUND(O46,0)</f>
        <v>0</v>
      </c>
      <c r="P49" s="109"/>
      <c r="Q49" s="81"/>
      <c r="R49" s="86"/>
      <c r="S49" s="87">
        <f>+ROUND(S46,0)</f>
        <v>0</v>
      </c>
      <c r="T49" s="109"/>
      <c r="U49" s="81"/>
      <c r="V49" s="86"/>
      <c r="W49" s="87">
        <f>+ROUND(W46,0)</f>
        <v>0</v>
      </c>
    </row>
    <row r="50" spans="1:23" ht="16.5" thickBot="1" x14ac:dyDescent="0.3">
      <c r="B50" s="52" t="s">
        <v>178</v>
      </c>
      <c r="C50" s="112"/>
      <c r="D50" s="88"/>
      <c r="E50" s="64">
        <f t="shared" ref="E50" si="5">SUM(E47:E49)</f>
        <v>0</v>
      </c>
      <c r="F50" s="99"/>
      <c r="G50" s="112"/>
      <c r="H50" s="88"/>
      <c r="I50" s="64">
        <f t="shared" ref="I50" si="6">SUM(I47:I49)</f>
        <v>0</v>
      </c>
      <c r="J50" s="99"/>
      <c r="K50" s="99"/>
      <c r="L50" s="52" t="s">
        <v>273</v>
      </c>
      <c r="M50" s="112"/>
      <c r="N50" s="88"/>
      <c r="O50" s="64">
        <f t="shared" ref="O50" si="7">SUM(O47:O49)</f>
        <v>0</v>
      </c>
      <c r="P50" s="99"/>
      <c r="Q50" s="112"/>
      <c r="R50" s="88"/>
      <c r="S50" s="64">
        <f t="shared" ref="S50" si="8">SUM(S47:S49)</f>
        <v>0</v>
      </c>
      <c r="T50" s="99"/>
      <c r="U50" s="112"/>
      <c r="V50" s="88"/>
      <c r="W50" s="64">
        <f t="shared" ref="W50" si="9">SUM(W47:W49)</f>
        <v>0</v>
      </c>
    </row>
    <row r="51" spans="1:23" ht="16.5" thickBot="1" x14ac:dyDescent="0.3">
      <c r="B51" s="41"/>
      <c r="F51" s="110"/>
      <c r="J51" s="110"/>
      <c r="K51" s="110"/>
      <c r="L51" s="41"/>
      <c r="P51" s="110"/>
      <c r="T51" s="110"/>
    </row>
    <row r="52" spans="1:23" ht="16.5" thickBot="1" x14ac:dyDescent="0.3">
      <c r="A52" s="38"/>
      <c r="B52" s="189" t="str">
        <f>B39</f>
        <v xml:space="preserve">CLINs 0002 &amp; 1002: CPFF </v>
      </c>
      <c r="C52" s="186" t="s">
        <v>181</v>
      </c>
      <c r="D52" s="187"/>
      <c r="E52" s="188"/>
      <c r="F52" s="106"/>
      <c r="G52" s="186" t="s">
        <v>181</v>
      </c>
      <c r="H52" s="187"/>
      <c r="I52" s="188"/>
      <c r="J52" s="106"/>
      <c r="K52" s="106"/>
      <c r="L52" s="149"/>
      <c r="M52" s="186" t="s">
        <v>181</v>
      </c>
      <c r="N52" s="187"/>
      <c r="O52" s="188"/>
      <c r="P52" s="106"/>
      <c r="Q52" s="186" t="s">
        <v>181</v>
      </c>
      <c r="R52" s="187"/>
      <c r="S52" s="188"/>
      <c r="T52" s="106"/>
      <c r="U52" s="186" t="s">
        <v>181</v>
      </c>
      <c r="V52" s="187"/>
      <c r="W52" s="188"/>
    </row>
    <row r="53" spans="1:23" ht="16.5" thickBot="1" x14ac:dyDescent="0.3">
      <c r="A53" s="38"/>
      <c r="B53" s="190"/>
      <c r="C53" s="129" t="str">
        <f>C40</f>
        <v>0002: F-15 O-Level Handheld/Pre-load  Tester Prototype design and digital development - Basic Period</v>
      </c>
      <c r="D53" s="130"/>
      <c r="E53" s="131"/>
      <c r="F53" s="107"/>
      <c r="G53" s="132" t="str">
        <f>G40</f>
        <v>1002: F-15 O-Level Handheld/Pre-load Tester EMD - Option Period 1</v>
      </c>
      <c r="H53" s="133"/>
      <c r="I53" s="134"/>
      <c r="J53" s="107"/>
      <c r="K53" s="107"/>
      <c r="L53" s="150"/>
      <c r="M53" s="132" t="str">
        <f>M40</f>
        <v>2002: A-10 O-Level Handheld/Pre-load Tester EMD - Option Period 2</v>
      </c>
      <c r="N53" s="133"/>
      <c r="O53" s="134"/>
      <c r="P53" s="107"/>
      <c r="Q53" s="132" t="str">
        <f>Q40</f>
        <v>3002: F-16 I-Level Fault Isolation Tester EMD - Option Period 3</v>
      </c>
      <c r="R53" s="133"/>
      <c r="S53" s="134"/>
      <c r="T53" s="107"/>
      <c r="U53" s="132" t="str">
        <f>U40</f>
        <v>4002: A-10 I-Level Fault Isolation Tester EMD - Option Period 4</v>
      </c>
      <c r="V53" s="133"/>
      <c r="W53" s="134"/>
    </row>
    <row r="54" spans="1:23" x14ac:dyDescent="0.25">
      <c r="A54" s="38"/>
      <c r="B54" s="79"/>
      <c r="C54" s="56" t="s">
        <v>174</v>
      </c>
      <c r="D54" s="57" t="s">
        <v>172</v>
      </c>
      <c r="E54" s="58" t="s">
        <v>10</v>
      </c>
      <c r="F54" s="101"/>
      <c r="G54" s="56" t="s">
        <v>174</v>
      </c>
      <c r="H54" s="57" t="s">
        <v>172</v>
      </c>
      <c r="I54" s="58" t="s">
        <v>10</v>
      </c>
      <c r="J54" s="101"/>
      <c r="K54" s="101"/>
      <c r="L54" s="79"/>
      <c r="M54" s="56" t="s">
        <v>174</v>
      </c>
      <c r="N54" s="57" t="s">
        <v>172</v>
      </c>
      <c r="O54" s="58" t="s">
        <v>10</v>
      </c>
      <c r="P54" s="101"/>
      <c r="Q54" s="56" t="s">
        <v>174</v>
      </c>
      <c r="R54" s="57" t="s">
        <v>172</v>
      </c>
      <c r="S54" s="58" t="s">
        <v>10</v>
      </c>
      <c r="T54" s="101"/>
      <c r="U54" s="56" t="s">
        <v>174</v>
      </c>
      <c r="V54" s="57" t="s">
        <v>172</v>
      </c>
      <c r="W54" s="58" t="s">
        <v>10</v>
      </c>
    </row>
    <row r="55" spans="1:23" x14ac:dyDescent="0.25">
      <c r="A55" s="38"/>
      <c r="B55" s="80" t="s">
        <v>182</v>
      </c>
      <c r="C55" s="81"/>
      <c r="D55" s="82"/>
      <c r="E55" s="83"/>
      <c r="F55" s="100"/>
      <c r="G55" s="81"/>
      <c r="H55" s="82"/>
      <c r="I55" s="83"/>
      <c r="J55" s="100"/>
      <c r="K55" s="100"/>
      <c r="L55" s="80" t="s">
        <v>182</v>
      </c>
      <c r="M55" s="81"/>
      <c r="N55" s="82"/>
      <c r="O55" s="83"/>
      <c r="P55" s="100"/>
      <c r="Q55" s="81"/>
      <c r="R55" s="82"/>
      <c r="S55" s="83"/>
      <c r="T55" s="100"/>
      <c r="U55" s="81"/>
      <c r="V55" s="82"/>
      <c r="W55" s="83"/>
    </row>
    <row r="56" spans="1:23" x14ac:dyDescent="0.25">
      <c r="A56" s="38"/>
      <c r="B56" s="51" t="s">
        <v>161</v>
      </c>
      <c r="C56" s="69">
        <f>+E55</f>
        <v>0</v>
      </c>
      <c r="D56" s="70">
        <v>0</v>
      </c>
      <c r="E56" s="71">
        <f>+C56*D56</f>
        <v>0</v>
      </c>
      <c r="F56" s="108"/>
      <c r="G56" s="69">
        <f>+I55</f>
        <v>0</v>
      </c>
      <c r="H56" s="70">
        <v>0</v>
      </c>
      <c r="I56" s="71">
        <f>+G56*H56</f>
        <v>0</v>
      </c>
      <c r="J56" s="108"/>
      <c r="K56" s="108"/>
      <c r="L56" s="51" t="s">
        <v>161</v>
      </c>
      <c r="M56" s="69">
        <f>+O55</f>
        <v>0</v>
      </c>
      <c r="N56" s="70">
        <v>0</v>
      </c>
      <c r="O56" s="71">
        <f>+M56*N56</f>
        <v>0</v>
      </c>
      <c r="P56" s="108"/>
      <c r="Q56" s="69">
        <f>+S55</f>
        <v>0</v>
      </c>
      <c r="R56" s="70">
        <v>0</v>
      </c>
      <c r="S56" s="71">
        <f>+Q56*R56</f>
        <v>0</v>
      </c>
      <c r="T56" s="108"/>
      <c r="U56" s="69">
        <f>+W55</f>
        <v>0</v>
      </c>
      <c r="V56" s="70">
        <v>0</v>
      </c>
      <c r="W56" s="71">
        <f>+U56*V56</f>
        <v>0</v>
      </c>
    </row>
    <row r="57" spans="1:23" x14ac:dyDescent="0.25">
      <c r="A57" s="38"/>
      <c r="B57" s="51" t="s">
        <v>162</v>
      </c>
      <c r="C57" s="69">
        <f>+C56+E56</f>
        <v>0</v>
      </c>
      <c r="D57" s="70">
        <v>0</v>
      </c>
      <c r="E57" s="71">
        <f>+C57*D57</f>
        <v>0</v>
      </c>
      <c r="F57" s="108"/>
      <c r="G57" s="69">
        <f>+G56+I56</f>
        <v>0</v>
      </c>
      <c r="H57" s="70">
        <v>0</v>
      </c>
      <c r="I57" s="71">
        <f>+G57*H57</f>
        <v>0</v>
      </c>
      <c r="J57" s="108"/>
      <c r="K57" s="108"/>
      <c r="L57" s="51" t="s">
        <v>162</v>
      </c>
      <c r="M57" s="69">
        <f>+M56+O56</f>
        <v>0</v>
      </c>
      <c r="N57" s="70">
        <v>0</v>
      </c>
      <c r="O57" s="71">
        <f>+M57*N57</f>
        <v>0</v>
      </c>
      <c r="P57" s="108"/>
      <c r="Q57" s="69">
        <f>+Q56+S56</f>
        <v>0</v>
      </c>
      <c r="R57" s="70">
        <v>0</v>
      </c>
      <c r="S57" s="71">
        <f>+Q57*R57</f>
        <v>0</v>
      </c>
      <c r="T57" s="108"/>
      <c r="U57" s="69">
        <f>+U56+W56</f>
        <v>0</v>
      </c>
      <c r="V57" s="70">
        <v>0</v>
      </c>
      <c r="W57" s="71">
        <f>+U57*V57</f>
        <v>0</v>
      </c>
    </row>
    <row r="58" spans="1:23" x14ac:dyDescent="0.25">
      <c r="A58" s="38"/>
      <c r="B58" s="51" t="s">
        <v>163</v>
      </c>
      <c r="C58" s="69">
        <f>+C56</f>
        <v>0</v>
      </c>
      <c r="D58" s="70">
        <v>0</v>
      </c>
      <c r="E58" s="71">
        <f>+C58*D58</f>
        <v>0</v>
      </c>
      <c r="F58" s="100"/>
      <c r="G58" s="69">
        <f>+G56</f>
        <v>0</v>
      </c>
      <c r="H58" s="70">
        <v>0</v>
      </c>
      <c r="I58" s="71">
        <f>+G58*H58</f>
        <v>0</v>
      </c>
      <c r="J58" s="100"/>
      <c r="K58" s="100"/>
      <c r="L58" s="51" t="s">
        <v>163</v>
      </c>
      <c r="M58" s="69">
        <f>+M56</f>
        <v>0</v>
      </c>
      <c r="N58" s="70">
        <v>0</v>
      </c>
      <c r="O58" s="71">
        <f>+M58*N58</f>
        <v>0</v>
      </c>
      <c r="P58" s="100"/>
      <c r="Q58" s="69">
        <f>+Q56</f>
        <v>0</v>
      </c>
      <c r="R58" s="70">
        <v>0</v>
      </c>
      <c r="S58" s="71">
        <f>+Q58*R58</f>
        <v>0</v>
      </c>
      <c r="T58" s="100"/>
      <c r="U58" s="69">
        <f>+U56</f>
        <v>0</v>
      </c>
      <c r="V58" s="70">
        <v>0</v>
      </c>
      <c r="W58" s="71">
        <f>+U58*V58</f>
        <v>0</v>
      </c>
    </row>
    <row r="59" spans="1:23" x14ac:dyDescent="0.25">
      <c r="A59" s="38"/>
      <c r="B59" s="51" t="s">
        <v>164</v>
      </c>
      <c r="C59" s="69">
        <f>+C57+E57</f>
        <v>0</v>
      </c>
      <c r="D59" s="70">
        <v>0</v>
      </c>
      <c r="E59" s="71">
        <f>+C59*D59</f>
        <v>0</v>
      </c>
      <c r="F59" s="100"/>
      <c r="G59" s="69">
        <f>+G57+I57</f>
        <v>0</v>
      </c>
      <c r="H59" s="70">
        <v>0</v>
      </c>
      <c r="I59" s="71">
        <f>+G59*H59</f>
        <v>0</v>
      </c>
      <c r="J59" s="100"/>
      <c r="K59" s="100"/>
      <c r="L59" s="51" t="s">
        <v>164</v>
      </c>
      <c r="M59" s="69">
        <f>+M57+O57</f>
        <v>0</v>
      </c>
      <c r="N59" s="70">
        <v>0</v>
      </c>
      <c r="O59" s="71">
        <f>+M59*N59</f>
        <v>0</v>
      </c>
      <c r="P59" s="100"/>
      <c r="Q59" s="69">
        <f>+Q57+S57</f>
        <v>0</v>
      </c>
      <c r="R59" s="70">
        <v>0</v>
      </c>
      <c r="S59" s="71">
        <f>+Q59*R59</f>
        <v>0</v>
      </c>
      <c r="T59" s="100"/>
      <c r="U59" s="69">
        <f>+U57+W57</f>
        <v>0</v>
      </c>
      <c r="V59" s="70">
        <v>0</v>
      </c>
      <c r="W59" s="71">
        <f>+U59*V59</f>
        <v>0</v>
      </c>
    </row>
    <row r="60" spans="1:23" x14ac:dyDescent="0.25">
      <c r="A60" s="38"/>
      <c r="B60" s="51" t="s">
        <v>175</v>
      </c>
      <c r="C60" s="84"/>
      <c r="D60" s="85"/>
      <c r="E60" s="71">
        <f>+ROUND(SUM(E55:E57),0)</f>
        <v>0</v>
      </c>
      <c r="F60" s="100"/>
      <c r="G60" s="84"/>
      <c r="H60" s="85"/>
      <c r="I60" s="71">
        <f>+ROUND(SUM(I55:I57),0)</f>
        <v>0</v>
      </c>
      <c r="J60" s="100"/>
      <c r="K60" s="100"/>
      <c r="L60" s="51" t="s">
        <v>270</v>
      </c>
      <c r="M60" s="84"/>
      <c r="N60" s="85"/>
      <c r="O60" s="71">
        <f>+ROUND(SUM(O55:O57),0)</f>
        <v>0</v>
      </c>
      <c r="P60" s="100"/>
      <c r="Q60" s="84"/>
      <c r="R60" s="85"/>
      <c r="S60" s="71">
        <f>+ROUND(SUM(S55:S57),0)</f>
        <v>0</v>
      </c>
      <c r="T60" s="100"/>
      <c r="U60" s="84"/>
      <c r="V60" s="85"/>
      <c r="W60" s="71">
        <f>+ROUND(SUM(W55:W57),0)</f>
        <v>0</v>
      </c>
    </row>
    <row r="61" spans="1:23" x14ac:dyDescent="0.25">
      <c r="A61" s="38"/>
      <c r="B61" s="51" t="s">
        <v>176</v>
      </c>
      <c r="C61" s="81"/>
      <c r="D61" s="86"/>
      <c r="E61" s="71">
        <f>+ROUND(E58,0)</f>
        <v>0</v>
      </c>
      <c r="F61" s="100"/>
      <c r="G61" s="81"/>
      <c r="H61" s="86"/>
      <c r="I61" s="71">
        <f>+ROUND(I58,0)</f>
        <v>0</v>
      </c>
      <c r="J61" s="100"/>
      <c r="K61" s="100"/>
      <c r="L61" s="51" t="s">
        <v>271</v>
      </c>
      <c r="M61" s="81"/>
      <c r="N61" s="86"/>
      <c r="O61" s="71">
        <f>+ROUND(O58,0)</f>
        <v>0</v>
      </c>
      <c r="P61" s="100"/>
      <c r="Q61" s="81"/>
      <c r="R61" s="86"/>
      <c r="S61" s="71">
        <f>+ROUND(S58,0)</f>
        <v>0</v>
      </c>
      <c r="T61" s="100"/>
      <c r="U61" s="81"/>
      <c r="V61" s="86"/>
      <c r="W61" s="71">
        <f>+ROUND(W58,0)</f>
        <v>0</v>
      </c>
    </row>
    <row r="62" spans="1:23" x14ac:dyDescent="0.25">
      <c r="B62" s="51" t="s">
        <v>177</v>
      </c>
      <c r="C62" s="81"/>
      <c r="D62" s="86"/>
      <c r="E62" s="87">
        <f>+ROUND(E59,0)</f>
        <v>0</v>
      </c>
      <c r="F62" s="109"/>
      <c r="G62" s="81"/>
      <c r="H62" s="86"/>
      <c r="I62" s="87">
        <f>+ROUND(I59,0)</f>
        <v>0</v>
      </c>
      <c r="J62" s="109"/>
      <c r="K62" s="109"/>
      <c r="L62" s="51" t="s">
        <v>272</v>
      </c>
      <c r="M62" s="81"/>
      <c r="N62" s="86"/>
      <c r="O62" s="87">
        <f>+ROUND(O59,0)</f>
        <v>0</v>
      </c>
      <c r="P62" s="109"/>
      <c r="Q62" s="81"/>
      <c r="R62" s="86"/>
      <c r="S62" s="87">
        <f>+ROUND(S59,0)</f>
        <v>0</v>
      </c>
      <c r="T62" s="109"/>
      <c r="U62" s="81"/>
      <c r="V62" s="86"/>
      <c r="W62" s="87">
        <f>+ROUND(W59,0)</f>
        <v>0</v>
      </c>
    </row>
    <row r="63" spans="1:23" ht="16.5" thickBot="1" x14ac:dyDescent="0.3">
      <c r="B63" s="52" t="s">
        <v>178</v>
      </c>
      <c r="C63" s="112"/>
      <c r="D63" s="88"/>
      <c r="E63" s="64">
        <f t="shared" ref="E63" si="10">SUM(E60:E62)</f>
        <v>0</v>
      </c>
      <c r="F63" s="99"/>
      <c r="G63" s="112"/>
      <c r="H63" s="88"/>
      <c r="I63" s="64">
        <f t="shared" ref="I63" si="11">SUM(I60:I62)</f>
        <v>0</v>
      </c>
      <c r="J63" s="99"/>
      <c r="K63" s="99"/>
      <c r="L63" s="52" t="s">
        <v>273</v>
      </c>
      <c r="M63" s="112"/>
      <c r="N63" s="88"/>
      <c r="O63" s="64">
        <f t="shared" ref="O63" si="12">SUM(O60:O62)</f>
        <v>0</v>
      </c>
      <c r="P63" s="99"/>
      <c r="Q63" s="112"/>
      <c r="R63" s="88"/>
      <c r="S63" s="64">
        <f t="shared" ref="S63" si="13">SUM(S60:S62)</f>
        <v>0</v>
      </c>
      <c r="T63" s="99"/>
      <c r="U63" s="112"/>
      <c r="V63" s="88"/>
      <c r="W63" s="64">
        <f t="shared" ref="W63" si="14">SUM(W60:W62)</f>
        <v>0</v>
      </c>
    </row>
    <row r="64" spans="1:23" x14ac:dyDescent="0.25">
      <c r="B64" s="41"/>
      <c r="F64" s="110"/>
      <c r="J64" s="110"/>
      <c r="K64" s="110"/>
      <c r="L64" s="41"/>
      <c r="P64" s="110"/>
      <c r="T64" s="110"/>
    </row>
    <row r="65" spans="2:23" ht="16.5" thickBot="1" x14ac:dyDescent="0.3">
      <c r="F65" s="110"/>
      <c r="J65" s="110"/>
      <c r="K65" s="110"/>
      <c r="L65" s="37"/>
      <c r="P65" s="110"/>
      <c r="T65" s="110"/>
    </row>
    <row r="66" spans="2:23" ht="16.5" thickBot="1" x14ac:dyDescent="0.3">
      <c r="B66" s="189" t="str">
        <f>B52</f>
        <v xml:space="preserve">CLINs 0002 &amp; 1002: CPFF </v>
      </c>
      <c r="C66" s="186" t="s">
        <v>183</v>
      </c>
      <c r="D66" s="187"/>
      <c r="E66" s="188"/>
      <c r="F66" s="106"/>
      <c r="G66" s="186" t="s">
        <v>183</v>
      </c>
      <c r="H66" s="187"/>
      <c r="I66" s="188"/>
      <c r="J66" s="106"/>
      <c r="K66" s="106"/>
      <c r="L66" s="149"/>
      <c r="M66" s="186" t="s">
        <v>183</v>
      </c>
      <c r="N66" s="187"/>
      <c r="O66" s="188"/>
      <c r="P66" s="106"/>
      <c r="Q66" s="186" t="s">
        <v>183</v>
      </c>
      <c r="R66" s="187"/>
      <c r="S66" s="188"/>
      <c r="T66" s="106"/>
      <c r="U66" s="186" t="s">
        <v>183</v>
      </c>
      <c r="V66" s="187"/>
      <c r="W66" s="188"/>
    </row>
    <row r="67" spans="2:23" ht="16.5" thickBot="1" x14ac:dyDescent="0.3">
      <c r="B67" s="190"/>
      <c r="C67" s="89"/>
      <c r="D67" s="55"/>
      <c r="E67" s="90" t="s">
        <v>284</v>
      </c>
      <c r="F67" s="111"/>
      <c r="G67" s="89"/>
      <c r="H67" s="55"/>
      <c r="I67" s="90" t="s">
        <v>285</v>
      </c>
      <c r="J67" s="111"/>
      <c r="K67" s="111"/>
      <c r="L67" s="150"/>
      <c r="M67" s="89"/>
      <c r="N67" s="55"/>
      <c r="O67" s="90" t="s">
        <v>296</v>
      </c>
      <c r="P67" s="111"/>
      <c r="Q67" s="89"/>
      <c r="R67" s="55"/>
      <c r="S67" s="90" t="s">
        <v>297</v>
      </c>
      <c r="T67" s="111"/>
      <c r="U67" s="89"/>
      <c r="V67" s="55"/>
      <c r="W67" s="90" t="s">
        <v>298</v>
      </c>
    </row>
    <row r="68" spans="2:23" x14ac:dyDescent="0.25">
      <c r="B68" s="51" t="s">
        <v>175</v>
      </c>
      <c r="C68" s="91"/>
      <c r="D68" s="91"/>
      <c r="E68" s="92">
        <f>+ROUND(E33+E47+E60,0)</f>
        <v>0</v>
      </c>
      <c r="F68" s="100"/>
      <c r="G68" s="91"/>
      <c r="H68" s="91"/>
      <c r="I68" s="92">
        <f>+ROUND(I33+I47+I60,0)</f>
        <v>0</v>
      </c>
      <c r="J68" s="100"/>
      <c r="K68" s="100"/>
      <c r="L68" s="51" t="s">
        <v>270</v>
      </c>
      <c r="M68" s="91"/>
      <c r="N68" s="91"/>
      <c r="O68" s="92">
        <f>+ROUND(O33+O47+O60,0)</f>
        <v>0</v>
      </c>
      <c r="P68" s="100"/>
      <c r="Q68" s="91"/>
      <c r="R68" s="91"/>
      <c r="S68" s="92">
        <f>+ROUND(S33+S47+S60,0)</f>
        <v>0</v>
      </c>
      <c r="T68" s="100"/>
      <c r="U68" s="91"/>
      <c r="V68" s="91"/>
      <c r="W68" s="92">
        <f>+ROUND(W33+W47+W60,0)</f>
        <v>0</v>
      </c>
    </row>
    <row r="69" spans="2:23" x14ac:dyDescent="0.25">
      <c r="B69" s="51" t="s">
        <v>176</v>
      </c>
      <c r="C69" s="91"/>
      <c r="D69" s="91"/>
      <c r="E69" s="71">
        <f>+ROUND(E34+E48+E61,0)</f>
        <v>0</v>
      </c>
      <c r="F69" s="100"/>
      <c r="G69" s="91"/>
      <c r="H69" s="91"/>
      <c r="I69" s="71">
        <f>+ROUND(I34+I48+I61,0)</f>
        <v>0</v>
      </c>
      <c r="J69" s="100"/>
      <c r="K69" s="100"/>
      <c r="L69" s="51" t="s">
        <v>271</v>
      </c>
      <c r="M69" s="91"/>
      <c r="N69" s="91"/>
      <c r="O69" s="71">
        <f>+ROUND(O34+O48+O61,0)</f>
        <v>0</v>
      </c>
      <c r="P69" s="100"/>
      <c r="Q69" s="91"/>
      <c r="R69" s="91"/>
      <c r="S69" s="71">
        <f>+ROUND(S34+S48+S61,0)</f>
        <v>0</v>
      </c>
      <c r="T69" s="100"/>
      <c r="U69" s="91"/>
      <c r="V69" s="91"/>
      <c r="W69" s="71">
        <f>+ROUND(W34+W48+W61,0)</f>
        <v>0</v>
      </c>
    </row>
    <row r="70" spans="2:23" x14ac:dyDescent="0.25">
      <c r="B70" s="51" t="s">
        <v>177</v>
      </c>
      <c r="C70" s="91"/>
      <c r="D70" s="91"/>
      <c r="E70" s="74">
        <f>+ROUND(E35+E49+E62,0)</f>
        <v>0</v>
      </c>
      <c r="F70" s="102"/>
      <c r="G70" s="91"/>
      <c r="H70" s="91"/>
      <c r="I70" s="74">
        <f>+ROUND(I35+I49+I62,0)</f>
        <v>0</v>
      </c>
      <c r="J70" s="102"/>
      <c r="K70" s="102"/>
      <c r="L70" s="51" t="s">
        <v>272</v>
      </c>
      <c r="M70" s="91"/>
      <c r="N70" s="91"/>
      <c r="O70" s="74">
        <f>+ROUND(O35+O49+O62,0)</f>
        <v>0</v>
      </c>
      <c r="P70" s="102"/>
      <c r="Q70" s="91"/>
      <c r="R70" s="91"/>
      <c r="S70" s="74">
        <f>+ROUND(S35+S49+S62,0)</f>
        <v>0</v>
      </c>
      <c r="T70" s="102"/>
      <c r="U70" s="91"/>
      <c r="V70" s="91"/>
      <c r="W70" s="74">
        <f>+ROUND(W35+W49+W62,0)</f>
        <v>0</v>
      </c>
    </row>
    <row r="71" spans="2:23" ht="16.5" thickBot="1" x14ac:dyDescent="0.3">
      <c r="B71" s="52" t="s">
        <v>178</v>
      </c>
      <c r="C71" s="93"/>
      <c r="D71" s="93"/>
      <c r="E71" s="77">
        <f>SUM(E68:E70)</f>
        <v>0</v>
      </c>
      <c r="F71" s="103"/>
      <c r="G71" s="93"/>
      <c r="H71" s="93"/>
      <c r="I71" s="77">
        <f>SUM(I68:I70)</f>
        <v>0</v>
      </c>
      <c r="J71" s="103"/>
      <c r="K71" s="103"/>
      <c r="L71" s="52" t="s">
        <v>273</v>
      </c>
      <c r="M71" s="93"/>
      <c r="N71" s="93"/>
      <c r="O71" s="77">
        <f>SUM(O68:O70)</f>
        <v>0</v>
      </c>
      <c r="P71" s="103"/>
      <c r="Q71" s="93"/>
      <c r="R71" s="93"/>
      <c r="S71" s="77">
        <f>SUM(S68:S70)</f>
        <v>0</v>
      </c>
      <c r="T71" s="103"/>
      <c r="U71" s="93"/>
      <c r="V71" s="93"/>
      <c r="W71" s="77">
        <f>SUM(W68:W70)</f>
        <v>0</v>
      </c>
    </row>
  </sheetData>
  <mergeCells count="25">
    <mergeCell ref="U66:W66"/>
    <mergeCell ref="B52:B53"/>
    <mergeCell ref="C52:E52"/>
    <mergeCell ref="G52:I52"/>
    <mergeCell ref="M52:O52"/>
    <mergeCell ref="Q52:S52"/>
    <mergeCell ref="U52:W52"/>
    <mergeCell ref="B66:B67"/>
    <mergeCell ref="C66:E66"/>
    <mergeCell ref="G66:I66"/>
    <mergeCell ref="M66:O66"/>
    <mergeCell ref="Q66:S66"/>
    <mergeCell ref="U10:W10"/>
    <mergeCell ref="B39:B40"/>
    <mergeCell ref="C39:E39"/>
    <mergeCell ref="G39:I39"/>
    <mergeCell ref="M39:O39"/>
    <mergeCell ref="Q39:S39"/>
    <mergeCell ref="U39:W39"/>
    <mergeCell ref="B10:B11"/>
    <mergeCell ref="C10:E10"/>
    <mergeCell ref="G10:I10"/>
    <mergeCell ref="L10:L11"/>
    <mergeCell ref="M10:O10"/>
    <mergeCell ref="Q10:S10"/>
  </mergeCells>
  <pageMargins left="0.7" right="0.7" top="0.75" bottom="0.75" header="0.3" footer="0.3"/>
  <pageSetup orientation="portrait"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369CF-3926-42AA-AE8C-C9B67F43C744}">
  <sheetPr>
    <tabColor theme="7" tint="0.79998168889431442"/>
  </sheetPr>
  <dimension ref="A1:T71"/>
  <sheetViews>
    <sheetView workbookViewId="0">
      <selection activeCell="B4" sqref="B4"/>
    </sheetView>
  </sheetViews>
  <sheetFormatPr defaultColWidth="15.85546875" defaultRowHeight="15.75" x14ac:dyDescent="0.25"/>
  <cols>
    <col min="1" max="1" width="3.42578125" style="33" customWidth="1"/>
    <col min="2" max="2" width="49.140625" style="37" customWidth="1"/>
    <col min="3" max="3" width="32.85546875" style="35" customWidth="1"/>
    <col min="4" max="4" width="28.85546875" style="35" customWidth="1"/>
    <col min="5" max="5" width="40.140625" style="35" customWidth="1"/>
    <col min="6" max="6" width="3.140625" style="35" customWidth="1"/>
    <col min="7" max="7" width="28.28515625" style="35" customWidth="1"/>
    <col min="8" max="8" width="25.42578125" style="35" customWidth="1"/>
    <col min="9" max="9" width="35.42578125" style="35" customWidth="1"/>
    <col min="10" max="11" width="3.140625" style="35" customWidth="1"/>
    <col min="12" max="12" width="45" style="35" bestFit="1" customWidth="1"/>
    <col min="13" max="13" width="28.28515625" style="35" customWidth="1"/>
    <col min="14" max="14" width="25.42578125" style="35" customWidth="1"/>
    <col min="15" max="15" width="35.42578125" style="35" customWidth="1"/>
    <col min="16" max="16" width="3.140625" style="35" customWidth="1"/>
    <col min="17" max="17" width="28.28515625" style="35" customWidth="1"/>
    <col min="18" max="18" width="25.42578125" style="35" customWidth="1"/>
    <col min="19" max="19" width="35.42578125" style="35" customWidth="1"/>
    <col min="20" max="20" width="3.140625" style="35" customWidth="1"/>
    <col min="21" max="16384" width="15.85546875" style="35"/>
  </cols>
  <sheetData>
    <row r="1" spans="1:20" x14ac:dyDescent="0.2">
      <c r="B1" s="34" t="s">
        <v>147</v>
      </c>
    </row>
    <row r="2" spans="1:20" x14ac:dyDescent="0.25">
      <c r="A2" s="36"/>
      <c r="B2" s="153" t="s">
        <v>167</v>
      </c>
      <c r="C2" s="94"/>
      <c r="D2" s="94"/>
      <c r="E2" s="94"/>
      <c r="F2" s="94"/>
      <c r="G2" s="94"/>
      <c r="H2" s="94"/>
      <c r="I2" s="94"/>
      <c r="J2" s="94"/>
      <c r="K2" s="94"/>
      <c r="L2" s="94"/>
      <c r="M2" s="94"/>
      <c r="N2" s="94"/>
      <c r="O2" s="94"/>
      <c r="P2" s="94"/>
      <c r="Q2" s="94"/>
      <c r="R2" s="94"/>
      <c r="S2" s="94"/>
      <c r="T2" s="94"/>
    </row>
    <row r="3" spans="1:20" x14ac:dyDescent="0.25">
      <c r="A3" s="36"/>
      <c r="B3" s="153" t="s">
        <v>347</v>
      </c>
      <c r="C3" s="94"/>
      <c r="D3" s="94"/>
      <c r="E3" s="94"/>
      <c r="F3" s="94"/>
      <c r="G3" s="94"/>
      <c r="H3" s="94"/>
      <c r="I3" s="94"/>
      <c r="J3" s="94"/>
      <c r="K3" s="94"/>
      <c r="L3" s="94"/>
      <c r="M3" s="94"/>
      <c r="N3" s="94"/>
      <c r="O3" s="94"/>
      <c r="P3" s="94"/>
      <c r="Q3" s="94"/>
      <c r="R3" s="94"/>
      <c r="S3" s="94"/>
      <c r="T3" s="94"/>
    </row>
    <row r="4" spans="1:20" x14ac:dyDescent="0.25">
      <c r="A4" s="36"/>
      <c r="B4" s="153" t="s">
        <v>231</v>
      </c>
      <c r="C4" s="94"/>
      <c r="D4" s="94"/>
      <c r="E4" s="94"/>
      <c r="F4" s="94"/>
      <c r="G4" s="94"/>
      <c r="H4" s="94"/>
      <c r="I4" s="94"/>
      <c r="J4" s="94"/>
      <c r="K4" s="94"/>
      <c r="L4" s="94"/>
      <c r="M4" s="94"/>
      <c r="N4" s="94"/>
      <c r="O4" s="94"/>
      <c r="P4" s="94"/>
      <c r="Q4" s="94"/>
      <c r="R4" s="94"/>
      <c r="S4" s="94"/>
      <c r="T4" s="94"/>
    </row>
    <row r="5" spans="1:20" x14ac:dyDescent="0.25">
      <c r="A5" s="36"/>
      <c r="B5" s="153" t="s">
        <v>168</v>
      </c>
      <c r="C5" s="94"/>
      <c r="D5" s="94"/>
      <c r="E5" s="94"/>
      <c r="F5" s="94"/>
      <c r="G5" s="94"/>
      <c r="H5" s="94"/>
      <c r="I5" s="94"/>
      <c r="J5" s="94"/>
      <c r="K5" s="94"/>
      <c r="L5" s="94"/>
      <c r="M5" s="94"/>
      <c r="N5" s="94"/>
      <c r="O5" s="94"/>
      <c r="P5" s="94"/>
      <c r="Q5" s="94"/>
      <c r="R5" s="94"/>
      <c r="S5" s="94"/>
      <c r="T5" s="94"/>
    </row>
    <row r="6" spans="1:20" x14ac:dyDescent="0.25">
      <c r="A6" s="36"/>
      <c r="B6" s="153" t="s">
        <v>348</v>
      </c>
      <c r="C6" s="94"/>
      <c r="D6" s="94"/>
      <c r="E6" s="94"/>
      <c r="F6" s="94"/>
      <c r="G6" s="94"/>
      <c r="H6" s="94"/>
      <c r="I6" s="94"/>
      <c r="J6" s="94"/>
      <c r="K6" s="94"/>
      <c r="L6" s="94"/>
      <c r="M6" s="94"/>
      <c r="N6" s="94"/>
      <c r="O6" s="94"/>
      <c r="P6" s="94"/>
      <c r="Q6" s="94"/>
      <c r="R6" s="94"/>
      <c r="S6" s="94"/>
      <c r="T6" s="94"/>
    </row>
    <row r="7" spans="1:20" x14ac:dyDescent="0.25">
      <c r="A7" s="36"/>
      <c r="B7" s="153" t="s">
        <v>274</v>
      </c>
      <c r="C7" s="94"/>
      <c r="D7" s="94"/>
      <c r="E7" s="94"/>
      <c r="F7" s="94"/>
      <c r="G7" s="94"/>
      <c r="H7" s="94"/>
      <c r="I7" s="94"/>
      <c r="J7" s="94"/>
      <c r="K7" s="94"/>
      <c r="L7" s="94"/>
      <c r="M7" s="94"/>
      <c r="N7" s="94"/>
      <c r="O7" s="94"/>
      <c r="P7" s="94"/>
      <c r="Q7" s="94"/>
      <c r="R7" s="94"/>
      <c r="S7" s="94"/>
      <c r="T7" s="94"/>
    </row>
    <row r="9" spans="1:20" ht="16.5" thickBot="1" x14ac:dyDescent="0.3"/>
    <row r="10" spans="1:20" ht="16.5" thickBot="1" x14ac:dyDescent="0.3">
      <c r="A10" s="38"/>
      <c r="B10" s="189" t="s">
        <v>286</v>
      </c>
      <c r="C10" s="186" t="s">
        <v>170</v>
      </c>
      <c r="D10" s="187"/>
      <c r="E10" s="188"/>
      <c r="F10" s="95"/>
      <c r="G10" s="186" t="s">
        <v>170</v>
      </c>
      <c r="H10" s="187"/>
      <c r="I10" s="188"/>
      <c r="J10" s="95"/>
      <c r="K10" s="95"/>
      <c r="L10" s="189" t="s">
        <v>287</v>
      </c>
      <c r="M10" s="186" t="s">
        <v>170</v>
      </c>
      <c r="N10" s="187"/>
      <c r="O10" s="188"/>
      <c r="P10" s="95"/>
      <c r="Q10" s="186" t="s">
        <v>170</v>
      </c>
      <c r="R10" s="187"/>
      <c r="S10" s="188"/>
      <c r="T10" s="95"/>
    </row>
    <row r="11" spans="1:20" ht="16.5" thickBot="1" x14ac:dyDescent="0.3">
      <c r="A11" s="38"/>
      <c r="B11" s="190"/>
      <c r="C11" s="129" t="s">
        <v>288</v>
      </c>
      <c r="D11" s="130"/>
      <c r="E11" s="131"/>
      <c r="F11" s="96"/>
      <c r="G11" s="132" t="s">
        <v>289</v>
      </c>
      <c r="H11" s="133"/>
      <c r="I11" s="134"/>
      <c r="J11" s="96"/>
      <c r="K11" s="96"/>
      <c r="L11" s="190"/>
      <c r="M11" s="132" t="s">
        <v>290</v>
      </c>
      <c r="N11" s="133"/>
      <c r="O11" s="134"/>
      <c r="P11" s="96"/>
      <c r="Q11" s="132" t="s">
        <v>291</v>
      </c>
      <c r="R11" s="133"/>
      <c r="S11" s="134"/>
      <c r="T11" s="96"/>
    </row>
    <row r="12" spans="1:20" x14ac:dyDescent="0.25">
      <c r="A12" s="38"/>
      <c r="B12" s="56" t="s">
        <v>157</v>
      </c>
      <c r="C12" s="56" t="s">
        <v>171</v>
      </c>
      <c r="D12" s="57" t="s">
        <v>172</v>
      </c>
      <c r="E12" s="58" t="s">
        <v>10</v>
      </c>
      <c r="F12" s="97"/>
      <c r="G12" s="56" t="s">
        <v>171</v>
      </c>
      <c r="H12" s="57" t="s">
        <v>172</v>
      </c>
      <c r="I12" s="58" t="s">
        <v>10</v>
      </c>
      <c r="J12" s="97"/>
      <c r="K12" s="97"/>
      <c r="L12" s="56" t="s">
        <v>157</v>
      </c>
      <c r="M12" s="56" t="s">
        <v>171</v>
      </c>
      <c r="N12" s="57" t="s">
        <v>172</v>
      </c>
      <c r="O12" s="58" t="s">
        <v>10</v>
      </c>
      <c r="P12" s="97"/>
      <c r="Q12" s="56" t="s">
        <v>171</v>
      </c>
      <c r="R12" s="57" t="s">
        <v>172</v>
      </c>
      <c r="S12" s="58" t="s">
        <v>10</v>
      </c>
      <c r="T12" s="97"/>
    </row>
    <row r="13" spans="1:20" x14ac:dyDescent="0.25">
      <c r="A13" s="38"/>
      <c r="B13" s="59" t="s">
        <v>184</v>
      </c>
      <c r="C13" s="60"/>
      <c r="D13" s="61">
        <v>0</v>
      </c>
      <c r="E13" s="62">
        <f>+C13*D13</f>
        <v>0</v>
      </c>
      <c r="F13" s="98"/>
      <c r="G13" s="60"/>
      <c r="H13" s="61">
        <v>0</v>
      </c>
      <c r="I13" s="62">
        <f>+G13*H13</f>
        <v>0</v>
      </c>
      <c r="J13" s="98"/>
      <c r="K13" s="98"/>
      <c r="L13" s="151" t="s">
        <v>184</v>
      </c>
      <c r="M13" s="60"/>
      <c r="N13" s="61">
        <v>0</v>
      </c>
      <c r="O13" s="62">
        <f>+M13*N13</f>
        <v>0</v>
      </c>
      <c r="P13" s="98"/>
      <c r="Q13" s="60"/>
      <c r="R13" s="61">
        <v>0</v>
      </c>
      <c r="S13" s="62">
        <f>+Q13*R13</f>
        <v>0</v>
      </c>
      <c r="T13" s="98"/>
    </row>
    <row r="14" spans="1:20" x14ac:dyDescent="0.25">
      <c r="A14" s="38"/>
      <c r="B14" s="59" t="s">
        <v>185</v>
      </c>
      <c r="C14" s="60"/>
      <c r="D14" s="61">
        <v>0</v>
      </c>
      <c r="E14" s="62">
        <f t="shared" ref="E14:E25" si="0">+C14*D14</f>
        <v>0</v>
      </c>
      <c r="F14" s="98"/>
      <c r="G14" s="60"/>
      <c r="H14" s="61">
        <v>0</v>
      </c>
      <c r="I14" s="62">
        <f t="shared" ref="I14:I25" si="1">+G14*H14</f>
        <v>0</v>
      </c>
      <c r="J14" s="98"/>
      <c r="K14" s="98"/>
      <c r="L14" s="59" t="s">
        <v>185</v>
      </c>
      <c r="M14" s="60"/>
      <c r="N14" s="61">
        <v>0</v>
      </c>
      <c r="O14" s="62">
        <f t="shared" ref="O14:O25" si="2">+M14*N14</f>
        <v>0</v>
      </c>
      <c r="P14" s="98"/>
      <c r="Q14" s="60"/>
      <c r="R14" s="61">
        <v>0</v>
      </c>
      <c r="S14" s="62">
        <f t="shared" ref="S14:S25" si="3">+Q14*R14</f>
        <v>0</v>
      </c>
      <c r="T14" s="98"/>
    </row>
    <row r="15" spans="1:20" x14ac:dyDescent="0.25">
      <c r="A15" s="38"/>
      <c r="B15" s="59" t="s">
        <v>186</v>
      </c>
      <c r="C15" s="60"/>
      <c r="D15" s="61">
        <v>0</v>
      </c>
      <c r="E15" s="62">
        <f t="shared" si="0"/>
        <v>0</v>
      </c>
      <c r="F15" s="98"/>
      <c r="G15" s="60"/>
      <c r="H15" s="61">
        <v>0</v>
      </c>
      <c r="I15" s="62">
        <f t="shared" si="1"/>
        <v>0</v>
      </c>
      <c r="J15" s="98"/>
      <c r="K15" s="98"/>
      <c r="L15" s="59" t="s">
        <v>186</v>
      </c>
      <c r="M15" s="60"/>
      <c r="N15" s="61">
        <v>0</v>
      </c>
      <c r="O15" s="62">
        <f t="shared" si="2"/>
        <v>0</v>
      </c>
      <c r="P15" s="98"/>
      <c r="Q15" s="60"/>
      <c r="R15" s="61">
        <v>0</v>
      </c>
      <c r="S15" s="62">
        <f t="shared" si="3"/>
        <v>0</v>
      </c>
      <c r="T15" s="98"/>
    </row>
    <row r="16" spans="1:20" x14ac:dyDescent="0.25">
      <c r="A16" s="38"/>
      <c r="B16" s="59" t="s">
        <v>187</v>
      </c>
      <c r="C16" s="60"/>
      <c r="D16" s="61">
        <v>0</v>
      </c>
      <c r="E16" s="62">
        <f t="shared" si="0"/>
        <v>0</v>
      </c>
      <c r="F16" s="98"/>
      <c r="G16" s="60"/>
      <c r="H16" s="61">
        <v>0</v>
      </c>
      <c r="I16" s="62">
        <f t="shared" si="1"/>
        <v>0</v>
      </c>
      <c r="J16" s="98"/>
      <c r="K16" s="98"/>
      <c r="L16" s="59" t="s">
        <v>187</v>
      </c>
      <c r="M16" s="60"/>
      <c r="N16" s="61">
        <v>0</v>
      </c>
      <c r="O16" s="62">
        <f t="shared" si="2"/>
        <v>0</v>
      </c>
      <c r="P16" s="98"/>
      <c r="Q16" s="60"/>
      <c r="R16" s="61">
        <v>0</v>
      </c>
      <c r="S16" s="62">
        <f t="shared" si="3"/>
        <v>0</v>
      </c>
      <c r="T16" s="98"/>
    </row>
    <row r="17" spans="1:20" x14ac:dyDescent="0.25">
      <c r="A17" s="38"/>
      <c r="B17" s="59" t="s">
        <v>188</v>
      </c>
      <c r="C17" s="60"/>
      <c r="D17" s="61">
        <v>0</v>
      </c>
      <c r="E17" s="62">
        <f t="shared" si="0"/>
        <v>0</v>
      </c>
      <c r="F17" s="98"/>
      <c r="G17" s="60"/>
      <c r="H17" s="61">
        <v>0</v>
      </c>
      <c r="I17" s="62">
        <f t="shared" si="1"/>
        <v>0</v>
      </c>
      <c r="J17" s="98"/>
      <c r="K17" s="98"/>
      <c r="L17" s="59" t="s">
        <v>188</v>
      </c>
      <c r="M17" s="60"/>
      <c r="N17" s="61">
        <v>0</v>
      </c>
      <c r="O17" s="62">
        <f t="shared" si="2"/>
        <v>0</v>
      </c>
      <c r="P17" s="98"/>
      <c r="Q17" s="60"/>
      <c r="R17" s="61">
        <v>0</v>
      </c>
      <c r="S17" s="62">
        <f t="shared" si="3"/>
        <v>0</v>
      </c>
      <c r="T17" s="98"/>
    </row>
    <row r="18" spans="1:20" x14ac:dyDescent="0.25">
      <c r="A18" s="38"/>
      <c r="B18" s="59" t="s">
        <v>189</v>
      </c>
      <c r="C18" s="60"/>
      <c r="D18" s="61">
        <v>0</v>
      </c>
      <c r="E18" s="62">
        <f t="shared" si="0"/>
        <v>0</v>
      </c>
      <c r="F18" s="98"/>
      <c r="G18" s="60"/>
      <c r="H18" s="61">
        <v>0</v>
      </c>
      <c r="I18" s="62">
        <f t="shared" si="1"/>
        <v>0</v>
      </c>
      <c r="J18" s="98"/>
      <c r="K18" s="98"/>
      <c r="L18" s="59" t="s">
        <v>189</v>
      </c>
      <c r="M18" s="60"/>
      <c r="N18" s="61">
        <v>0</v>
      </c>
      <c r="O18" s="62">
        <f t="shared" si="2"/>
        <v>0</v>
      </c>
      <c r="P18" s="98"/>
      <c r="Q18" s="60"/>
      <c r="R18" s="61">
        <v>0</v>
      </c>
      <c r="S18" s="62">
        <f t="shared" si="3"/>
        <v>0</v>
      </c>
      <c r="T18" s="98"/>
    </row>
    <row r="19" spans="1:20" x14ac:dyDescent="0.25">
      <c r="A19" s="38"/>
      <c r="B19" s="59" t="s">
        <v>190</v>
      </c>
      <c r="C19" s="60"/>
      <c r="D19" s="61">
        <v>0</v>
      </c>
      <c r="E19" s="62">
        <f t="shared" si="0"/>
        <v>0</v>
      </c>
      <c r="F19" s="98"/>
      <c r="G19" s="60"/>
      <c r="H19" s="61">
        <v>0</v>
      </c>
      <c r="I19" s="62">
        <f t="shared" si="1"/>
        <v>0</v>
      </c>
      <c r="J19" s="98"/>
      <c r="K19" s="98"/>
      <c r="L19" s="59" t="s">
        <v>190</v>
      </c>
      <c r="M19" s="60"/>
      <c r="N19" s="61">
        <v>0</v>
      </c>
      <c r="O19" s="62">
        <f t="shared" si="2"/>
        <v>0</v>
      </c>
      <c r="P19" s="98"/>
      <c r="Q19" s="60"/>
      <c r="R19" s="61">
        <v>0</v>
      </c>
      <c r="S19" s="62">
        <f t="shared" si="3"/>
        <v>0</v>
      </c>
      <c r="T19" s="98"/>
    </row>
    <row r="20" spans="1:20" x14ac:dyDescent="0.25">
      <c r="A20" s="38"/>
      <c r="B20" s="59" t="s">
        <v>191</v>
      </c>
      <c r="C20" s="60"/>
      <c r="D20" s="61">
        <v>0</v>
      </c>
      <c r="E20" s="62">
        <f t="shared" si="0"/>
        <v>0</v>
      </c>
      <c r="F20" s="98"/>
      <c r="G20" s="60"/>
      <c r="H20" s="61">
        <v>0</v>
      </c>
      <c r="I20" s="62">
        <f t="shared" si="1"/>
        <v>0</v>
      </c>
      <c r="J20" s="98"/>
      <c r="K20" s="98"/>
      <c r="L20" s="59" t="s">
        <v>191</v>
      </c>
      <c r="M20" s="60"/>
      <c r="N20" s="61">
        <v>0</v>
      </c>
      <c r="O20" s="62">
        <f t="shared" si="2"/>
        <v>0</v>
      </c>
      <c r="P20" s="98"/>
      <c r="Q20" s="60"/>
      <c r="R20" s="61">
        <v>0</v>
      </c>
      <c r="S20" s="62">
        <f t="shared" si="3"/>
        <v>0</v>
      </c>
      <c r="T20" s="98"/>
    </row>
    <row r="21" spans="1:20" x14ac:dyDescent="0.25">
      <c r="A21" s="38"/>
      <c r="B21" s="59" t="s">
        <v>192</v>
      </c>
      <c r="C21" s="60"/>
      <c r="D21" s="61">
        <v>0</v>
      </c>
      <c r="E21" s="62">
        <f t="shared" si="0"/>
        <v>0</v>
      </c>
      <c r="F21" s="98"/>
      <c r="G21" s="60"/>
      <c r="H21" s="61">
        <v>0</v>
      </c>
      <c r="I21" s="62">
        <f t="shared" si="1"/>
        <v>0</v>
      </c>
      <c r="J21" s="98"/>
      <c r="K21" s="98"/>
      <c r="L21" s="59" t="s">
        <v>192</v>
      </c>
      <c r="M21" s="60"/>
      <c r="N21" s="61">
        <v>0</v>
      </c>
      <c r="O21" s="62">
        <f t="shared" si="2"/>
        <v>0</v>
      </c>
      <c r="P21" s="98"/>
      <c r="Q21" s="60"/>
      <c r="R21" s="61">
        <v>0</v>
      </c>
      <c r="S21" s="62">
        <f t="shared" si="3"/>
        <v>0</v>
      </c>
      <c r="T21" s="98"/>
    </row>
    <row r="22" spans="1:20" ht="15" customHeight="1" x14ac:dyDescent="0.25">
      <c r="A22" s="38"/>
      <c r="B22" s="59" t="s">
        <v>193</v>
      </c>
      <c r="C22" s="60"/>
      <c r="D22" s="61">
        <v>0</v>
      </c>
      <c r="E22" s="62">
        <f t="shared" si="0"/>
        <v>0</v>
      </c>
      <c r="F22" s="98"/>
      <c r="G22" s="60"/>
      <c r="H22" s="61">
        <v>0</v>
      </c>
      <c r="I22" s="62">
        <f t="shared" si="1"/>
        <v>0</v>
      </c>
      <c r="J22" s="98"/>
      <c r="K22" s="98"/>
      <c r="L22" s="59" t="s">
        <v>193</v>
      </c>
      <c r="M22" s="60"/>
      <c r="N22" s="61">
        <v>0</v>
      </c>
      <c r="O22" s="62">
        <f t="shared" si="2"/>
        <v>0</v>
      </c>
      <c r="P22" s="98"/>
      <c r="Q22" s="60"/>
      <c r="R22" s="61">
        <v>0</v>
      </c>
      <c r="S22" s="62">
        <f t="shared" si="3"/>
        <v>0</v>
      </c>
      <c r="T22" s="98"/>
    </row>
    <row r="23" spans="1:20" ht="15" customHeight="1" x14ac:dyDescent="0.25">
      <c r="A23" s="38"/>
      <c r="B23" s="59" t="s">
        <v>194</v>
      </c>
      <c r="C23" s="60"/>
      <c r="D23" s="61">
        <v>0</v>
      </c>
      <c r="E23" s="62">
        <f t="shared" si="0"/>
        <v>0</v>
      </c>
      <c r="F23" s="98"/>
      <c r="G23" s="60"/>
      <c r="H23" s="61">
        <v>0</v>
      </c>
      <c r="I23" s="62">
        <f t="shared" si="1"/>
        <v>0</v>
      </c>
      <c r="J23" s="98"/>
      <c r="K23" s="98"/>
      <c r="L23" s="59" t="s">
        <v>194</v>
      </c>
      <c r="M23" s="60"/>
      <c r="N23" s="61">
        <v>0</v>
      </c>
      <c r="O23" s="62">
        <f t="shared" si="2"/>
        <v>0</v>
      </c>
      <c r="P23" s="98"/>
      <c r="Q23" s="60"/>
      <c r="R23" s="61">
        <v>0</v>
      </c>
      <c r="S23" s="62">
        <f t="shared" si="3"/>
        <v>0</v>
      </c>
      <c r="T23" s="98"/>
    </row>
    <row r="24" spans="1:20" ht="15" customHeight="1" x14ac:dyDescent="0.25">
      <c r="A24" s="38"/>
      <c r="B24" s="59" t="s">
        <v>195</v>
      </c>
      <c r="C24" s="60"/>
      <c r="D24" s="61">
        <v>0</v>
      </c>
      <c r="E24" s="62">
        <f t="shared" si="0"/>
        <v>0</v>
      </c>
      <c r="F24" s="98"/>
      <c r="G24" s="60"/>
      <c r="H24" s="61">
        <v>0</v>
      </c>
      <c r="I24" s="62">
        <f t="shared" si="1"/>
        <v>0</v>
      </c>
      <c r="J24" s="98"/>
      <c r="K24" s="98"/>
      <c r="L24" s="59" t="s">
        <v>195</v>
      </c>
      <c r="M24" s="60"/>
      <c r="N24" s="61">
        <v>0</v>
      </c>
      <c r="O24" s="62">
        <f t="shared" si="2"/>
        <v>0</v>
      </c>
      <c r="P24" s="98"/>
      <c r="Q24" s="60"/>
      <c r="R24" s="61">
        <v>0</v>
      </c>
      <c r="S24" s="62">
        <f t="shared" si="3"/>
        <v>0</v>
      </c>
      <c r="T24" s="98"/>
    </row>
    <row r="25" spans="1:20" ht="15" customHeight="1" thickBot="1" x14ac:dyDescent="0.3">
      <c r="A25" s="38"/>
      <c r="B25" s="59" t="s">
        <v>196</v>
      </c>
      <c r="C25" s="63"/>
      <c r="D25" s="39">
        <v>0</v>
      </c>
      <c r="E25" s="64">
        <f t="shared" si="0"/>
        <v>0</v>
      </c>
      <c r="F25" s="99"/>
      <c r="G25" s="63"/>
      <c r="H25" s="39">
        <v>0</v>
      </c>
      <c r="I25" s="64">
        <f t="shared" si="1"/>
        <v>0</v>
      </c>
      <c r="J25" s="99"/>
      <c r="K25" s="99"/>
      <c r="L25" s="59" t="s">
        <v>196</v>
      </c>
      <c r="M25" s="63"/>
      <c r="N25" s="39">
        <v>0</v>
      </c>
      <c r="O25" s="64">
        <f t="shared" si="2"/>
        <v>0</v>
      </c>
      <c r="P25" s="99"/>
      <c r="Q25" s="63"/>
      <c r="R25" s="39">
        <v>0</v>
      </c>
      <c r="S25" s="64">
        <f t="shared" si="3"/>
        <v>0</v>
      </c>
      <c r="T25" s="99"/>
    </row>
    <row r="26" spans="1:20" ht="16.5" thickBot="1" x14ac:dyDescent="0.3">
      <c r="A26" s="38"/>
      <c r="B26" s="113" t="s">
        <v>173</v>
      </c>
      <c r="C26" s="65">
        <f>SUM(C13:C25)</f>
        <v>0</v>
      </c>
      <c r="D26" s="66"/>
      <c r="E26" s="67">
        <f>SUM(E13:E25)</f>
        <v>0</v>
      </c>
      <c r="F26" s="100"/>
      <c r="G26" s="65">
        <f>SUM(G13:G25)</f>
        <v>0</v>
      </c>
      <c r="H26" s="66"/>
      <c r="I26" s="67">
        <f>SUM(I13:I25)</f>
        <v>0</v>
      </c>
      <c r="J26" s="100"/>
      <c r="K26" s="100"/>
      <c r="L26" s="113" t="s">
        <v>173</v>
      </c>
      <c r="M26" s="65">
        <f>SUM(M13:M25)</f>
        <v>0</v>
      </c>
      <c r="N26" s="66"/>
      <c r="O26" s="67">
        <f>SUM(O13:O25)</f>
        <v>0</v>
      </c>
      <c r="P26" s="100"/>
      <c r="Q26" s="65">
        <f>SUM(Q13:Q25)</f>
        <v>0</v>
      </c>
      <c r="R26" s="66"/>
      <c r="S26" s="67">
        <f>SUM(S13:S25)</f>
        <v>0</v>
      </c>
      <c r="T26" s="100"/>
    </row>
    <row r="27" spans="1:20" x14ac:dyDescent="0.25">
      <c r="A27" s="38"/>
      <c r="B27" s="68"/>
      <c r="C27" s="56" t="s">
        <v>174</v>
      </c>
      <c r="D27" s="57" t="s">
        <v>172</v>
      </c>
      <c r="E27" s="58" t="s">
        <v>10</v>
      </c>
      <c r="F27" s="101"/>
      <c r="G27" s="56" t="s">
        <v>174</v>
      </c>
      <c r="H27" s="57" t="s">
        <v>172</v>
      </c>
      <c r="I27" s="58" t="s">
        <v>10</v>
      </c>
      <c r="J27" s="101"/>
      <c r="K27" s="101"/>
      <c r="L27" s="68"/>
      <c r="M27" s="56" t="s">
        <v>174</v>
      </c>
      <c r="N27" s="57" t="s">
        <v>172</v>
      </c>
      <c r="O27" s="58" t="s">
        <v>10</v>
      </c>
      <c r="P27" s="101"/>
      <c r="Q27" s="56" t="s">
        <v>174</v>
      </c>
      <c r="R27" s="57" t="s">
        <v>172</v>
      </c>
      <c r="S27" s="58" t="s">
        <v>10</v>
      </c>
      <c r="T27" s="101"/>
    </row>
    <row r="28" spans="1:20" x14ac:dyDescent="0.25">
      <c r="A28" s="38"/>
      <c r="B28" s="51" t="s">
        <v>160</v>
      </c>
      <c r="C28" s="69">
        <f>+E26</f>
        <v>0</v>
      </c>
      <c r="D28" s="70">
        <v>0</v>
      </c>
      <c r="E28" s="71">
        <f>+C28*D28</f>
        <v>0</v>
      </c>
      <c r="F28" s="100"/>
      <c r="G28" s="69">
        <f>+I26</f>
        <v>0</v>
      </c>
      <c r="H28" s="70">
        <v>0</v>
      </c>
      <c r="I28" s="71">
        <f>+G28*H28</f>
        <v>0</v>
      </c>
      <c r="J28" s="100"/>
      <c r="K28" s="100"/>
      <c r="L28" s="51" t="s">
        <v>269</v>
      </c>
      <c r="M28" s="69">
        <f>+O26</f>
        <v>0</v>
      </c>
      <c r="N28" s="70">
        <v>0</v>
      </c>
      <c r="O28" s="71">
        <f>+M28*N28</f>
        <v>0</v>
      </c>
      <c r="P28" s="100"/>
      <c r="Q28" s="69">
        <f>+S26</f>
        <v>0</v>
      </c>
      <c r="R28" s="70">
        <v>0</v>
      </c>
      <c r="S28" s="71">
        <f>+Q28*R28</f>
        <v>0</v>
      </c>
      <c r="T28" s="100"/>
    </row>
    <row r="29" spans="1:20" x14ac:dyDescent="0.25">
      <c r="A29" s="38"/>
      <c r="B29" s="51" t="s">
        <v>161</v>
      </c>
      <c r="C29" s="69">
        <f>+C28+E28</f>
        <v>0</v>
      </c>
      <c r="D29" s="70">
        <v>0</v>
      </c>
      <c r="E29" s="71">
        <f>+C29*D29</f>
        <v>0</v>
      </c>
      <c r="F29" s="100"/>
      <c r="G29" s="69">
        <f>+G28+I28</f>
        <v>0</v>
      </c>
      <c r="H29" s="70">
        <v>0</v>
      </c>
      <c r="I29" s="71">
        <f>+G29*H29</f>
        <v>0</v>
      </c>
      <c r="J29" s="100"/>
      <c r="K29" s="100"/>
      <c r="L29" s="51" t="s">
        <v>161</v>
      </c>
      <c r="M29" s="69">
        <f>+M28+O28</f>
        <v>0</v>
      </c>
      <c r="N29" s="70">
        <v>0</v>
      </c>
      <c r="O29" s="71">
        <f>+M29*N29</f>
        <v>0</v>
      </c>
      <c r="P29" s="100"/>
      <c r="Q29" s="69">
        <f>+Q28+S28</f>
        <v>0</v>
      </c>
      <c r="R29" s="70">
        <v>0</v>
      </c>
      <c r="S29" s="71">
        <f>+Q29*R29</f>
        <v>0</v>
      </c>
      <c r="T29" s="100"/>
    </row>
    <row r="30" spans="1:20" x14ac:dyDescent="0.25">
      <c r="A30" s="38"/>
      <c r="B30" s="51" t="s">
        <v>162</v>
      </c>
      <c r="C30" s="69">
        <f>+C29+E29</f>
        <v>0</v>
      </c>
      <c r="D30" s="70">
        <v>0</v>
      </c>
      <c r="E30" s="71">
        <f>+C30*D30</f>
        <v>0</v>
      </c>
      <c r="F30" s="100"/>
      <c r="G30" s="69">
        <f>+G29+I29</f>
        <v>0</v>
      </c>
      <c r="H30" s="70">
        <v>0</v>
      </c>
      <c r="I30" s="71">
        <f>+G30*H30</f>
        <v>0</v>
      </c>
      <c r="J30" s="100"/>
      <c r="K30" s="100"/>
      <c r="L30" s="51" t="s">
        <v>162</v>
      </c>
      <c r="M30" s="69">
        <f>+M29+O29</f>
        <v>0</v>
      </c>
      <c r="N30" s="70">
        <v>0</v>
      </c>
      <c r="O30" s="71">
        <f>+M30*N30</f>
        <v>0</v>
      </c>
      <c r="P30" s="100"/>
      <c r="Q30" s="69">
        <f>+Q29+S29</f>
        <v>0</v>
      </c>
      <c r="R30" s="70">
        <v>0</v>
      </c>
      <c r="S30" s="71">
        <f>+Q30*R30</f>
        <v>0</v>
      </c>
      <c r="T30" s="100"/>
    </row>
    <row r="31" spans="1:20" x14ac:dyDescent="0.25">
      <c r="A31" s="38"/>
      <c r="B31" s="51" t="s">
        <v>163</v>
      </c>
      <c r="C31" s="69">
        <f>+C28</f>
        <v>0</v>
      </c>
      <c r="D31" s="70">
        <v>0</v>
      </c>
      <c r="E31" s="71">
        <f>+C31*D31</f>
        <v>0</v>
      </c>
      <c r="F31" s="100"/>
      <c r="G31" s="69">
        <f>+G28</f>
        <v>0</v>
      </c>
      <c r="H31" s="70">
        <v>0</v>
      </c>
      <c r="I31" s="71">
        <f>+G31*H31</f>
        <v>0</v>
      </c>
      <c r="J31" s="100"/>
      <c r="K31" s="100"/>
      <c r="L31" s="51" t="s">
        <v>163</v>
      </c>
      <c r="M31" s="69">
        <f>+M28</f>
        <v>0</v>
      </c>
      <c r="N31" s="70">
        <v>0</v>
      </c>
      <c r="O31" s="71">
        <f>+M31*N31</f>
        <v>0</v>
      </c>
      <c r="P31" s="100"/>
      <c r="Q31" s="69">
        <f>+Q28</f>
        <v>0</v>
      </c>
      <c r="R31" s="70">
        <v>0</v>
      </c>
      <c r="S31" s="71">
        <f>+Q31*R31</f>
        <v>0</v>
      </c>
      <c r="T31" s="100"/>
    </row>
    <row r="32" spans="1:20" x14ac:dyDescent="0.25">
      <c r="A32" s="38"/>
      <c r="B32" s="51" t="s">
        <v>164</v>
      </c>
      <c r="C32" s="69">
        <f>+C30+E30</f>
        <v>0</v>
      </c>
      <c r="D32" s="70">
        <v>0</v>
      </c>
      <c r="E32" s="71">
        <f>+C32*D32</f>
        <v>0</v>
      </c>
      <c r="F32" s="100"/>
      <c r="G32" s="69">
        <f>+G30+I30</f>
        <v>0</v>
      </c>
      <c r="H32" s="70">
        <v>0</v>
      </c>
      <c r="I32" s="71">
        <f>+G32*H32</f>
        <v>0</v>
      </c>
      <c r="J32" s="100"/>
      <c r="K32" s="100"/>
      <c r="L32" s="51" t="s">
        <v>164</v>
      </c>
      <c r="M32" s="69">
        <f>+M30+O30</f>
        <v>0</v>
      </c>
      <c r="N32" s="70">
        <v>0</v>
      </c>
      <c r="O32" s="71">
        <f>+M32*N32</f>
        <v>0</v>
      </c>
      <c r="P32" s="100"/>
      <c r="Q32" s="69">
        <f>+Q30+S30</f>
        <v>0</v>
      </c>
      <c r="R32" s="70">
        <v>0</v>
      </c>
      <c r="S32" s="71">
        <f>+Q32*R32</f>
        <v>0</v>
      </c>
      <c r="T32" s="100"/>
    </row>
    <row r="33" spans="1:20" x14ac:dyDescent="0.25">
      <c r="A33" s="38"/>
      <c r="B33" s="51" t="s">
        <v>175</v>
      </c>
      <c r="C33" s="72"/>
      <c r="D33" s="73"/>
      <c r="E33" s="71">
        <f>+SUM(E26,E28,E29,E30)</f>
        <v>0</v>
      </c>
      <c r="F33" s="100"/>
      <c r="G33" s="72"/>
      <c r="H33" s="73"/>
      <c r="I33" s="71">
        <f>+SUM(I26,I28,I29,I30)</f>
        <v>0</v>
      </c>
      <c r="J33" s="100"/>
      <c r="K33" s="100"/>
      <c r="L33" s="51" t="s">
        <v>270</v>
      </c>
      <c r="M33" s="72"/>
      <c r="N33" s="73"/>
      <c r="O33" s="71">
        <f>+SUM(O26,O28,O29,O30)</f>
        <v>0</v>
      </c>
      <c r="P33" s="100"/>
      <c r="Q33" s="72"/>
      <c r="R33" s="73"/>
      <c r="S33" s="71">
        <f>+SUM(S26,S28,S29,S30)</f>
        <v>0</v>
      </c>
      <c r="T33" s="100"/>
    </row>
    <row r="34" spans="1:20" x14ac:dyDescent="0.25">
      <c r="A34" s="38"/>
      <c r="B34" s="51" t="s">
        <v>176</v>
      </c>
      <c r="C34" s="72"/>
      <c r="D34" s="73"/>
      <c r="E34" s="71">
        <f>+E31</f>
        <v>0</v>
      </c>
      <c r="F34" s="100"/>
      <c r="G34" s="72"/>
      <c r="H34" s="73"/>
      <c r="I34" s="71">
        <f>+I31</f>
        <v>0</v>
      </c>
      <c r="J34" s="100"/>
      <c r="K34" s="100"/>
      <c r="L34" s="51" t="s">
        <v>271</v>
      </c>
      <c r="M34" s="72"/>
      <c r="N34" s="73"/>
      <c r="O34" s="71">
        <f>+O31</f>
        <v>0</v>
      </c>
      <c r="P34" s="100"/>
      <c r="Q34" s="72"/>
      <c r="R34" s="73"/>
      <c r="S34" s="71">
        <f>+S31</f>
        <v>0</v>
      </c>
      <c r="T34" s="100"/>
    </row>
    <row r="35" spans="1:20" x14ac:dyDescent="0.25">
      <c r="A35" s="38"/>
      <c r="B35" s="51" t="s">
        <v>177</v>
      </c>
      <c r="C35" s="72"/>
      <c r="D35" s="73"/>
      <c r="E35" s="74">
        <f>+E32</f>
        <v>0</v>
      </c>
      <c r="F35" s="102"/>
      <c r="G35" s="72"/>
      <c r="H35" s="73"/>
      <c r="I35" s="74">
        <f>+I32</f>
        <v>0</v>
      </c>
      <c r="J35" s="102"/>
      <c r="K35" s="102"/>
      <c r="L35" s="51" t="s">
        <v>272</v>
      </c>
      <c r="M35" s="72"/>
      <c r="N35" s="73"/>
      <c r="O35" s="74">
        <f>+O32</f>
        <v>0</v>
      </c>
      <c r="P35" s="102"/>
      <c r="Q35" s="72"/>
      <c r="R35" s="73"/>
      <c r="S35" s="74">
        <f>+S32</f>
        <v>0</v>
      </c>
      <c r="T35" s="102"/>
    </row>
    <row r="36" spans="1:20" ht="16.5" thickBot="1" x14ac:dyDescent="0.3">
      <c r="A36" s="38"/>
      <c r="B36" s="52" t="s">
        <v>178</v>
      </c>
      <c r="C36" s="75"/>
      <c r="D36" s="76"/>
      <c r="E36" s="77">
        <f>SUM(E33:E35)</f>
        <v>0</v>
      </c>
      <c r="F36" s="103"/>
      <c r="G36" s="75"/>
      <c r="H36" s="76"/>
      <c r="I36" s="77">
        <f>SUM(I33:I35)</f>
        <v>0</v>
      </c>
      <c r="J36" s="103"/>
      <c r="K36" s="103"/>
      <c r="L36" s="52" t="s">
        <v>273</v>
      </c>
      <c r="M36" s="75"/>
      <c r="N36" s="76"/>
      <c r="O36" s="77">
        <f>SUM(O33:O35)</f>
        <v>0</v>
      </c>
      <c r="P36" s="103"/>
      <c r="Q36" s="75"/>
      <c r="R36" s="76"/>
      <c r="S36" s="77">
        <f>SUM(S33:S35)</f>
        <v>0</v>
      </c>
      <c r="T36" s="103"/>
    </row>
    <row r="37" spans="1:20" x14ac:dyDescent="0.25">
      <c r="A37" s="38"/>
      <c r="B37" s="41"/>
      <c r="C37" s="78"/>
      <c r="D37" s="78"/>
      <c r="E37" s="78"/>
      <c r="F37" s="104"/>
      <c r="G37" s="78"/>
      <c r="H37" s="78"/>
      <c r="I37" s="78"/>
      <c r="J37" s="104"/>
      <c r="K37" s="104"/>
      <c r="L37" s="41"/>
      <c r="M37" s="78"/>
      <c r="N37" s="78"/>
      <c r="O37" s="78"/>
      <c r="P37" s="104"/>
      <c r="Q37" s="78"/>
      <c r="R37" s="78"/>
      <c r="S37" s="78"/>
      <c r="T37" s="104"/>
    </row>
    <row r="38" spans="1:20" ht="16.5" thickBot="1" x14ac:dyDescent="0.3">
      <c r="A38" s="38"/>
      <c r="C38" s="37"/>
      <c r="D38" s="37"/>
      <c r="E38" s="37"/>
      <c r="F38" s="105"/>
      <c r="G38" s="37"/>
      <c r="H38" s="37"/>
      <c r="I38" s="37"/>
      <c r="J38" s="105"/>
      <c r="K38" s="105"/>
      <c r="L38" s="37"/>
      <c r="M38" s="37"/>
      <c r="N38" s="37"/>
      <c r="O38" s="37"/>
      <c r="P38" s="105"/>
      <c r="Q38" s="37"/>
      <c r="R38" s="37"/>
      <c r="S38" s="37"/>
      <c r="T38" s="105"/>
    </row>
    <row r="39" spans="1:20" ht="16.5" thickBot="1" x14ac:dyDescent="0.3">
      <c r="A39" s="38"/>
      <c r="B39" s="189" t="str">
        <f>B10</f>
        <v xml:space="preserve">CLINs 0003 &amp; 1003: CPFF </v>
      </c>
      <c r="C39" s="186" t="s">
        <v>179</v>
      </c>
      <c r="D39" s="187"/>
      <c r="E39" s="188"/>
      <c r="F39" s="106"/>
      <c r="G39" s="186" t="s">
        <v>179</v>
      </c>
      <c r="H39" s="187"/>
      <c r="I39" s="188"/>
      <c r="J39" s="106"/>
      <c r="K39" s="106"/>
      <c r="L39" s="149"/>
      <c r="M39" s="186" t="s">
        <v>179</v>
      </c>
      <c r="N39" s="187"/>
      <c r="O39" s="188"/>
      <c r="P39" s="106"/>
      <c r="Q39" s="186" t="s">
        <v>179</v>
      </c>
      <c r="R39" s="187"/>
      <c r="S39" s="188"/>
      <c r="T39" s="106"/>
    </row>
    <row r="40" spans="1:20" ht="16.5" thickBot="1" x14ac:dyDescent="0.3">
      <c r="A40" s="38"/>
      <c r="B40" s="190"/>
      <c r="C40" s="129" t="str">
        <f>C11</f>
        <v>0003: A-10 O-Level Handheld/Pre-load Tester Prototype design and digital development - Basic Period</v>
      </c>
      <c r="D40" s="130"/>
      <c r="E40" s="131"/>
      <c r="F40" s="107"/>
      <c r="G40" s="132" t="str">
        <f>G11</f>
        <v>1003: A-10 O-Level Handheld/Pre-load Tester EMD - Option Period 1</v>
      </c>
      <c r="H40" s="133"/>
      <c r="I40" s="134"/>
      <c r="J40" s="107"/>
      <c r="K40" s="107"/>
      <c r="L40" s="150"/>
      <c r="M40" s="132" t="str">
        <f>M11</f>
        <v>2003: F-16 I-Level Fault Isolation Tester EMD - Option Period 2</v>
      </c>
      <c r="N40" s="133"/>
      <c r="O40" s="134"/>
      <c r="P40" s="107"/>
      <c r="Q40" s="132" t="str">
        <f>Q11</f>
        <v>3003: F-15 I-Level Fault Isolation Tester EMD - Option Period 3</v>
      </c>
      <c r="R40" s="133"/>
      <c r="S40" s="134"/>
      <c r="T40" s="107"/>
    </row>
    <row r="41" spans="1:20" x14ac:dyDescent="0.25">
      <c r="A41" s="38"/>
      <c r="B41" s="79"/>
      <c r="C41" s="56" t="s">
        <v>174</v>
      </c>
      <c r="D41" s="57" t="s">
        <v>172</v>
      </c>
      <c r="E41" s="58" t="s">
        <v>10</v>
      </c>
      <c r="F41" s="101"/>
      <c r="G41" s="56" t="s">
        <v>174</v>
      </c>
      <c r="H41" s="57" t="s">
        <v>172</v>
      </c>
      <c r="I41" s="58" t="s">
        <v>10</v>
      </c>
      <c r="J41" s="101"/>
      <c r="K41" s="101"/>
      <c r="L41" s="79"/>
      <c r="M41" s="56" t="s">
        <v>174</v>
      </c>
      <c r="N41" s="57" t="s">
        <v>172</v>
      </c>
      <c r="O41" s="58" t="s">
        <v>10</v>
      </c>
      <c r="P41" s="101"/>
      <c r="Q41" s="56" t="s">
        <v>174</v>
      </c>
      <c r="R41" s="57" t="s">
        <v>172</v>
      </c>
      <c r="S41" s="58" t="s">
        <v>10</v>
      </c>
      <c r="T41" s="101"/>
    </row>
    <row r="42" spans="1:20" x14ac:dyDescent="0.25">
      <c r="A42" s="38"/>
      <c r="B42" s="80" t="s">
        <v>180</v>
      </c>
      <c r="C42" s="81"/>
      <c r="D42" s="82"/>
      <c r="E42" s="83"/>
      <c r="F42" s="100"/>
      <c r="G42" s="81"/>
      <c r="H42" s="82"/>
      <c r="I42" s="83"/>
      <c r="J42" s="100"/>
      <c r="K42" s="100"/>
      <c r="L42" s="80" t="s">
        <v>180</v>
      </c>
      <c r="M42" s="81"/>
      <c r="N42" s="82"/>
      <c r="O42" s="83"/>
      <c r="P42" s="100"/>
      <c r="Q42" s="81"/>
      <c r="R42" s="82"/>
      <c r="S42" s="83"/>
      <c r="T42" s="100"/>
    </row>
    <row r="43" spans="1:20" x14ac:dyDescent="0.25">
      <c r="A43" s="38"/>
      <c r="B43" s="51" t="s">
        <v>161</v>
      </c>
      <c r="C43" s="69">
        <f>+E42</f>
        <v>0</v>
      </c>
      <c r="D43" s="70">
        <v>0</v>
      </c>
      <c r="E43" s="71">
        <f>+C43*D43</f>
        <v>0</v>
      </c>
      <c r="F43" s="108"/>
      <c r="G43" s="69">
        <f>+I42</f>
        <v>0</v>
      </c>
      <c r="H43" s="70">
        <v>0</v>
      </c>
      <c r="I43" s="71">
        <f>+G43*H43</f>
        <v>0</v>
      </c>
      <c r="J43" s="108"/>
      <c r="K43" s="108"/>
      <c r="L43" s="51" t="s">
        <v>161</v>
      </c>
      <c r="M43" s="69">
        <f>+O42</f>
        <v>0</v>
      </c>
      <c r="N43" s="70">
        <v>0</v>
      </c>
      <c r="O43" s="71">
        <f>+M43*N43</f>
        <v>0</v>
      </c>
      <c r="P43" s="108"/>
      <c r="Q43" s="69">
        <f>+S42</f>
        <v>0</v>
      </c>
      <c r="R43" s="70">
        <v>0</v>
      </c>
      <c r="S43" s="71">
        <f>+Q43*R43</f>
        <v>0</v>
      </c>
      <c r="T43" s="108"/>
    </row>
    <row r="44" spans="1:20" x14ac:dyDescent="0.25">
      <c r="A44" s="38"/>
      <c r="B44" s="51" t="s">
        <v>162</v>
      </c>
      <c r="C44" s="69">
        <f>+C43+E43</f>
        <v>0</v>
      </c>
      <c r="D44" s="70">
        <v>0</v>
      </c>
      <c r="E44" s="71">
        <f>+C44*D44</f>
        <v>0</v>
      </c>
      <c r="F44" s="108"/>
      <c r="G44" s="69">
        <f>+G43+I43</f>
        <v>0</v>
      </c>
      <c r="H44" s="70">
        <v>0</v>
      </c>
      <c r="I44" s="71">
        <f>+G44*H44</f>
        <v>0</v>
      </c>
      <c r="J44" s="108"/>
      <c r="K44" s="108"/>
      <c r="L44" s="51" t="s">
        <v>162</v>
      </c>
      <c r="M44" s="69">
        <f>+M43+O43</f>
        <v>0</v>
      </c>
      <c r="N44" s="70">
        <v>0</v>
      </c>
      <c r="O44" s="71">
        <f>+M44*N44</f>
        <v>0</v>
      </c>
      <c r="P44" s="108"/>
      <c r="Q44" s="69">
        <f>+Q43+S43</f>
        <v>0</v>
      </c>
      <c r="R44" s="70">
        <v>0</v>
      </c>
      <c r="S44" s="71">
        <f>+Q44*R44</f>
        <v>0</v>
      </c>
      <c r="T44" s="108"/>
    </row>
    <row r="45" spans="1:20" x14ac:dyDescent="0.25">
      <c r="A45" s="38"/>
      <c r="B45" s="51" t="s">
        <v>163</v>
      </c>
      <c r="C45" s="69">
        <f>+C43</f>
        <v>0</v>
      </c>
      <c r="D45" s="70">
        <v>0</v>
      </c>
      <c r="E45" s="71">
        <f>+C45*D45</f>
        <v>0</v>
      </c>
      <c r="F45" s="100"/>
      <c r="G45" s="69">
        <f>+G43</f>
        <v>0</v>
      </c>
      <c r="H45" s="70">
        <v>0</v>
      </c>
      <c r="I45" s="71">
        <f>+G45*H45</f>
        <v>0</v>
      </c>
      <c r="J45" s="100"/>
      <c r="K45" s="100"/>
      <c r="L45" s="51" t="s">
        <v>163</v>
      </c>
      <c r="M45" s="69">
        <f>+M43</f>
        <v>0</v>
      </c>
      <c r="N45" s="70">
        <v>0</v>
      </c>
      <c r="O45" s="71">
        <f>+M45*N45</f>
        <v>0</v>
      </c>
      <c r="P45" s="100"/>
      <c r="Q45" s="69">
        <f>+Q43</f>
        <v>0</v>
      </c>
      <c r="R45" s="70">
        <v>0</v>
      </c>
      <c r="S45" s="71">
        <f>+Q45*R45</f>
        <v>0</v>
      </c>
      <c r="T45" s="100"/>
    </row>
    <row r="46" spans="1:20" x14ac:dyDescent="0.25">
      <c r="A46" s="38"/>
      <c r="B46" s="51" t="s">
        <v>164</v>
      </c>
      <c r="C46" s="69">
        <f>+C44+E44</f>
        <v>0</v>
      </c>
      <c r="D46" s="70">
        <v>0</v>
      </c>
      <c r="E46" s="71">
        <f>+C46*D46</f>
        <v>0</v>
      </c>
      <c r="F46" s="100"/>
      <c r="G46" s="69">
        <f>+G44+I44</f>
        <v>0</v>
      </c>
      <c r="H46" s="70">
        <v>0</v>
      </c>
      <c r="I46" s="71">
        <f>+G46*H46</f>
        <v>0</v>
      </c>
      <c r="J46" s="100"/>
      <c r="K46" s="100"/>
      <c r="L46" s="51" t="s">
        <v>164</v>
      </c>
      <c r="M46" s="69">
        <f>+M44+O44</f>
        <v>0</v>
      </c>
      <c r="N46" s="70">
        <v>0</v>
      </c>
      <c r="O46" s="71">
        <f>+M46*N46</f>
        <v>0</v>
      </c>
      <c r="P46" s="100"/>
      <c r="Q46" s="69">
        <f>+Q44+S44</f>
        <v>0</v>
      </c>
      <c r="R46" s="70">
        <v>0</v>
      </c>
      <c r="S46" s="71">
        <f>+Q46*R46</f>
        <v>0</v>
      </c>
      <c r="T46" s="100"/>
    </row>
    <row r="47" spans="1:20" x14ac:dyDescent="0.25">
      <c r="A47" s="38"/>
      <c r="B47" s="51" t="s">
        <v>175</v>
      </c>
      <c r="C47" s="84"/>
      <c r="D47" s="85"/>
      <c r="E47" s="71">
        <f>+ROUND(SUM(E42:E44),0)</f>
        <v>0</v>
      </c>
      <c r="F47" s="100"/>
      <c r="G47" s="84"/>
      <c r="H47" s="85"/>
      <c r="I47" s="71">
        <f>+ROUND(SUM(I42:I44),0)</f>
        <v>0</v>
      </c>
      <c r="J47" s="100"/>
      <c r="K47" s="100"/>
      <c r="L47" s="51" t="s">
        <v>270</v>
      </c>
      <c r="M47" s="84"/>
      <c r="N47" s="85"/>
      <c r="O47" s="71">
        <f>+ROUND(SUM(O42:O44),0)</f>
        <v>0</v>
      </c>
      <c r="P47" s="100"/>
      <c r="Q47" s="84"/>
      <c r="R47" s="85"/>
      <c r="S47" s="71">
        <f>+ROUND(SUM(S42:S44),0)</f>
        <v>0</v>
      </c>
      <c r="T47" s="100"/>
    </row>
    <row r="48" spans="1:20" x14ac:dyDescent="0.25">
      <c r="A48" s="38"/>
      <c r="B48" s="51" t="s">
        <v>176</v>
      </c>
      <c r="C48" s="81"/>
      <c r="D48" s="86"/>
      <c r="E48" s="71">
        <f>+ROUND(E45,0)</f>
        <v>0</v>
      </c>
      <c r="F48" s="100"/>
      <c r="G48" s="81"/>
      <c r="H48" s="86"/>
      <c r="I48" s="71">
        <f>+ROUND(I45,0)</f>
        <v>0</v>
      </c>
      <c r="J48" s="100"/>
      <c r="K48" s="100"/>
      <c r="L48" s="51" t="s">
        <v>271</v>
      </c>
      <c r="M48" s="81"/>
      <c r="N48" s="86"/>
      <c r="O48" s="71">
        <f>+ROUND(O45,0)</f>
        <v>0</v>
      </c>
      <c r="P48" s="100"/>
      <c r="Q48" s="81"/>
      <c r="R48" s="86"/>
      <c r="S48" s="71">
        <f>+ROUND(S45,0)</f>
        <v>0</v>
      </c>
      <c r="T48" s="100"/>
    </row>
    <row r="49" spans="1:20" x14ac:dyDescent="0.25">
      <c r="B49" s="51" t="s">
        <v>177</v>
      </c>
      <c r="C49" s="81"/>
      <c r="D49" s="86"/>
      <c r="E49" s="87">
        <f>+ROUND(E46,0)</f>
        <v>0</v>
      </c>
      <c r="F49" s="109"/>
      <c r="G49" s="81"/>
      <c r="H49" s="86"/>
      <c r="I49" s="87">
        <f>+ROUND(I46,0)</f>
        <v>0</v>
      </c>
      <c r="J49" s="109"/>
      <c r="K49" s="109"/>
      <c r="L49" s="51" t="s">
        <v>272</v>
      </c>
      <c r="M49" s="81"/>
      <c r="N49" s="86"/>
      <c r="O49" s="87">
        <f>+ROUND(O46,0)</f>
        <v>0</v>
      </c>
      <c r="P49" s="109"/>
      <c r="Q49" s="81"/>
      <c r="R49" s="86"/>
      <c r="S49" s="87">
        <f>+ROUND(S46,0)</f>
        <v>0</v>
      </c>
      <c r="T49" s="109"/>
    </row>
    <row r="50" spans="1:20" ht="16.5" thickBot="1" x14ac:dyDescent="0.3">
      <c r="B50" s="52" t="s">
        <v>178</v>
      </c>
      <c r="C50" s="112"/>
      <c r="D50" s="88"/>
      <c r="E50" s="64">
        <f t="shared" ref="E50" si="4">SUM(E47:E49)</f>
        <v>0</v>
      </c>
      <c r="F50" s="99"/>
      <c r="G50" s="112"/>
      <c r="H50" s="88"/>
      <c r="I50" s="64">
        <f t="shared" ref="I50" si="5">SUM(I47:I49)</f>
        <v>0</v>
      </c>
      <c r="J50" s="99"/>
      <c r="K50" s="99"/>
      <c r="L50" s="52" t="s">
        <v>273</v>
      </c>
      <c r="M50" s="112"/>
      <c r="N50" s="88"/>
      <c r="O50" s="64">
        <f t="shared" ref="O50" si="6">SUM(O47:O49)</f>
        <v>0</v>
      </c>
      <c r="P50" s="99"/>
      <c r="Q50" s="112"/>
      <c r="R50" s="88"/>
      <c r="S50" s="64">
        <f t="shared" ref="S50" si="7">SUM(S47:S49)</f>
        <v>0</v>
      </c>
      <c r="T50" s="99"/>
    </row>
    <row r="51" spans="1:20" ht="16.5" thickBot="1" x14ac:dyDescent="0.3">
      <c r="B51" s="41"/>
      <c r="F51" s="110"/>
      <c r="J51" s="110"/>
      <c r="K51" s="110"/>
      <c r="L51" s="41"/>
      <c r="P51" s="110"/>
      <c r="T51" s="110"/>
    </row>
    <row r="52" spans="1:20" ht="16.5" thickBot="1" x14ac:dyDescent="0.3">
      <c r="A52" s="38"/>
      <c r="B52" s="189" t="str">
        <f>B39</f>
        <v xml:space="preserve">CLINs 0003 &amp; 1003: CPFF </v>
      </c>
      <c r="C52" s="186" t="s">
        <v>181</v>
      </c>
      <c r="D52" s="187"/>
      <c r="E52" s="188"/>
      <c r="F52" s="106"/>
      <c r="G52" s="186" t="s">
        <v>181</v>
      </c>
      <c r="H52" s="187"/>
      <c r="I52" s="188"/>
      <c r="J52" s="106"/>
      <c r="K52" s="106"/>
      <c r="L52" s="149"/>
      <c r="M52" s="186" t="s">
        <v>181</v>
      </c>
      <c r="N52" s="187"/>
      <c r="O52" s="188"/>
      <c r="P52" s="106"/>
      <c r="Q52" s="186" t="s">
        <v>181</v>
      </c>
      <c r="R52" s="187"/>
      <c r="S52" s="188"/>
      <c r="T52" s="106"/>
    </row>
    <row r="53" spans="1:20" ht="16.5" thickBot="1" x14ac:dyDescent="0.3">
      <c r="A53" s="38"/>
      <c r="B53" s="190"/>
      <c r="C53" s="129" t="str">
        <f>C40</f>
        <v>0003: A-10 O-Level Handheld/Pre-load Tester Prototype design and digital development - Basic Period</v>
      </c>
      <c r="D53" s="130"/>
      <c r="E53" s="131"/>
      <c r="F53" s="107"/>
      <c r="G53" s="132" t="str">
        <f>G40</f>
        <v>1003: A-10 O-Level Handheld/Pre-load Tester EMD - Option Period 1</v>
      </c>
      <c r="H53" s="133"/>
      <c r="I53" s="134"/>
      <c r="J53" s="107"/>
      <c r="K53" s="107"/>
      <c r="L53" s="150"/>
      <c r="M53" s="132" t="str">
        <f>M40</f>
        <v>2003: F-16 I-Level Fault Isolation Tester EMD - Option Period 2</v>
      </c>
      <c r="N53" s="133"/>
      <c r="O53" s="134"/>
      <c r="P53" s="107"/>
      <c r="Q53" s="132" t="str">
        <f>Q40</f>
        <v>3003: F-15 I-Level Fault Isolation Tester EMD - Option Period 3</v>
      </c>
      <c r="R53" s="133"/>
      <c r="S53" s="134"/>
      <c r="T53" s="107"/>
    </row>
    <row r="54" spans="1:20" x14ac:dyDescent="0.25">
      <c r="A54" s="38"/>
      <c r="B54" s="79"/>
      <c r="C54" s="56" t="s">
        <v>174</v>
      </c>
      <c r="D54" s="57" t="s">
        <v>172</v>
      </c>
      <c r="E54" s="58" t="s">
        <v>10</v>
      </c>
      <c r="F54" s="101"/>
      <c r="G54" s="56" t="s">
        <v>174</v>
      </c>
      <c r="H54" s="57" t="s">
        <v>172</v>
      </c>
      <c r="I54" s="58" t="s">
        <v>10</v>
      </c>
      <c r="J54" s="101"/>
      <c r="K54" s="101"/>
      <c r="L54" s="79"/>
      <c r="M54" s="56" t="s">
        <v>174</v>
      </c>
      <c r="N54" s="57" t="s">
        <v>172</v>
      </c>
      <c r="O54" s="58" t="s">
        <v>10</v>
      </c>
      <c r="P54" s="101"/>
      <c r="Q54" s="56" t="s">
        <v>174</v>
      </c>
      <c r="R54" s="57" t="s">
        <v>172</v>
      </c>
      <c r="S54" s="58" t="s">
        <v>10</v>
      </c>
      <c r="T54" s="101"/>
    </row>
    <row r="55" spans="1:20" x14ac:dyDescent="0.25">
      <c r="A55" s="38"/>
      <c r="B55" s="80" t="s">
        <v>182</v>
      </c>
      <c r="C55" s="81"/>
      <c r="D55" s="82"/>
      <c r="E55" s="83"/>
      <c r="F55" s="100"/>
      <c r="G55" s="81"/>
      <c r="H55" s="82"/>
      <c r="I55" s="83"/>
      <c r="J55" s="100"/>
      <c r="K55" s="100"/>
      <c r="L55" s="80" t="s">
        <v>182</v>
      </c>
      <c r="M55" s="81"/>
      <c r="N55" s="82"/>
      <c r="O55" s="83"/>
      <c r="P55" s="100"/>
      <c r="Q55" s="81"/>
      <c r="R55" s="82"/>
      <c r="S55" s="83"/>
      <c r="T55" s="100"/>
    </row>
    <row r="56" spans="1:20" x14ac:dyDescent="0.25">
      <c r="A56" s="38"/>
      <c r="B56" s="51" t="s">
        <v>161</v>
      </c>
      <c r="C56" s="69">
        <f>+E55</f>
        <v>0</v>
      </c>
      <c r="D56" s="70">
        <v>0</v>
      </c>
      <c r="E56" s="71">
        <f>+C56*D56</f>
        <v>0</v>
      </c>
      <c r="F56" s="108"/>
      <c r="G56" s="69">
        <f>+I55</f>
        <v>0</v>
      </c>
      <c r="H56" s="70">
        <v>0</v>
      </c>
      <c r="I56" s="71">
        <f>+G56*H56</f>
        <v>0</v>
      </c>
      <c r="J56" s="108"/>
      <c r="K56" s="108"/>
      <c r="L56" s="51" t="s">
        <v>161</v>
      </c>
      <c r="M56" s="69">
        <f>+O55</f>
        <v>0</v>
      </c>
      <c r="N56" s="70">
        <v>0</v>
      </c>
      <c r="O56" s="71">
        <f>+M56*N56</f>
        <v>0</v>
      </c>
      <c r="P56" s="108"/>
      <c r="Q56" s="69">
        <f>+S55</f>
        <v>0</v>
      </c>
      <c r="R56" s="70">
        <v>0</v>
      </c>
      <c r="S56" s="71">
        <f>+Q56*R56</f>
        <v>0</v>
      </c>
      <c r="T56" s="108"/>
    </row>
    <row r="57" spans="1:20" x14ac:dyDescent="0.25">
      <c r="A57" s="38"/>
      <c r="B57" s="51" t="s">
        <v>162</v>
      </c>
      <c r="C57" s="69">
        <f>+C56+E56</f>
        <v>0</v>
      </c>
      <c r="D57" s="70">
        <v>0</v>
      </c>
      <c r="E57" s="71">
        <f>+C57*D57</f>
        <v>0</v>
      </c>
      <c r="F57" s="108"/>
      <c r="G57" s="69">
        <f>+G56+I56</f>
        <v>0</v>
      </c>
      <c r="H57" s="70">
        <v>0</v>
      </c>
      <c r="I57" s="71">
        <f>+G57*H57</f>
        <v>0</v>
      </c>
      <c r="J57" s="108"/>
      <c r="K57" s="108"/>
      <c r="L57" s="51" t="s">
        <v>162</v>
      </c>
      <c r="M57" s="69">
        <f>+M56+O56</f>
        <v>0</v>
      </c>
      <c r="N57" s="70">
        <v>0</v>
      </c>
      <c r="O57" s="71">
        <f>+M57*N57</f>
        <v>0</v>
      </c>
      <c r="P57" s="108"/>
      <c r="Q57" s="69">
        <f>+Q56+S56</f>
        <v>0</v>
      </c>
      <c r="R57" s="70">
        <v>0</v>
      </c>
      <c r="S57" s="71">
        <f>+Q57*R57</f>
        <v>0</v>
      </c>
      <c r="T57" s="108"/>
    </row>
    <row r="58" spans="1:20" x14ac:dyDescent="0.25">
      <c r="A58" s="38"/>
      <c r="B58" s="51" t="s">
        <v>163</v>
      </c>
      <c r="C58" s="69">
        <f>+C56</f>
        <v>0</v>
      </c>
      <c r="D58" s="70">
        <v>0</v>
      </c>
      <c r="E58" s="71">
        <f>+C58*D58</f>
        <v>0</v>
      </c>
      <c r="F58" s="100"/>
      <c r="G58" s="69">
        <f>+G56</f>
        <v>0</v>
      </c>
      <c r="H58" s="70">
        <v>0</v>
      </c>
      <c r="I58" s="71">
        <f>+G58*H58</f>
        <v>0</v>
      </c>
      <c r="J58" s="100"/>
      <c r="K58" s="100"/>
      <c r="L58" s="51" t="s">
        <v>163</v>
      </c>
      <c r="M58" s="69">
        <f>+M56</f>
        <v>0</v>
      </c>
      <c r="N58" s="70">
        <v>0</v>
      </c>
      <c r="O58" s="71">
        <f>+M58*N58</f>
        <v>0</v>
      </c>
      <c r="P58" s="100"/>
      <c r="Q58" s="69">
        <f>+Q56</f>
        <v>0</v>
      </c>
      <c r="R58" s="70">
        <v>0</v>
      </c>
      <c r="S58" s="71">
        <f>+Q58*R58</f>
        <v>0</v>
      </c>
      <c r="T58" s="100"/>
    </row>
    <row r="59" spans="1:20" x14ac:dyDescent="0.25">
      <c r="A59" s="38"/>
      <c r="B59" s="51" t="s">
        <v>164</v>
      </c>
      <c r="C59" s="69">
        <f>+C57+E57</f>
        <v>0</v>
      </c>
      <c r="D59" s="70">
        <v>0</v>
      </c>
      <c r="E59" s="71">
        <f>+C59*D59</f>
        <v>0</v>
      </c>
      <c r="F59" s="100"/>
      <c r="G59" s="69">
        <f>+G57+I57</f>
        <v>0</v>
      </c>
      <c r="H59" s="70">
        <v>0</v>
      </c>
      <c r="I59" s="71">
        <f>+G59*H59</f>
        <v>0</v>
      </c>
      <c r="J59" s="100"/>
      <c r="K59" s="100"/>
      <c r="L59" s="51" t="s">
        <v>164</v>
      </c>
      <c r="M59" s="69">
        <f>+M57+O57</f>
        <v>0</v>
      </c>
      <c r="N59" s="70">
        <v>0</v>
      </c>
      <c r="O59" s="71">
        <f>+M59*N59</f>
        <v>0</v>
      </c>
      <c r="P59" s="100"/>
      <c r="Q59" s="69">
        <f>+Q57+S57</f>
        <v>0</v>
      </c>
      <c r="R59" s="70">
        <v>0</v>
      </c>
      <c r="S59" s="71">
        <f>+Q59*R59</f>
        <v>0</v>
      </c>
      <c r="T59" s="100"/>
    </row>
    <row r="60" spans="1:20" x14ac:dyDescent="0.25">
      <c r="A60" s="38"/>
      <c r="B60" s="51" t="s">
        <v>175</v>
      </c>
      <c r="C60" s="84"/>
      <c r="D60" s="85"/>
      <c r="E60" s="71">
        <f>+ROUND(SUM(E55:E57),0)</f>
        <v>0</v>
      </c>
      <c r="F60" s="100"/>
      <c r="G60" s="84"/>
      <c r="H60" s="85"/>
      <c r="I60" s="71">
        <f>+ROUND(SUM(I55:I57),0)</f>
        <v>0</v>
      </c>
      <c r="J60" s="100"/>
      <c r="K60" s="100"/>
      <c r="L60" s="51" t="s">
        <v>270</v>
      </c>
      <c r="M60" s="84"/>
      <c r="N60" s="85"/>
      <c r="O60" s="71">
        <f>+ROUND(SUM(O55:O57),0)</f>
        <v>0</v>
      </c>
      <c r="P60" s="100"/>
      <c r="Q60" s="84"/>
      <c r="R60" s="85"/>
      <c r="S60" s="71">
        <f>+ROUND(SUM(S55:S57),0)</f>
        <v>0</v>
      </c>
      <c r="T60" s="100"/>
    </row>
    <row r="61" spans="1:20" x14ac:dyDescent="0.25">
      <c r="A61" s="38"/>
      <c r="B61" s="51" t="s">
        <v>176</v>
      </c>
      <c r="C61" s="81"/>
      <c r="D61" s="86"/>
      <c r="E61" s="71">
        <f>+ROUND(E58,0)</f>
        <v>0</v>
      </c>
      <c r="F61" s="100"/>
      <c r="G61" s="81"/>
      <c r="H61" s="86"/>
      <c r="I61" s="71">
        <f>+ROUND(I58,0)</f>
        <v>0</v>
      </c>
      <c r="J61" s="100"/>
      <c r="K61" s="100"/>
      <c r="L61" s="51" t="s">
        <v>271</v>
      </c>
      <c r="M61" s="81"/>
      <c r="N61" s="86"/>
      <c r="O61" s="71">
        <f>+ROUND(O58,0)</f>
        <v>0</v>
      </c>
      <c r="P61" s="100"/>
      <c r="Q61" s="81"/>
      <c r="R61" s="86"/>
      <c r="S61" s="71">
        <f>+ROUND(S58,0)</f>
        <v>0</v>
      </c>
      <c r="T61" s="100"/>
    </row>
    <row r="62" spans="1:20" x14ac:dyDescent="0.25">
      <c r="B62" s="51" t="s">
        <v>177</v>
      </c>
      <c r="C62" s="81"/>
      <c r="D62" s="86"/>
      <c r="E62" s="87">
        <f>+ROUND(E59,0)</f>
        <v>0</v>
      </c>
      <c r="F62" s="109"/>
      <c r="G62" s="81"/>
      <c r="H62" s="86"/>
      <c r="I62" s="87">
        <f>+ROUND(I59,0)</f>
        <v>0</v>
      </c>
      <c r="J62" s="109"/>
      <c r="K62" s="109"/>
      <c r="L62" s="51" t="s">
        <v>272</v>
      </c>
      <c r="M62" s="81"/>
      <c r="N62" s="86"/>
      <c r="O62" s="87">
        <f>+ROUND(O59,0)</f>
        <v>0</v>
      </c>
      <c r="P62" s="109"/>
      <c r="Q62" s="81"/>
      <c r="R62" s="86"/>
      <c r="S62" s="87">
        <f>+ROUND(S59,0)</f>
        <v>0</v>
      </c>
      <c r="T62" s="109"/>
    </row>
    <row r="63" spans="1:20" ht="16.5" thickBot="1" x14ac:dyDescent="0.3">
      <c r="B63" s="52" t="s">
        <v>178</v>
      </c>
      <c r="C63" s="112"/>
      <c r="D63" s="88"/>
      <c r="E63" s="64">
        <f t="shared" ref="E63" si="8">SUM(E60:E62)</f>
        <v>0</v>
      </c>
      <c r="F63" s="99"/>
      <c r="G63" s="112"/>
      <c r="H63" s="88"/>
      <c r="I63" s="64">
        <f t="shared" ref="I63" si="9">SUM(I60:I62)</f>
        <v>0</v>
      </c>
      <c r="J63" s="99"/>
      <c r="K63" s="99"/>
      <c r="L63" s="52" t="s">
        <v>273</v>
      </c>
      <c r="M63" s="112"/>
      <c r="N63" s="88"/>
      <c r="O63" s="64">
        <f t="shared" ref="O63" si="10">SUM(O60:O62)</f>
        <v>0</v>
      </c>
      <c r="P63" s="99"/>
      <c r="Q63" s="112"/>
      <c r="R63" s="88"/>
      <c r="S63" s="64">
        <f t="shared" ref="S63" si="11">SUM(S60:S62)</f>
        <v>0</v>
      </c>
      <c r="T63" s="99"/>
    </row>
    <row r="64" spans="1:20" x14ac:dyDescent="0.25">
      <c r="B64" s="41"/>
      <c r="F64" s="110"/>
      <c r="J64" s="110"/>
      <c r="K64" s="110"/>
      <c r="L64" s="41"/>
      <c r="P64" s="110"/>
      <c r="T64" s="110"/>
    </row>
    <row r="65" spans="2:20" ht="16.5" thickBot="1" x14ac:dyDescent="0.3">
      <c r="F65" s="110"/>
      <c r="J65" s="110"/>
      <c r="K65" s="110"/>
      <c r="L65" s="37"/>
      <c r="P65" s="110"/>
      <c r="T65" s="110"/>
    </row>
    <row r="66" spans="2:20" ht="16.5" thickBot="1" x14ac:dyDescent="0.3">
      <c r="B66" s="189" t="str">
        <f>B52</f>
        <v xml:space="preserve">CLINs 0003 &amp; 1003: CPFF </v>
      </c>
      <c r="C66" s="186" t="s">
        <v>183</v>
      </c>
      <c r="D66" s="187"/>
      <c r="E66" s="188"/>
      <c r="F66" s="106"/>
      <c r="G66" s="186" t="s">
        <v>183</v>
      </c>
      <c r="H66" s="187"/>
      <c r="I66" s="188"/>
      <c r="J66" s="106"/>
      <c r="K66" s="106"/>
      <c r="L66" s="149"/>
      <c r="M66" s="186" t="s">
        <v>183</v>
      </c>
      <c r="N66" s="187"/>
      <c r="O66" s="188"/>
      <c r="P66" s="106"/>
      <c r="Q66" s="186" t="s">
        <v>183</v>
      </c>
      <c r="R66" s="187"/>
      <c r="S66" s="188"/>
      <c r="T66" s="106"/>
    </row>
    <row r="67" spans="2:20" ht="16.5" thickBot="1" x14ac:dyDescent="0.3">
      <c r="B67" s="190"/>
      <c r="C67" s="89"/>
      <c r="D67" s="55"/>
      <c r="E67" s="90" t="s">
        <v>292</v>
      </c>
      <c r="F67" s="111"/>
      <c r="G67" s="89"/>
      <c r="H67" s="55"/>
      <c r="I67" s="90" t="s">
        <v>293</v>
      </c>
      <c r="J67" s="111"/>
      <c r="K67" s="111"/>
      <c r="L67" s="150"/>
      <c r="M67" s="89"/>
      <c r="N67" s="55"/>
      <c r="O67" s="90" t="s">
        <v>294</v>
      </c>
      <c r="P67" s="111"/>
      <c r="Q67" s="89"/>
      <c r="R67" s="55"/>
      <c r="S67" s="90" t="s">
        <v>295</v>
      </c>
      <c r="T67" s="111"/>
    </row>
    <row r="68" spans="2:20" x14ac:dyDescent="0.25">
      <c r="B68" s="51" t="s">
        <v>175</v>
      </c>
      <c r="C68" s="91"/>
      <c r="D68" s="91"/>
      <c r="E68" s="92">
        <f>+ROUND(E33+E47+E60,0)</f>
        <v>0</v>
      </c>
      <c r="F68" s="100"/>
      <c r="G68" s="91"/>
      <c r="H68" s="91"/>
      <c r="I68" s="92">
        <f>+ROUND(I33+I47+I60,0)</f>
        <v>0</v>
      </c>
      <c r="J68" s="100"/>
      <c r="K68" s="100"/>
      <c r="L68" s="51" t="s">
        <v>270</v>
      </c>
      <c r="M68" s="91"/>
      <c r="N68" s="91"/>
      <c r="O68" s="92">
        <f>+ROUND(O33+O47+O60,0)</f>
        <v>0</v>
      </c>
      <c r="P68" s="100"/>
      <c r="Q68" s="91"/>
      <c r="R68" s="91"/>
      <c r="S68" s="92">
        <f>+ROUND(S33+S47+S60,0)</f>
        <v>0</v>
      </c>
      <c r="T68" s="100"/>
    </row>
    <row r="69" spans="2:20" x14ac:dyDescent="0.25">
      <c r="B69" s="51" t="s">
        <v>176</v>
      </c>
      <c r="C69" s="91"/>
      <c r="D69" s="91"/>
      <c r="E69" s="71">
        <f>+ROUND(E34+E48+E61,0)</f>
        <v>0</v>
      </c>
      <c r="F69" s="100"/>
      <c r="G69" s="91"/>
      <c r="H69" s="91"/>
      <c r="I69" s="71">
        <f>+ROUND(I34+I48+I61,0)</f>
        <v>0</v>
      </c>
      <c r="J69" s="100"/>
      <c r="K69" s="100"/>
      <c r="L69" s="51" t="s">
        <v>271</v>
      </c>
      <c r="M69" s="91"/>
      <c r="N69" s="91"/>
      <c r="O69" s="71">
        <f>+ROUND(O34+O48+O61,0)</f>
        <v>0</v>
      </c>
      <c r="P69" s="100"/>
      <c r="Q69" s="91"/>
      <c r="R69" s="91"/>
      <c r="S69" s="71">
        <f>+ROUND(S34+S48+S61,0)</f>
        <v>0</v>
      </c>
      <c r="T69" s="100"/>
    </row>
    <row r="70" spans="2:20" x14ac:dyDescent="0.25">
      <c r="B70" s="51" t="s">
        <v>177</v>
      </c>
      <c r="C70" s="91"/>
      <c r="D70" s="91"/>
      <c r="E70" s="74">
        <f>+ROUND(E35+E49+E62,0)</f>
        <v>0</v>
      </c>
      <c r="F70" s="102"/>
      <c r="G70" s="91"/>
      <c r="H70" s="91"/>
      <c r="I70" s="74">
        <f>+ROUND(I35+I49+I62,0)</f>
        <v>0</v>
      </c>
      <c r="J70" s="102"/>
      <c r="K70" s="102"/>
      <c r="L70" s="51" t="s">
        <v>272</v>
      </c>
      <c r="M70" s="91"/>
      <c r="N70" s="91"/>
      <c r="O70" s="74">
        <f>+ROUND(O35+O49+O62,0)</f>
        <v>0</v>
      </c>
      <c r="P70" s="102"/>
      <c r="Q70" s="91"/>
      <c r="R70" s="91"/>
      <c r="S70" s="74">
        <f>+ROUND(S35+S49+S62,0)</f>
        <v>0</v>
      </c>
      <c r="T70" s="102"/>
    </row>
    <row r="71" spans="2:20" ht="16.5" thickBot="1" x14ac:dyDescent="0.3">
      <c r="B71" s="52" t="s">
        <v>178</v>
      </c>
      <c r="C71" s="93"/>
      <c r="D71" s="93"/>
      <c r="E71" s="77">
        <f>SUM(E68:E70)</f>
        <v>0</v>
      </c>
      <c r="F71" s="103"/>
      <c r="G71" s="93"/>
      <c r="H71" s="93"/>
      <c r="I71" s="77">
        <f>SUM(I68:I70)</f>
        <v>0</v>
      </c>
      <c r="J71" s="103"/>
      <c r="K71" s="103"/>
      <c r="L71" s="52" t="s">
        <v>273</v>
      </c>
      <c r="M71" s="93"/>
      <c r="N71" s="93"/>
      <c r="O71" s="77">
        <f>SUM(O68:O70)</f>
        <v>0</v>
      </c>
      <c r="P71" s="103"/>
      <c r="Q71" s="93"/>
      <c r="R71" s="93"/>
      <c r="S71" s="77">
        <f>SUM(S68:S70)</f>
        <v>0</v>
      </c>
      <c r="T71" s="103"/>
    </row>
  </sheetData>
  <mergeCells count="21">
    <mergeCell ref="B66:B67"/>
    <mergeCell ref="C66:E66"/>
    <mergeCell ref="G66:I66"/>
    <mergeCell ref="M66:O66"/>
    <mergeCell ref="Q66:S66"/>
    <mergeCell ref="B39:B40"/>
    <mergeCell ref="C39:E39"/>
    <mergeCell ref="G39:I39"/>
    <mergeCell ref="M39:O39"/>
    <mergeCell ref="Q39:S39"/>
    <mergeCell ref="B52:B53"/>
    <mergeCell ref="C52:E52"/>
    <mergeCell ref="G52:I52"/>
    <mergeCell ref="M52:O52"/>
    <mergeCell ref="Q52:S52"/>
    <mergeCell ref="Q10:S10"/>
    <mergeCell ref="B10:B11"/>
    <mergeCell ref="C10:E10"/>
    <mergeCell ref="G10:I10"/>
    <mergeCell ref="L10:L11"/>
    <mergeCell ref="M10:O10"/>
  </mergeCells>
  <pageMargins left="0.7" right="0.7" top="0.75" bottom="0.75" header="0.3" footer="0.3"/>
  <pageSetup orientation="portrait" horizontalDpi="1200" verticalDpi="12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19D32-2C9D-47B0-8E24-975BAE3216F6}">
  <sheetPr>
    <tabColor theme="7" tint="0.79998168889431442"/>
  </sheetPr>
  <dimension ref="A1:T71"/>
  <sheetViews>
    <sheetView workbookViewId="0">
      <selection activeCell="B4" sqref="B4"/>
    </sheetView>
  </sheetViews>
  <sheetFormatPr defaultColWidth="15.85546875" defaultRowHeight="15.75" x14ac:dyDescent="0.25"/>
  <cols>
    <col min="1" max="1" width="3.42578125" style="33" customWidth="1"/>
    <col min="2" max="2" width="49.140625" style="37" customWidth="1"/>
    <col min="3" max="3" width="32.85546875" style="35" customWidth="1"/>
    <col min="4" max="4" width="28.85546875" style="35" customWidth="1"/>
    <col min="5" max="5" width="40.140625" style="35" customWidth="1"/>
    <col min="6" max="6" width="3.140625" style="35" customWidth="1"/>
    <col min="7" max="7" width="28.28515625" style="35" customWidth="1"/>
    <col min="8" max="8" width="25.42578125" style="35" customWidth="1"/>
    <col min="9" max="9" width="35.42578125" style="35" customWidth="1"/>
    <col min="10" max="11" width="3.140625" style="35" customWidth="1"/>
    <col min="12" max="12" width="45" style="35" bestFit="1" customWidth="1"/>
    <col min="13" max="13" width="28.28515625" style="35" customWidth="1"/>
    <col min="14" max="14" width="25.42578125" style="35" customWidth="1"/>
    <col min="15" max="15" width="35.42578125" style="35" customWidth="1"/>
    <col min="16" max="16" width="3.140625" style="35" customWidth="1"/>
    <col min="17" max="17" width="28.28515625" style="35" customWidth="1"/>
    <col min="18" max="18" width="25.42578125" style="35" customWidth="1"/>
    <col min="19" max="19" width="35.42578125" style="35" customWidth="1"/>
    <col min="20" max="20" width="3.140625" style="35" customWidth="1"/>
    <col min="21" max="16384" width="15.85546875" style="35"/>
  </cols>
  <sheetData>
    <row r="1" spans="1:20" x14ac:dyDescent="0.2">
      <c r="B1" s="34" t="s">
        <v>147</v>
      </c>
    </row>
    <row r="2" spans="1:20" x14ac:dyDescent="0.25">
      <c r="A2" s="36"/>
      <c r="B2" s="153" t="s">
        <v>167</v>
      </c>
      <c r="C2" s="94"/>
      <c r="D2" s="94"/>
      <c r="E2" s="94"/>
      <c r="F2" s="94"/>
      <c r="G2" s="94"/>
      <c r="H2" s="94"/>
      <c r="I2" s="94"/>
      <c r="J2" s="94"/>
      <c r="K2" s="94"/>
      <c r="L2" s="94"/>
      <c r="M2" s="94"/>
      <c r="N2" s="94"/>
      <c r="O2" s="94"/>
      <c r="P2" s="94"/>
      <c r="Q2" s="94"/>
      <c r="R2" s="94"/>
      <c r="S2" s="94"/>
      <c r="T2" s="94"/>
    </row>
    <row r="3" spans="1:20" x14ac:dyDescent="0.25">
      <c r="A3" s="36"/>
      <c r="B3" s="153" t="s">
        <v>347</v>
      </c>
      <c r="C3" s="94"/>
      <c r="D3" s="94"/>
      <c r="E3" s="94"/>
      <c r="F3" s="94"/>
      <c r="G3" s="94"/>
      <c r="H3" s="94"/>
      <c r="I3" s="94"/>
      <c r="J3" s="94"/>
      <c r="K3" s="94"/>
      <c r="L3" s="94"/>
      <c r="M3" s="94"/>
      <c r="N3" s="94"/>
      <c r="O3" s="94"/>
      <c r="P3" s="94"/>
      <c r="Q3" s="94"/>
      <c r="R3" s="94"/>
      <c r="S3" s="94"/>
      <c r="T3" s="94"/>
    </row>
    <row r="4" spans="1:20" x14ac:dyDescent="0.25">
      <c r="A4" s="36"/>
      <c r="B4" s="153" t="s">
        <v>231</v>
      </c>
      <c r="C4" s="94"/>
      <c r="D4" s="94"/>
      <c r="E4" s="94"/>
      <c r="F4" s="94"/>
      <c r="G4" s="94"/>
      <c r="H4" s="94"/>
      <c r="I4" s="94"/>
      <c r="J4" s="94"/>
      <c r="K4" s="94"/>
      <c r="L4" s="94"/>
      <c r="M4" s="94"/>
      <c r="N4" s="94"/>
      <c r="O4" s="94"/>
      <c r="P4" s="94"/>
      <c r="Q4" s="94"/>
      <c r="R4" s="94"/>
      <c r="S4" s="94"/>
      <c r="T4" s="94"/>
    </row>
    <row r="5" spans="1:20" x14ac:dyDescent="0.25">
      <c r="A5" s="36"/>
      <c r="B5" s="153" t="s">
        <v>168</v>
      </c>
      <c r="C5" s="94"/>
      <c r="D5" s="94"/>
      <c r="E5" s="94"/>
      <c r="F5" s="94"/>
      <c r="G5" s="94"/>
      <c r="H5" s="94"/>
      <c r="I5" s="94"/>
      <c r="J5" s="94"/>
      <c r="K5" s="94"/>
      <c r="L5" s="94"/>
      <c r="M5" s="94"/>
      <c r="N5" s="94"/>
      <c r="O5" s="94"/>
      <c r="P5" s="94"/>
      <c r="Q5" s="94"/>
      <c r="R5" s="94"/>
      <c r="S5" s="94"/>
      <c r="T5" s="94"/>
    </row>
    <row r="6" spans="1:20" x14ac:dyDescent="0.25">
      <c r="A6" s="36"/>
      <c r="B6" s="153" t="s">
        <v>348</v>
      </c>
      <c r="C6" s="94"/>
      <c r="D6" s="94"/>
      <c r="E6" s="94"/>
      <c r="F6" s="94"/>
      <c r="G6" s="94"/>
      <c r="H6" s="94"/>
      <c r="I6" s="94"/>
      <c r="J6" s="94"/>
      <c r="K6" s="94"/>
      <c r="L6" s="94"/>
      <c r="M6" s="94"/>
      <c r="N6" s="94"/>
      <c r="O6" s="94"/>
      <c r="P6" s="94"/>
      <c r="Q6" s="94"/>
      <c r="R6" s="94"/>
      <c r="S6" s="94"/>
      <c r="T6" s="94"/>
    </row>
    <row r="7" spans="1:20" x14ac:dyDescent="0.25">
      <c r="A7" s="36"/>
      <c r="B7" s="153" t="s">
        <v>274</v>
      </c>
      <c r="C7" s="94"/>
      <c r="D7" s="94"/>
      <c r="E7" s="94"/>
      <c r="F7" s="94"/>
      <c r="G7" s="94"/>
      <c r="H7" s="94"/>
      <c r="I7" s="94"/>
      <c r="J7" s="94"/>
      <c r="K7" s="94"/>
      <c r="L7" s="94"/>
      <c r="M7" s="94"/>
      <c r="N7" s="94"/>
      <c r="O7" s="94"/>
      <c r="P7" s="94"/>
      <c r="Q7" s="94"/>
      <c r="R7" s="94"/>
      <c r="S7" s="94"/>
      <c r="T7" s="94"/>
    </row>
    <row r="9" spans="1:20" ht="16.5" thickBot="1" x14ac:dyDescent="0.3"/>
    <row r="10" spans="1:20" ht="16.5" thickBot="1" x14ac:dyDescent="0.3">
      <c r="A10" s="38"/>
      <c r="B10" s="189" t="s">
        <v>302</v>
      </c>
      <c r="C10" s="186" t="s">
        <v>170</v>
      </c>
      <c r="D10" s="187"/>
      <c r="E10" s="188"/>
      <c r="F10" s="95"/>
      <c r="G10" s="186" t="s">
        <v>170</v>
      </c>
      <c r="H10" s="187"/>
      <c r="I10" s="188"/>
      <c r="J10" s="95"/>
      <c r="K10" s="95"/>
      <c r="L10" s="189" t="s">
        <v>303</v>
      </c>
      <c r="M10" s="186" t="s">
        <v>170</v>
      </c>
      <c r="N10" s="187"/>
      <c r="O10" s="188"/>
      <c r="P10" s="95"/>
      <c r="Q10" s="186" t="s">
        <v>170</v>
      </c>
      <c r="R10" s="187"/>
      <c r="S10" s="188"/>
      <c r="T10" s="95"/>
    </row>
    <row r="11" spans="1:20" ht="16.5" thickBot="1" x14ac:dyDescent="0.3">
      <c r="A11" s="38"/>
      <c r="B11" s="190"/>
      <c r="C11" s="129" t="s">
        <v>304</v>
      </c>
      <c r="D11" s="130"/>
      <c r="E11" s="131"/>
      <c r="F11" s="96"/>
      <c r="G11" s="132" t="s">
        <v>305</v>
      </c>
      <c r="H11" s="133"/>
      <c r="I11" s="134"/>
      <c r="J11" s="96"/>
      <c r="K11" s="96"/>
      <c r="L11" s="190"/>
      <c r="M11" s="132" t="s">
        <v>306</v>
      </c>
      <c r="N11" s="133"/>
      <c r="O11" s="134"/>
      <c r="P11" s="96"/>
      <c r="Q11" s="132" t="s">
        <v>307</v>
      </c>
      <c r="R11" s="133"/>
      <c r="S11" s="134"/>
      <c r="T11" s="96"/>
    </row>
    <row r="12" spans="1:20" x14ac:dyDescent="0.25">
      <c r="A12" s="38"/>
      <c r="B12" s="56" t="s">
        <v>157</v>
      </c>
      <c r="C12" s="56" t="s">
        <v>171</v>
      </c>
      <c r="D12" s="57" t="s">
        <v>172</v>
      </c>
      <c r="E12" s="58" t="s">
        <v>10</v>
      </c>
      <c r="F12" s="97"/>
      <c r="G12" s="56" t="s">
        <v>171</v>
      </c>
      <c r="H12" s="57" t="s">
        <v>172</v>
      </c>
      <c r="I12" s="58" t="s">
        <v>10</v>
      </c>
      <c r="J12" s="97"/>
      <c r="K12" s="97"/>
      <c r="L12" s="56" t="s">
        <v>157</v>
      </c>
      <c r="M12" s="56" t="s">
        <v>171</v>
      </c>
      <c r="N12" s="57" t="s">
        <v>172</v>
      </c>
      <c r="O12" s="58" t="s">
        <v>10</v>
      </c>
      <c r="P12" s="97"/>
      <c r="Q12" s="56" t="s">
        <v>171</v>
      </c>
      <c r="R12" s="57" t="s">
        <v>172</v>
      </c>
      <c r="S12" s="58" t="s">
        <v>10</v>
      </c>
      <c r="T12" s="97"/>
    </row>
    <row r="13" spans="1:20" x14ac:dyDescent="0.25">
      <c r="A13" s="38"/>
      <c r="B13" s="59" t="s">
        <v>184</v>
      </c>
      <c r="C13" s="60"/>
      <c r="D13" s="61">
        <v>0</v>
      </c>
      <c r="E13" s="62">
        <f>+C13*D13</f>
        <v>0</v>
      </c>
      <c r="F13" s="98"/>
      <c r="G13" s="60"/>
      <c r="H13" s="61">
        <v>0</v>
      </c>
      <c r="I13" s="62">
        <f>+G13*H13</f>
        <v>0</v>
      </c>
      <c r="J13" s="98"/>
      <c r="K13" s="98"/>
      <c r="L13" s="151" t="s">
        <v>184</v>
      </c>
      <c r="M13" s="60"/>
      <c r="N13" s="61">
        <v>0</v>
      </c>
      <c r="O13" s="62">
        <f>+M13*N13</f>
        <v>0</v>
      </c>
      <c r="P13" s="98"/>
      <c r="Q13" s="60"/>
      <c r="R13" s="61">
        <v>0</v>
      </c>
      <c r="S13" s="62">
        <f>+Q13*R13</f>
        <v>0</v>
      </c>
      <c r="T13" s="98"/>
    </row>
    <row r="14" spans="1:20" x14ac:dyDescent="0.25">
      <c r="A14" s="38"/>
      <c r="B14" s="59" t="s">
        <v>185</v>
      </c>
      <c r="C14" s="60"/>
      <c r="D14" s="61">
        <v>0</v>
      </c>
      <c r="E14" s="62">
        <f t="shared" ref="E14:E25" si="0">+C14*D14</f>
        <v>0</v>
      </c>
      <c r="F14" s="98"/>
      <c r="G14" s="60"/>
      <c r="H14" s="61">
        <v>0</v>
      </c>
      <c r="I14" s="62">
        <f t="shared" ref="I14:I25" si="1">+G14*H14</f>
        <v>0</v>
      </c>
      <c r="J14" s="98"/>
      <c r="K14" s="98"/>
      <c r="L14" s="59" t="s">
        <v>185</v>
      </c>
      <c r="M14" s="60"/>
      <c r="N14" s="61">
        <v>0</v>
      </c>
      <c r="O14" s="62">
        <f t="shared" ref="O14:O25" si="2">+M14*N14</f>
        <v>0</v>
      </c>
      <c r="P14" s="98"/>
      <c r="Q14" s="60"/>
      <c r="R14" s="61">
        <v>0</v>
      </c>
      <c r="S14" s="62">
        <f t="shared" ref="S14:S25" si="3">+Q14*R14</f>
        <v>0</v>
      </c>
      <c r="T14" s="98"/>
    </row>
    <row r="15" spans="1:20" x14ac:dyDescent="0.25">
      <c r="A15" s="38"/>
      <c r="B15" s="59" t="s">
        <v>186</v>
      </c>
      <c r="C15" s="60"/>
      <c r="D15" s="61">
        <v>0</v>
      </c>
      <c r="E15" s="62">
        <f t="shared" si="0"/>
        <v>0</v>
      </c>
      <c r="F15" s="98"/>
      <c r="G15" s="60"/>
      <c r="H15" s="61">
        <v>0</v>
      </c>
      <c r="I15" s="62">
        <f t="shared" si="1"/>
        <v>0</v>
      </c>
      <c r="J15" s="98"/>
      <c r="K15" s="98"/>
      <c r="L15" s="59" t="s">
        <v>186</v>
      </c>
      <c r="M15" s="60"/>
      <c r="N15" s="61">
        <v>0</v>
      </c>
      <c r="O15" s="62">
        <f t="shared" si="2"/>
        <v>0</v>
      </c>
      <c r="P15" s="98"/>
      <c r="Q15" s="60"/>
      <c r="R15" s="61">
        <v>0</v>
      </c>
      <c r="S15" s="62">
        <f t="shared" si="3"/>
        <v>0</v>
      </c>
      <c r="T15" s="98"/>
    </row>
    <row r="16" spans="1:20" x14ac:dyDescent="0.25">
      <c r="A16" s="38"/>
      <c r="B16" s="59" t="s">
        <v>187</v>
      </c>
      <c r="C16" s="60"/>
      <c r="D16" s="61">
        <v>0</v>
      </c>
      <c r="E16" s="62">
        <f t="shared" si="0"/>
        <v>0</v>
      </c>
      <c r="F16" s="98"/>
      <c r="G16" s="60"/>
      <c r="H16" s="61">
        <v>0</v>
      </c>
      <c r="I16" s="62">
        <f t="shared" si="1"/>
        <v>0</v>
      </c>
      <c r="J16" s="98"/>
      <c r="K16" s="98"/>
      <c r="L16" s="59" t="s">
        <v>187</v>
      </c>
      <c r="M16" s="60"/>
      <c r="N16" s="61">
        <v>0</v>
      </c>
      <c r="O16" s="62">
        <f t="shared" si="2"/>
        <v>0</v>
      </c>
      <c r="P16" s="98"/>
      <c r="Q16" s="60"/>
      <c r="R16" s="61">
        <v>0</v>
      </c>
      <c r="S16" s="62">
        <f t="shared" si="3"/>
        <v>0</v>
      </c>
      <c r="T16" s="98"/>
    </row>
    <row r="17" spans="1:20" x14ac:dyDescent="0.25">
      <c r="A17" s="38"/>
      <c r="B17" s="59" t="s">
        <v>188</v>
      </c>
      <c r="C17" s="60"/>
      <c r="D17" s="61">
        <v>0</v>
      </c>
      <c r="E17" s="62">
        <f t="shared" si="0"/>
        <v>0</v>
      </c>
      <c r="F17" s="98"/>
      <c r="G17" s="60"/>
      <c r="H17" s="61">
        <v>0</v>
      </c>
      <c r="I17" s="62">
        <f t="shared" si="1"/>
        <v>0</v>
      </c>
      <c r="J17" s="98"/>
      <c r="K17" s="98"/>
      <c r="L17" s="59" t="s">
        <v>188</v>
      </c>
      <c r="M17" s="60"/>
      <c r="N17" s="61">
        <v>0</v>
      </c>
      <c r="O17" s="62">
        <f t="shared" si="2"/>
        <v>0</v>
      </c>
      <c r="P17" s="98"/>
      <c r="Q17" s="60"/>
      <c r="R17" s="61">
        <v>0</v>
      </c>
      <c r="S17" s="62">
        <f t="shared" si="3"/>
        <v>0</v>
      </c>
      <c r="T17" s="98"/>
    </row>
    <row r="18" spans="1:20" x14ac:dyDescent="0.25">
      <c r="A18" s="38"/>
      <c r="B18" s="59" t="s">
        <v>189</v>
      </c>
      <c r="C18" s="60"/>
      <c r="D18" s="61">
        <v>0</v>
      </c>
      <c r="E18" s="62">
        <f t="shared" si="0"/>
        <v>0</v>
      </c>
      <c r="F18" s="98"/>
      <c r="G18" s="60"/>
      <c r="H18" s="61">
        <v>0</v>
      </c>
      <c r="I18" s="62">
        <f t="shared" si="1"/>
        <v>0</v>
      </c>
      <c r="J18" s="98"/>
      <c r="K18" s="98"/>
      <c r="L18" s="59" t="s">
        <v>189</v>
      </c>
      <c r="M18" s="60"/>
      <c r="N18" s="61">
        <v>0</v>
      </c>
      <c r="O18" s="62">
        <f t="shared" si="2"/>
        <v>0</v>
      </c>
      <c r="P18" s="98"/>
      <c r="Q18" s="60"/>
      <c r="R18" s="61">
        <v>0</v>
      </c>
      <c r="S18" s="62">
        <f t="shared" si="3"/>
        <v>0</v>
      </c>
      <c r="T18" s="98"/>
    </row>
    <row r="19" spans="1:20" x14ac:dyDescent="0.25">
      <c r="A19" s="38"/>
      <c r="B19" s="59" t="s">
        <v>190</v>
      </c>
      <c r="C19" s="60"/>
      <c r="D19" s="61">
        <v>0</v>
      </c>
      <c r="E19" s="62">
        <f t="shared" si="0"/>
        <v>0</v>
      </c>
      <c r="F19" s="98"/>
      <c r="G19" s="60"/>
      <c r="H19" s="61">
        <v>0</v>
      </c>
      <c r="I19" s="62">
        <f t="shared" si="1"/>
        <v>0</v>
      </c>
      <c r="J19" s="98"/>
      <c r="K19" s="98"/>
      <c r="L19" s="59" t="s">
        <v>190</v>
      </c>
      <c r="M19" s="60"/>
      <c r="N19" s="61">
        <v>0</v>
      </c>
      <c r="O19" s="62">
        <f t="shared" si="2"/>
        <v>0</v>
      </c>
      <c r="P19" s="98"/>
      <c r="Q19" s="60"/>
      <c r="R19" s="61">
        <v>0</v>
      </c>
      <c r="S19" s="62">
        <f t="shared" si="3"/>
        <v>0</v>
      </c>
      <c r="T19" s="98"/>
    </row>
    <row r="20" spans="1:20" x14ac:dyDescent="0.25">
      <c r="A20" s="38"/>
      <c r="B20" s="59" t="s">
        <v>191</v>
      </c>
      <c r="C20" s="60"/>
      <c r="D20" s="61">
        <v>0</v>
      </c>
      <c r="E20" s="62">
        <f t="shared" si="0"/>
        <v>0</v>
      </c>
      <c r="F20" s="98"/>
      <c r="G20" s="60"/>
      <c r="H20" s="61">
        <v>0</v>
      </c>
      <c r="I20" s="62">
        <f t="shared" si="1"/>
        <v>0</v>
      </c>
      <c r="J20" s="98"/>
      <c r="K20" s="98"/>
      <c r="L20" s="59" t="s">
        <v>191</v>
      </c>
      <c r="M20" s="60"/>
      <c r="N20" s="61">
        <v>0</v>
      </c>
      <c r="O20" s="62">
        <f t="shared" si="2"/>
        <v>0</v>
      </c>
      <c r="P20" s="98"/>
      <c r="Q20" s="60"/>
      <c r="R20" s="61">
        <v>0</v>
      </c>
      <c r="S20" s="62">
        <f t="shared" si="3"/>
        <v>0</v>
      </c>
      <c r="T20" s="98"/>
    </row>
    <row r="21" spans="1:20" x14ac:dyDescent="0.25">
      <c r="A21" s="38"/>
      <c r="B21" s="59" t="s">
        <v>192</v>
      </c>
      <c r="C21" s="60"/>
      <c r="D21" s="61">
        <v>0</v>
      </c>
      <c r="E21" s="62">
        <f t="shared" si="0"/>
        <v>0</v>
      </c>
      <c r="F21" s="98"/>
      <c r="G21" s="60"/>
      <c r="H21" s="61">
        <v>0</v>
      </c>
      <c r="I21" s="62">
        <f t="shared" si="1"/>
        <v>0</v>
      </c>
      <c r="J21" s="98"/>
      <c r="K21" s="98"/>
      <c r="L21" s="59" t="s">
        <v>192</v>
      </c>
      <c r="M21" s="60"/>
      <c r="N21" s="61">
        <v>0</v>
      </c>
      <c r="O21" s="62">
        <f t="shared" si="2"/>
        <v>0</v>
      </c>
      <c r="P21" s="98"/>
      <c r="Q21" s="60"/>
      <c r="R21" s="61">
        <v>0</v>
      </c>
      <c r="S21" s="62">
        <f t="shared" si="3"/>
        <v>0</v>
      </c>
      <c r="T21" s="98"/>
    </row>
    <row r="22" spans="1:20" ht="15" customHeight="1" x14ac:dyDescent="0.25">
      <c r="A22" s="38"/>
      <c r="B22" s="59" t="s">
        <v>193</v>
      </c>
      <c r="C22" s="60"/>
      <c r="D22" s="61">
        <v>0</v>
      </c>
      <c r="E22" s="62">
        <f t="shared" si="0"/>
        <v>0</v>
      </c>
      <c r="F22" s="98"/>
      <c r="G22" s="60"/>
      <c r="H22" s="61">
        <v>0</v>
      </c>
      <c r="I22" s="62">
        <f t="shared" si="1"/>
        <v>0</v>
      </c>
      <c r="J22" s="98"/>
      <c r="K22" s="98"/>
      <c r="L22" s="59" t="s">
        <v>193</v>
      </c>
      <c r="M22" s="60"/>
      <c r="N22" s="61">
        <v>0</v>
      </c>
      <c r="O22" s="62">
        <f t="shared" si="2"/>
        <v>0</v>
      </c>
      <c r="P22" s="98"/>
      <c r="Q22" s="60"/>
      <c r="R22" s="61">
        <v>0</v>
      </c>
      <c r="S22" s="62">
        <f t="shared" si="3"/>
        <v>0</v>
      </c>
      <c r="T22" s="98"/>
    </row>
    <row r="23" spans="1:20" ht="15" customHeight="1" x14ac:dyDescent="0.25">
      <c r="A23" s="38"/>
      <c r="B23" s="59" t="s">
        <v>194</v>
      </c>
      <c r="C23" s="60"/>
      <c r="D23" s="61">
        <v>0</v>
      </c>
      <c r="E23" s="62">
        <f t="shared" si="0"/>
        <v>0</v>
      </c>
      <c r="F23" s="98"/>
      <c r="G23" s="60"/>
      <c r="H23" s="61">
        <v>0</v>
      </c>
      <c r="I23" s="62">
        <f t="shared" si="1"/>
        <v>0</v>
      </c>
      <c r="J23" s="98"/>
      <c r="K23" s="98"/>
      <c r="L23" s="59" t="s">
        <v>194</v>
      </c>
      <c r="M23" s="60"/>
      <c r="N23" s="61">
        <v>0</v>
      </c>
      <c r="O23" s="62">
        <f t="shared" si="2"/>
        <v>0</v>
      </c>
      <c r="P23" s="98"/>
      <c r="Q23" s="60"/>
      <c r="R23" s="61">
        <v>0</v>
      </c>
      <c r="S23" s="62">
        <f t="shared" si="3"/>
        <v>0</v>
      </c>
      <c r="T23" s="98"/>
    </row>
    <row r="24" spans="1:20" ht="15" customHeight="1" x14ac:dyDescent="0.25">
      <c r="A24" s="38"/>
      <c r="B24" s="59" t="s">
        <v>195</v>
      </c>
      <c r="C24" s="60"/>
      <c r="D24" s="61">
        <v>0</v>
      </c>
      <c r="E24" s="62">
        <f t="shared" si="0"/>
        <v>0</v>
      </c>
      <c r="F24" s="98"/>
      <c r="G24" s="60"/>
      <c r="H24" s="61">
        <v>0</v>
      </c>
      <c r="I24" s="62">
        <f t="shared" si="1"/>
        <v>0</v>
      </c>
      <c r="J24" s="98"/>
      <c r="K24" s="98"/>
      <c r="L24" s="59" t="s">
        <v>195</v>
      </c>
      <c r="M24" s="60"/>
      <c r="N24" s="61">
        <v>0</v>
      </c>
      <c r="O24" s="62">
        <f t="shared" si="2"/>
        <v>0</v>
      </c>
      <c r="P24" s="98"/>
      <c r="Q24" s="60"/>
      <c r="R24" s="61">
        <v>0</v>
      </c>
      <c r="S24" s="62">
        <f t="shared" si="3"/>
        <v>0</v>
      </c>
      <c r="T24" s="98"/>
    </row>
    <row r="25" spans="1:20" ht="15" customHeight="1" thickBot="1" x14ac:dyDescent="0.3">
      <c r="A25" s="38"/>
      <c r="B25" s="59" t="s">
        <v>196</v>
      </c>
      <c r="C25" s="63"/>
      <c r="D25" s="39">
        <v>0</v>
      </c>
      <c r="E25" s="64">
        <f t="shared" si="0"/>
        <v>0</v>
      </c>
      <c r="F25" s="99"/>
      <c r="G25" s="63"/>
      <c r="H25" s="39">
        <v>0</v>
      </c>
      <c r="I25" s="64">
        <f t="shared" si="1"/>
        <v>0</v>
      </c>
      <c r="J25" s="99"/>
      <c r="K25" s="99"/>
      <c r="L25" s="59" t="s">
        <v>196</v>
      </c>
      <c r="M25" s="63"/>
      <c r="N25" s="39">
        <v>0</v>
      </c>
      <c r="O25" s="64">
        <f t="shared" si="2"/>
        <v>0</v>
      </c>
      <c r="P25" s="99"/>
      <c r="Q25" s="63"/>
      <c r="R25" s="39">
        <v>0</v>
      </c>
      <c r="S25" s="64">
        <f t="shared" si="3"/>
        <v>0</v>
      </c>
      <c r="T25" s="99"/>
    </row>
    <row r="26" spans="1:20" ht="16.5" thickBot="1" x14ac:dyDescent="0.3">
      <c r="A26" s="38"/>
      <c r="B26" s="113" t="s">
        <v>173</v>
      </c>
      <c r="C26" s="65">
        <f>SUM(C13:C25)</f>
        <v>0</v>
      </c>
      <c r="D26" s="66"/>
      <c r="E26" s="67">
        <f>SUM(E13:E25)</f>
        <v>0</v>
      </c>
      <c r="F26" s="100"/>
      <c r="G26" s="65">
        <f>SUM(G13:G25)</f>
        <v>0</v>
      </c>
      <c r="H26" s="66"/>
      <c r="I26" s="67">
        <f>SUM(I13:I25)</f>
        <v>0</v>
      </c>
      <c r="J26" s="100"/>
      <c r="K26" s="100"/>
      <c r="L26" s="113" t="s">
        <v>173</v>
      </c>
      <c r="M26" s="65">
        <f>SUM(M13:M25)</f>
        <v>0</v>
      </c>
      <c r="N26" s="66"/>
      <c r="O26" s="67">
        <f>SUM(O13:O25)</f>
        <v>0</v>
      </c>
      <c r="P26" s="100"/>
      <c r="Q26" s="65">
        <f>SUM(Q13:Q25)</f>
        <v>0</v>
      </c>
      <c r="R26" s="66"/>
      <c r="S26" s="67">
        <f>SUM(S13:S25)</f>
        <v>0</v>
      </c>
      <c r="T26" s="100"/>
    </row>
    <row r="27" spans="1:20" x14ac:dyDescent="0.25">
      <c r="A27" s="38"/>
      <c r="B27" s="68"/>
      <c r="C27" s="56" t="s">
        <v>174</v>
      </c>
      <c r="D27" s="57" t="s">
        <v>172</v>
      </c>
      <c r="E27" s="58" t="s">
        <v>10</v>
      </c>
      <c r="F27" s="101"/>
      <c r="G27" s="56" t="s">
        <v>174</v>
      </c>
      <c r="H27" s="57" t="s">
        <v>172</v>
      </c>
      <c r="I27" s="58" t="s">
        <v>10</v>
      </c>
      <c r="J27" s="101"/>
      <c r="K27" s="101"/>
      <c r="L27" s="68"/>
      <c r="M27" s="56" t="s">
        <v>174</v>
      </c>
      <c r="N27" s="57" t="s">
        <v>172</v>
      </c>
      <c r="O27" s="58" t="s">
        <v>10</v>
      </c>
      <c r="P27" s="101"/>
      <c r="Q27" s="56" t="s">
        <v>174</v>
      </c>
      <c r="R27" s="57" t="s">
        <v>172</v>
      </c>
      <c r="S27" s="58" t="s">
        <v>10</v>
      </c>
      <c r="T27" s="101"/>
    </row>
    <row r="28" spans="1:20" x14ac:dyDescent="0.25">
      <c r="A28" s="38"/>
      <c r="B28" s="51" t="s">
        <v>160</v>
      </c>
      <c r="C28" s="69">
        <f>+E26</f>
        <v>0</v>
      </c>
      <c r="D28" s="70">
        <v>0</v>
      </c>
      <c r="E28" s="71">
        <f>+C28*D28</f>
        <v>0</v>
      </c>
      <c r="F28" s="100"/>
      <c r="G28" s="69">
        <f>+I26</f>
        <v>0</v>
      </c>
      <c r="H28" s="70">
        <v>0</v>
      </c>
      <c r="I28" s="71">
        <f>+G28*H28</f>
        <v>0</v>
      </c>
      <c r="J28" s="100"/>
      <c r="K28" s="100"/>
      <c r="L28" s="51" t="s">
        <v>269</v>
      </c>
      <c r="M28" s="69">
        <f>+O26</f>
        <v>0</v>
      </c>
      <c r="N28" s="70">
        <v>0</v>
      </c>
      <c r="O28" s="71">
        <f>+M28*N28</f>
        <v>0</v>
      </c>
      <c r="P28" s="100"/>
      <c r="Q28" s="69">
        <f>+S26</f>
        <v>0</v>
      </c>
      <c r="R28" s="70">
        <v>0</v>
      </c>
      <c r="S28" s="71">
        <f>+Q28*R28</f>
        <v>0</v>
      </c>
      <c r="T28" s="100"/>
    </row>
    <row r="29" spans="1:20" x14ac:dyDescent="0.25">
      <c r="A29" s="38"/>
      <c r="B29" s="51" t="s">
        <v>161</v>
      </c>
      <c r="C29" s="69">
        <f>+C28+E28</f>
        <v>0</v>
      </c>
      <c r="D29" s="70">
        <v>0</v>
      </c>
      <c r="E29" s="71">
        <f>+C29*D29</f>
        <v>0</v>
      </c>
      <c r="F29" s="100"/>
      <c r="G29" s="69">
        <f>+G28+I28</f>
        <v>0</v>
      </c>
      <c r="H29" s="70">
        <v>0</v>
      </c>
      <c r="I29" s="71">
        <f>+G29*H29</f>
        <v>0</v>
      </c>
      <c r="J29" s="100"/>
      <c r="K29" s="100"/>
      <c r="L29" s="51" t="s">
        <v>161</v>
      </c>
      <c r="M29" s="69">
        <f>+M28+O28</f>
        <v>0</v>
      </c>
      <c r="N29" s="70">
        <v>0</v>
      </c>
      <c r="O29" s="71">
        <f>+M29*N29</f>
        <v>0</v>
      </c>
      <c r="P29" s="100"/>
      <c r="Q29" s="69">
        <f>+Q28+S28</f>
        <v>0</v>
      </c>
      <c r="R29" s="70">
        <v>0</v>
      </c>
      <c r="S29" s="71">
        <f>+Q29*R29</f>
        <v>0</v>
      </c>
      <c r="T29" s="100"/>
    </row>
    <row r="30" spans="1:20" x14ac:dyDescent="0.25">
      <c r="A30" s="38"/>
      <c r="B30" s="51" t="s">
        <v>162</v>
      </c>
      <c r="C30" s="69">
        <f>+C29+E29</f>
        <v>0</v>
      </c>
      <c r="D30" s="70">
        <v>0</v>
      </c>
      <c r="E30" s="71">
        <f>+C30*D30</f>
        <v>0</v>
      </c>
      <c r="F30" s="100"/>
      <c r="G30" s="69">
        <f>+G29+I29</f>
        <v>0</v>
      </c>
      <c r="H30" s="70">
        <v>0</v>
      </c>
      <c r="I30" s="71">
        <f>+G30*H30</f>
        <v>0</v>
      </c>
      <c r="J30" s="100"/>
      <c r="K30" s="100"/>
      <c r="L30" s="51" t="s">
        <v>162</v>
      </c>
      <c r="M30" s="69">
        <f>+M29+O29</f>
        <v>0</v>
      </c>
      <c r="N30" s="70">
        <v>0</v>
      </c>
      <c r="O30" s="71">
        <f>+M30*N30</f>
        <v>0</v>
      </c>
      <c r="P30" s="100"/>
      <c r="Q30" s="69">
        <f>+Q29+S29</f>
        <v>0</v>
      </c>
      <c r="R30" s="70">
        <v>0</v>
      </c>
      <c r="S30" s="71">
        <f>+Q30*R30</f>
        <v>0</v>
      </c>
      <c r="T30" s="100"/>
    </row>
    <row r="31" spans="1:20" x14ac:dyDescent="0.25">
      <c r="A31" s="38"/>
      <c r="B31" s="51" t="s">
        <v>163</v>
      </c>
      <c r="C31" s="69">
        <f>+C28</f>
        <v>0</v>
      </c>
      <c r="D31" s="70">
        <v>0</v>
      </c>
      <c r="E31" s="71">
        <f>+C31*D31</f>
        <v>0</v>
      </c>
      <c r="F31" s="100"/>
      <c r="G31" s="69">
        <f>+G28</f>
        <v>0</v>
      </c>
      <c r="H31" s="70">
        <v>0</v>
      </c>
      <c r="I31" s="71">
        <f>+G31*H31</f>
        <v>0</v>
      </c>
      <c r="J31" s="100"/>
      <c r="K31" s="100"/>
      <c r="L31" s="51" t="s">
        <v>163</v>
      </c>
      <c r="M31" s="69">
        <f>+M28</f>
        <v>0</v>
      </c>
      <c r="N31" s="70">
        <v>0</v>
      </c>
      <c r="O31" s="71">
        <f>+M31*N31</f>
        <v>0</v>
      </c>
      <c r="P31" s="100"/>
      <c r="Q31" s="69">
        <f>+Q28</f>
        <v>0</v>
      </c>
      <c r="R31" s="70">
        <v>0</v>
      </c>
      <c r="S31" s="71">
        <f>+Q31*R31</f>
        <v>0</v>
      </c>
      <c r="T31" s="100"/>
    </row>
    <row r="32" spans="1:20" x14ac:dyDescent="0.25">
      <c r="A32" s="38"/>
      <c r="B32" s="51" t="s">
        <v>164</v>
      </c>
      <c r="C32" s="69">
        <f>+C30+E30</f>
        <v>0</v>
      </c>
      <c r="D32" s="70">
        <v>0</v>
      </c>
      <c r="E32" s="71">
        <f>+C32*D32</f>
        <v>0</v>
      </c>
      <c r="F32" s="100"/>
      <c r="G32" s="69">
        <f>+G30+I30</f>
        <v>0</v>
      </c>
      <c r="H32" s="70">
        <v>0</v>
      </c>
      <c r="I32" s="71">
        <f>+G32*H32</f>
        <v>0</v>
      </c>
      <c r="J32" s="100"/>
      <c r="K32" s="100"/>
      <c r="L32" s="51" t="s">
        <v>164</v>
      </c>
      <c r="M32" s="69">
        <f>+M30+O30</f>
        <v>0</v>
      </c>
      <c r="N32" s="70">
        <v>0</v>
      </c>
      <c r="O32" s="71">
        <f>+M32*N32</f>
        <v>0</v>
      </c>
      <c r="P32" s="100"/>
      <c r="Q32" s="69">
        <f>+Q30+S30</f>
        <v>0</v>
      </c>
      <c r="R32" s="70">
        <v>0</v>
      </c>
      <c r="S32" s="71">
        <f>+Q32*R32</f>
        <v>0</v>
      </c>
      <c r="T32" s="100"/>
    </row>
    <row r="33" spans="1:20" x14ac:dyDescent="0.25">
      <c r="A33" s="38"/>
      <c r="B33" s="51" t="s">
        <v>175</v>
      </c>
      <c r="C33" s="72"/>
      <c r="D33" s="73"/>
      <c r="E33" s="71">
        <f>+SUM(E26,E28,E29,E30)</f>
        <v>0</v>
      </c>
      <c r="F33" s="100"/>
      <c r="G33" s="72"/>
      <c r="H33" s="73"/>
      <c r="I33" s="71">
        <f>+SUM(I26,I28,I29,I30)</f>
        <v>0</v>
      </c>
      <c r="J33" s="100"/>
      <c r="K33" s="100"/>
      <c r="L33" s="51" t="s">
        <v>270</v>
      </c>
      <c r="M33" s="72"/>
      <c r="N33" s="73"/>
      <c r="O33" s="71">
        <f>+SUM(O26,O28,O29,O30)</f>
        <v>0</v>
      </c>
      <c r="P33" s="100"/>
      <c r="Q33" s="72"/>
      <c r="R33" s="73"/>
      <c r="S33" s="71">
        <f>+SUM(S26,S28,S29,S30)</f>
        <v>0</v>
      </c>
      <c r="T33" s="100"/>
    </row>
    <row r="34" spans="1:20" x14ac:dyDescent="0.25">
      <c r="A34" s="38"/>
      <c r="B34" s="51" t="s">
        <v>176</v>
      </c>
      <c r="C34" s="72"/>
      <c r="D34" s="73"/>
      <c r="E34" s="71">
        <f>+E31</f>
        <v>0</v>
      </c>
      <c r="F34" s="100"/>
      <c r="G34" s="72"/>
      <c r="H34" s="73"/>
      <c r="I34" s="71">
        <f>+I31</f>
        <v>0</v>
      </c>
      <c r="J34" s="100"/>
      <c r="K34" s="100"/>
      <c r="L34" s="51" t="s">
        <v>271</v>
      </c>
      <c r="M34" s="72"/>
      <c r="N34" s="73"/>
      <c r="O34" s="71">
        <f>+O31</f>
        <v>0</v>
      </c>
      <c r="P34" s="100"/>
      <c r="Q34" s="72"/>
      <c r="R34" s="73"/>
      <c r="S34" s="71">
        <f>+S31</f>
        <v>0</v>
      </c>
      <c r="T34" s="100"/>
    </row>
    <row r="35" spans="1:20" x14ac:dyDescent="0.25">
      <c r="A35" s="38"/>
      <c r="B35" s="51" t="s">
        <v>177</v>
      </c>
      <c r="C35" s="72"/>
      <c r="D35" s="73"/>
      <c r="E35" s="74">
        <f>+E32</f>
        <v>0</v>
      </c>
      <c r="F35" s="102"/>
      <c r="G35" s="72"/>
      <c r="H35" s="73"/>
      <c r="I35" s="74">
        <f>+I32</f>
        <v>0</v>
      </c>
      <c r="J35" s="102"/>
      <c r="K35" s="102"/>
      <c r="L35" s="51" t="s">
        <v>272</v>
      </c>
      <c r="M35" s="72"/>
      <c r="N35" s="73"/>
      <c r="O35" s="74">
        <f>+O32</f>
        <v>0</v>
      </c>
      <c r="P35" s="102"/>
      <c r="Q35" s="72"/>
      <c r="R35" s="73"/>
      <c r="S35" s="74">
        <f>+S32</f>
        <v>0</v>
      </c>
      <c r="T35" s="102"/>
    </row>
    <row r="36" spans="1:20" ht="16.5" thickBot="1" x14ac:dyDescent="0.3">
      <c r="A36" s="38"/>
      <c r="B36" s="52" t="s">
        <v>178</v>
      </c>
      <c r="C36" s="75"/>
      <c r="D36" s="76"/>
      <c r="E36" s="77">
        <f>SUM(E33:E35)</f>
        <v>0</v>
      </c>
      <c r="F36" s="103"/>
      <c r="G36" s="75"/>
      <c r="H36" s="76"/>
      <c r="I36" s="77">
        <f>SUM(I33:I35)</f>
        <v>0</v>
      </c>
      <c r="J36" s="103"/>
      <c r="K36" s="103"/>
      <c r="L36" s="52" t="s">
        <v>273</v>
      </c>
      <c r="M36" s="75"/>
      <c r="N36" s="76"/>
      <c r="O36" s="77">
        <f>SUM(O33:O35)</f>
        <v>0</v>
      </c>
      <c r="P36" s="103"/>
      <c r="Q36" s="75"/>
      <c r="R36" s="76"/>
      <c r="S36" s="77">
        <f>SUM(S33:S35)</f>
        <v>0</v>
      </c>
      <c r="T36" s="103"/>
    </row>
    <row r="37" spans="1:20" x14ac:dyDescent="0.25">
      <c r="A37" s="38"/>
      <c r="B37" s="41"/>
      <c r="C37" s="78"/>
      <c r="D37" s="78"/>
      <c r="E37" s="78"/>
      <c r="F37" s="104"/>
      <c r="G37" s="78"/>
      <c r="H37" s="78"/>
      <c r="I37" s="78"/>
      <c r="J37" s="104"/>
      <c r="K37" s="104"/>
      <c r="L37" s="41"/>
      <c r="M37" s="78"/>
      <c r="N37" s="78"/>
      <c r="O37" s="78"/>
      <c r="P37" s="104"/>
      <c r="Q37" s="78"/>
      <c r="R37" s="78"/>
      <c r="S37" s="78"/>
      <c r="T37" s="104"/>
    </row>
    <row r="38" spans="1:20" ht="16.5" thickBot="1" x14ac:dyDescent="0.3">
      <c r="A38" s="38"/>
      <c r="C38" s="37"/>
      <c r="D38" s="37"/>
      <c r="E38" s="37"/>
      <c r="F38" s="105"/>
      <c r="G38" s="37"/>
      <c r="H38" s="37"/>
      <c r="I38" s="37"/>
      <c r="J38" s="105"/>
      <c r="K38" s="105"/>
      <c r="L38" s="37"/>
      <c r="M38" s="37"/>
      <c r="N38" s="37"/>
      <c r="O38" s="37"/>
      <c r="P38" s="105"/>
      <c r="Q38" s="37"/>
      <c r="R38" s="37"/>
      <c r="S38" s="37"/>
      <c r="T38" s="105"/>
    </row>
    <row r="39" spans="1:20" ht="16.5" thickBot="1" x14ac:dyDescent="0.3">
      <c r="A39" s="38"/>
      <c r="B39" s="189" t="str">
        <f>B10</f>
        <v xml:space="preserve">CLINs 0004 &amp; 1004: CPFF </v>
      </c>
      <c r="C39" s="186" t="s">
        <v>179</v>
      </c>
      <c r="D39" s="187"/>
      <c r="E39" s="188"/>
      <c r="F39" s="106"/>
      <c r="G39" s="186" t="s">
        <v>179</v>
      </c>
      <c r="H39" s="187"/>
      <c r="I39" s="188"/>
      <c r="J39" s="106"/>
      <c r="K39" s="106"/>
      <c r="L39" s="149"/>
      <c r="M39" s="186" t="s">
        <v>179</v>
      </c>
      <c r="N39" s="187"/>
      <c r="O39" s="188"/>
      <c r="P39" s="106"/>
      <c r="Q39" s="186" t="s">
        <v>179</v>
      </c>
      <c r="R39" s="187"/>
      <c r="S39" s="188"/>
      <c r="T39" s="106"/>
    </row>
    <row r="40" spans="1:20" ht="16.5" thickBot="1" x14ac:dyDescent="0.3">
      <c r="A40" s="38"/>
      <c r="B40" s="190"/>
      <c r="C40" s="129" t="str">
        <f>C11</f>
        <v>0004: F-16 I-Level Fault Isolation Tester design and digital development - Basic Period</v>
      </c>
      <c r="D40" s="130"/>
      <c r="E40" s="131"/>
      <c r="F40" s="107"/>
      <c r="G40" s="132" t="str">
        <f>G11</f>
        <v>1004: F-16 I-Level Fault Isolation Tester EMD - Option Period 1</v>
      </c>
      <c r="H40" s="133"/>
      <c r="I40" s="134"/>
      <c r="J40" s="107"/>
      <c r="K40" s="107"/>
      <c r="L40" s="150"/>
      <c r="M40" s="132" t="str">
        <f>M11</f>
        <v>2004: F-15 I-Level Fault Isolation Tester EMD - Option Period 2</v>
      </c>
      <c r="N40" s="133"/>
      <c r="O40" s="134"/>
      <c r="P40" s="107"/>
      <c r="Q40" s="132" t="str">
        <f>Q11</f>
        <v>3004: A-10 I-Level Fault Isolation Tester EMD - Option Period 3</v>
      </c>
      <c r="R40" s="133"/>
      <c r="S40" s="134"/>
      <c r="T40" s="107"/>
    </row>
    <row r="41" spans="1:20" x14ac:dyDescent="0.25">
      <c r="A41" s="38"/>
      <c r="B41" s="79"/>
      <c r="C41" s="56" t="s">
        <v>174</v>
      </c>
      <c r="D41" s="57" t="s">
        <v>172</v>
      </c>
      <c r="E41" s="58" t="s">
        <v>10</v>
      </c>
      <c r="F41" s="101"/>
      <c r="G41" s="56" t="s">
        <v>174</v>
      </c>
      <c r="H41" s="57" t="s">
        <v>172</v>
      </c>
      <c r="I41" s="58" t="s">
        <v>10</v>
      </c>
      <c r="J41" s="101"/>
      <c r="K41" s="101"/>
      <c r="L41" s="79"/>
      <c r="M41" s="56" t="s">
        <v>174</v>
      </c>
      <c r="N41" s="57" t="s">
        <v>172</v>
      </c>
      <c r="O41" s="58" t="s">
        <v>10</v>
      </c>
      <c r="P41" s="101"/>
      <c r="Q41" s="56" t="s">
        <v>174</v>
      </c>
      <c r="R41" s="57" t="s">
        <v>172</v>
      </c>
      <c r="S41" s="58" t="s">
        <v>10</v>
      </c>
      <c r="T41" s="101"/>
    </row>
    <row r="42" spans="1:20" x14ac:dyDescent="0.25">
      <c r="A42" s="38"/>
      <c r="B42" s="80" t="s">
        <v>180</v>
      </c>
      <c r="C42" s="81"/>
      <c r="D42" s="82"/>
      <c r="E42" s="83"/>
      <c r="F42" s="100"/>
      <c r="G42" s="81"/>
      <c r="H42" s="82"/>
      <c r="I42" s="83"/>
      <c r="J42" s="100"/>
      <c r="K42" s="100"/>
      <c r="L42" s="80" t="s">
        <v>180</v>
      </c>
      <c r="M42" s="81"/>
      <c r="N42" s="82"/>
      <c r="O42" s="83"/>
      <c r="P42" s="100"/>
      <c r="Q42" s="81"/>
      <c r="R42" s="82"/>
      <c r="S42" s="83"/>
      <c r="T42" s="100"/>
    </row>
    <row r="43" spans="1:20" x14ac:dyDescent="0.25">
      <c r="A43" s="38"/>
      <c r="B43" s="51" t="s">
        <v>161</v>
      </c>
      <c r="C43" s="69">
        <f>+E42</f>
        <v>0</v>
      </c>
      <c r="D43" s="70">
        <v>0</v>
      </c>
      <c r="E43" s="71">
        <f>+C43*D43</f>
        <v>0</v>
      </c>
      <c r="F43" s="108"/>
      <c r="G43" s="69">
        <f>+I42</f>
        <v>0</v>
      </c>
      <c r="H43" s="70">
        <v>0</v>
      </c>
      <c r="I43" s="71">
        <f>+G43*H43</f>
        <v>0</v>
      </c>
      <c r="J43" s="108"/>
      <c r="K43" s="108"/>
      <c r="L43" s="51" t="s">
        <v>161</v>
      </c>
      <c r="M43" s="69">
        <f>+O42</f>
        <v>0</v>
      </c>
      <c r="N43" s="70">
        <v>0</v>
      </c>
      <c r="O43" s="71">
        <f>+M43*N43</f>
        <v>0</v>
      </c>
      <c r="P43" s="108"/>
      <c r="Q43" s="69">
        <f>+S42</f>
        <v>0</v>
      </c>
      <c r="R43" s="70">
        <v>0</v>
      </c>
      <c r="S43" s="71">
        <f>+Q43*R43</f>
        <v>0</v>
      </c>
      <c r="T43" s="108"/>
    </row>
    <row r="44" spans="1:20" x14ac:dyDescent="0.25">
      <c r="A44" s="38"/>
      <c r="B44" s="51" t="s">
        <v>162</v>
      </c>
      <c r="C44" s="69">
        <f>+C43+E43</f>
        <v>0</v>
      </c>
      <c r="D44" s="70">
        <v>0</v>
      </c>
      <c r="E44" s="71">
        <f>+C44*D44</f>
        <v>0</v>
      </c>
      <c r="F44" s="108"/>
      <c r="G44" s="69">
        <f>+G43+I43</f>
        <v>0</v>
      </c>
      <c r="H44" s="70">
        <v>0</v>
      </c>
      <c r="I44" s="71">
        <f>+G44*H44</f>
        <v>0</v>
      </c>
      <c r="J44" s="108"/>
      <c r="K44" s="108"/>
      <c r="L44" s="51" t="s">
        <v>162</v>
      </c>
      <c r="M44" s="69">
        <f>+M43+O43</f>
        <v>0</v>
      </c>
      <c r="N44" s="70">
        <v>0</v>
      </c>
      <c r="O44" s="71">
        <f>+M44*N44</f>
        <v>0</v>
      </c>
      <c r="P44" s="108"/>
      <c r="Q44" s="69">
        <f>+Q43+S43</f>
        <v>0</v>
      </c>
      <c r="R44" s="70">
        <v>0</v>
      </c>
      <c r="S44" s="71">
        <f>+Q44*R44</f>
        <v>0</v>
      </c>
      <c r="T44" s="108"/>
    </row>
    <row r="45" spans="1:20" x14ac:dyDescent="0.25">
      <c r="A45" s="38"/>
      <c r="B45" s="51" t="s">
        <v>163</v>
      </c>
      <c r="C45" s="69">
        <f>+C43</f>
        <v>0</v>
      </c>
      <c r="D45" s="70">
        <v>0</v>
      </c>
      <c r="E45" s="71">
        <f>+C45*D45</f>
        <v>0</v>
      </c>
      <c r="F45" s="100"/>
      <c r="G45" s="69">
        <f>+G43</f>
        <v>0</v>
      </c>
      <c r="H45" s="70">
        <v>0</v>
      </c>
      <c r="I45" s="71">
        <f>+G45*H45</f>
        <v>0</v>
      </c>
      <c r="J45" s="100"/>
      <c r="K45" s="100"/>
      <c r="L45" s="51" t="s">
        <v>163</v>
      </c>
      <c r="M45" s="69">
        <f>+M43</f>
        <v>0</v>
      </c>
      <c r="N45" s="70">
        <v>0</v>
      </c>
      <c r="O45" s="71">
        <f>+M45*N45</f>
        <v>0</v>
      </c>
      <c r="P45" s="100"/>
      <c r="Q45" s="69">
        <f>+Q43</f>
        <v>0</v>
      </c>
      <c r="R45" s="70">
        <v>0</v>
      </c>
      <c r="S45" s="71">
        <f>+Q45*R45</f>
        <v>0</v>
      </c>
      <c r="T45" s="100"/>
    </row>
    <row r="46" spans="1:20" x14ac:dyDescent="0.25">
      <c r="A46" s="38"/>
      <c r="B46" s="51" t="s">
        <v>164</v>
      </c>
      <c r="C46" s="69">
        <f>+C44+E44</f>
        <v>0</v>
      </c>
      <c r="D46" s="70">
        <v>0</v>
      </c>
      <c r="E46" s="71">
        <f>+C46*D46</f>
        <v>0</v>
      </c>
      <c r="F46" s="100"/>
      <c r="G46" s="69">
        <f>+G44+I44</f>
        <v>0</v>
      </c>
      <c r="H46" s="70">
        <v>0</v>
      </c>
      <c r="I46" s="71">
        <f>+G46*H46</f>
        <v>0</v>
      </c>
      <c r="J46" s="100"/>
      <c r="K46" s="100"/>
      <c r="L46" s="51" t="s">
        <v>164</v>
      </c>
      <c r="M46" s="69">
        <f>+M44+O44</f>
        <v>0</v>
      </c>
      <c r="N46" s="70">
        <v>0</v>
      </c>
      <c r="O46" s="71">
        <f>+M46*N46</f>
        <v>0</v>
      </c>
      <c r="P46" s="100"/>
      <c r="Q46" s="69">
        <f>+Q44+S44</f>
        <v>0</v>
      </c>
      <c r="R46" s="70">
        <v>0</v>
      </c>
      <c r="S46" s="71">
        <f>+Q46*R46</f>
        <v>0</v>
      </c>
      <c r="T46" s="100"/>
    </row>
    <row r="47" spans="1:20" x14ac:dyDescent="0.25">
      <c r="A47" s="38"/>
      <c r="B47" s="51" t="s">
        <v>175</v>
      </c>
      <c r="C47" s="84"/>
      <c r="D47" s="85"/>
      <c r="E47" s="71">
        <f>+ROUND(SUM(E42:E44),0)</f>
        <v>0</v>
      </c>
      <c r="F47" s="100"/>
      <c r="G47" s="84"/>
      <c r="H47" s="85"/>
      <c r="I47" s="71">
        <f>+ROUND(SUM(I42:I44),0)</f>
        <v>0</v>
      </c>
      <c r="J47" s="100"/>
      <c r="K47" s="100"/>
      <c r="L47" s="51" t="s">
        <v>270</v>
      </c>
      <c r="M47" s="84"/>
      <c r="N47" s="85"/>
      <c r="O47" s="71">
        <f>+ROUND(SUM(O42:O44),0)</f>
        <v>0</v>
      </c>
      <c r="P47" s="100"/>
      <c r="Q47" s="84"/>
      <c r="R47" s="85"/>
      <c r="S47" s="71">
        <f>+ROUND(SUM(S42:S44),0)</f>
        <v>0</v>
      </c>
      <c r="T47" s="100"/>
    </row>
    <row r="48" spans="1:20" x14ac:dyDescent="0.25">
      <c r="A48" s="38"/>
      <c r="B48" s="51" t="s">
        <v>176</v>
      </c>
      <c r="C48" s="81"/>
      <c r="D48" s="86"/>
      <c r="E48" s="71">
        <f>+ROUND(E45,0)</f>
        <v>0</v>
      </c>
      <c r="F48" s="100"/>
      <c r="G48" s="81"/>
      <c r="H48" s="86"/>
      <c r="I48" s="71">
        <f>+ROUND(I45,0)</f>
        <v>0</v>
      </c>
      <c r="J48" s="100"/>
      <c r="K48" s="100"/>
      <c r="L48" s="51" t="s">
        <v>271</v>
      </c>
      <c r="M48" s="81"/>
      <c r="N48" s="86"/>
      <c r="O48" s="71">
        <f>+ROUND(O45,0)</f>
        <v>0</v>
      </c>
      <c r="P48" s="100"/>
      <c r="Q48" s="81"/>
      <c r="R48" s="86"/>
      <c r="S48" s="71">
        <f>+ROUND(S45,0)</f>
        <v>0</v>
      </c>
      <c r="T48" s="100"/>
    </row>
    <row r="49" spans="1:20" x14ac:dyDescent="0.25">
      <c r="B49" s="51" t="s">
        <v>177</v>
      </c>
      <c r="C49" s="81"/>
      <c r="D49" s="86"/>
      <c r="E49" s="87">
        <f>+ROUND(E46,0)</f>
        <v>0</v>
      </c>
      <c r="F49" s="109"/>
      <c r="G49" s="81"/>
      <c r="H49" s="86"/>
      <c r="I49" s="87">
        <f>+ROUND(I46,0)</f>
        <v>0</v>
      </c>
      <c r="J49" s="109"/>
      <c r="K49" s="109"/>
      <c r="L49" s="51" t="s">
        <v>272</v>
      </c>
      <c r="M49" s="81"/>
      <c r="N49" s="86"/>
      <c r="O49" s="87">
        <f>+ROUND(O46,0)</f>
        <v>0</v>
      </c>
      <c r="P49" s="109"/>
      <c r="Q49" s="81"/>
      <c r="R49" s="86"/>
      <c r="S49" s="87">
        <f>+ROUND(S46,0)</f>
        <v>0</v>
      </c>
      <c r="T49" s="109"/>
    </row>
    <row r="50" spans="1:20" ht="16.5" thickBot="1" x14ac:dyDescent="0.3">
      <c r="B50" s="52" t="s">
        <v>178</v>
      </c>
      <c r="C50" s="112"/>
      <c r="D50" s="88"/>
      <c r="E50" s="64">
        <f t="shared" ref="E50" si="4">SUM(E47:E49)</f>
        <v>0</v>
      </c>
      <c r="F50" s="99"/>
      <c r="G50" s="112"/>
      <c r="H50" s="88"/>
      <c r="I50" s="64">
        <f t="shared" ref="I50" si="5">SUM(I47:I49)</f>
        <v>0</v>
      </c>
      <c r="J50" s="99"/>
      <c r="K50" s="99"/>
      <c r="L50" s="52" t="s">
        <v>273</v>
      </c>
      <c r="M50" s="112"/>
      <c r="N50" s="88"/>
      <c r="O50" s="64">
        <f t="shared" ref="O50" si="6">SUM(O47:O49)</f>
        <v>0</v>
      </c>
      <c r="P50" s="99"/>
      <c r="Q50" s="112"/>
      <c r="R50" s="88"/>
      <c r="S50" s="64">
        <f t="shared" ref="S50" si="7">SUM(S47:S49)</f>
        <v>0</v>
      </c>
      <c r="T50" s="99"/>
    </row>
    <row r="51" spans="1:20" ht="16.5" thickBot="1" x14ac:dyDescent="0.3">
      <c r="B51" s="41"/>
      <c r="F51" s="110"/>
      <c r="J51" s="110"/>
      <c r="K51" s="110"/>
      <c r="L51" s="41"/>
      <c r="P51" s="110"/>
      <c r="T51" s="110"/>
    </row>
    <row r="52" spans="1:20" ht="16.5" thickBot="1" x14ac:dyDescent="0.3">
      <c r="A52" s="38"/>
      <c r="B52" s="189" t="str">
        <f>B39</f>
        <v xml:space="preserve">CLINs 0004 &amp; 1004: CPFF </v>
      </c>
      <c r="C52" s="186" t="s">
        <v>181</v>
      </c>
      <c r="D52" s="187"/>
      <c r="E52" s="188"/>
      <c r="F52" s="106"/>
      <c r="G52" s="186" t="s">
        <v>181</v>
      </c>
      <c r="H52" s="187"/>
      <c r="I52" s="188"/>
      <c r="J52" s="106"/>
      <c r="K52" s="106"/>
      <c r="L52" s="149"/>
      <c r="M52" s="186" t="s">
        <v>181</v>
      </c>
      <c r="N52" s="187"/>
      <c r="O52" s="188"/>
      <c r="P52" s="106"/>
      <c r="Q52" s="186" t="s">
        <v>181</v>
      </c>
      <c r="R52" s="187"/>
      <c r="S52" s="188"/>
      <c r="T52" s="106"/>
    </row>
    <row r="53" spans="1:20" ht="16.5" thickBot="1" x14ac:dyDescent="0.3">
      <c r="A53" s="38"/>
      <c r="B53" s="190"/>
      <c r="C53" s="129" t="str">
        <f>C40</f>
        <v>0004: F-16 I-Level Fault Isolation Tester design and digital development - Basic Period</v>
      </c>
      <c r="D53" s="130"/>
      <c r="E53" s="131"/>
      <c r="F53" s="107"/>
      <c r="G53" s="132" t="str">
        <f>G40</f>
        <v>1004: F-16 I-Level Fault Isolation Tester EMD - Option Period 1</v>
      </c>
      <c r="H53" s="133"/>
      <c r="I53" s="134"/>
      <c r="J53" s="107"/>
      <c r="K53" s="107"/>
      <c r="L53" s="150"/>
      <c r="M53" s="132" t="str">
        <f>M40</f>
        <v>2004: F-15 I-Level Fault Isolation Tester EMD - Option Period 2</v>
      </c>
      <c r="N53" s="133"/>
      <c r="O53" s="134"/>
      <c r="P53" s="107"/>
      <c r="Q53" s="132" t="str">
        <f>Q40</f>
        <v>3004: A-10 I-Level Fault Isolation Tester EMD - Option Period 3</v>
      </c>
      <c r="R53" s="133"/>
      <c r="S53" s="134"/>
      <c r="T53" s="107"/>
    </row>
    <row r="54" spans="1:20" x14ac:dyDescent="0.25">
      <c r="A54" s="38"/>
      <c r="B54" s="79"/>
      <c r="C54" s="56" t="s">
        <v>174</v>
      </c>
      <c r="D54" s="57" t="s">
        <v>172</v>
      </c>
      <c r="E54" s="58" t="s">
        <v>10</v>
      </c>
      <c r="F54" s="101"/>
      <c r="G54" s="56" t="s">
        <v>174</v>
      </c>
      <c r="H54" s="57" t="s">
        <v>172</v>
      </c>
      <c r="I54" s="58" t="s">
        <v>10</v>
      </c>
      <c r="J54" s="101"/>
      <c r="K54" s="101"/>
      <c r="L54" s="79"/>
      <c r="M54" s="56" t="s">
        <v>174</v>
      </c>
      <c r="N54" s="57" t="s">
        <v>172</v>
      </c>
      <c r="O54" s="58" t="s">
        <v>10</v>
      </c>
      <c r="P54" s="101"/>
      <c r="Q54" s="56" t="s">
        <v>174</v>
      </c>
      <c r="R54" s="57" t="s">
        <v>172</v>
      </c>
      <c r="S54" s="58" t="s">
        <v>10</v>
      </c>
      <c r="T54" s="101"/>
    </row>
    <row r="55" spans="1:20" x14ac:dyDescent="0.25">
      <c r="A55" s="38"/>
      <c r="B55" s="80" t="s">
        <v>182</v>
      </c>
      <c r="C55" s="81"/>
      <c r="D55" s="82"/>
      <c r="E55" s="83"/>
      <c r="F55" s="100"/>
      <c r="G55" s="81"/>
      <c r="H55" s="82"/>
      <c r="I55" s="83"/>
      <c r="J55" s="100"/>
      <c r="K55" s="100"/>
      <c r="L55" s="80" t="s">
        <v>182</v>
      </c>
      <c r="M55" s="81"/>
      <c r="N55" s="82"/>
      <c r="O55" s="83"/>
      <c r="P55" s="100"/>
      <c r="Q55" s="81"/>
      <c r="R55" s="82"/>
      <c r="S55" s="83"/>
      <c r="T55" s="100"/>
    </row>
    <row r="56" spans="1:20" x14ac:dyDescent="0.25">
      <c r="A56" s="38"/>
      <c r="B56" s="51" t="s">
        <v>161</v>
      </c>
      <c r="C56" s="69">
        <f>+E55</f>
        <v>0</v>
      </c>
      <c r="D56" s="70">
        <v>0</v>
      </c>
      <c r="E56" s="71">
        <f>+C56*D56</f>
        <v>0</v>
      </c>
      <c r="F56" s="108"/>
      <c r="G56" s="69">
        <f>+I55</f>
        <v>0</v>
      </c>
      <c r="H56" s="70">
        <v>0</v>
      </c>
      <c r="I56" s="71">
        <f>+G56*H56</f>
        <v>0</v>
      </c>
      <c r="J56" s="108"/>
      <c r="K56" s="108"/>
      <c r="L56" s="51" t="s">
        <v>161</v>
      </c>
      <c r="M56" s="69">
        <f>+O55</f>
        <v>0</v>
      </c>
      <c r="N56" s="70">
        <v>0</v>
      </c>
      <c r="O56" s="71">
        <f>+M56*N56</f>
        <v>0</v>
      </c>
      <c r="P56" s="108"/>
      <c r="Q56" s="69">
        <f>+S55</f>
        <v>0</v>
      </c>
      <c r="R56" s="70">
        <v>0</v>
      </c>
      <c r="S56" s="71">
        <f>+Q56*R56</f>
        <v>0</v>
      </c>
      <c r="T56" s="108"/>
    </row>
    <row r="57" spans="1:20" x14ac:dyDescent="0.25">
      <c r="A57" s="38"/>
      <c r="B57" s="51" t="s">
        <v>162</v>
      </c>
      <c r="C57" s="69">
        <f>+C56+E56</f>
        <v>0</v>
      </c>
      <c r="D57" s="70">
        <v>0</v>
      </c>
      <c r="E57" s="71">
        <f>+C57*D57</f>
        <v>0</v>
      </c>
      <c r="F57" s="108"/>
      <c r="G57" s="69">
        <f>+G56+I56</f>
        <v>0</v>
      </c>
      <c r="H57" s="70">
        <v>0</v>
      </c>
      <c r="I57" s="71">
        <f>+G57*H57</f>
        <v>0</v>
      </c>
      <c r="J57" s="108"/>
      <c r="K57" s="108"/>
      <c r="L57" s="51" t="s">
        <v>162</v>
      </c>
      <c r="M57" s="69">
        <f>+M56+O56</f>
        <v>0</v>
      </c>
      <c r="N57" s="70">
        <v>0</v>
      </c>
      <c r="O57" s="71">
        <f>+M57*N57</f>
        <v>0</v>
      </c>
      <c r="P57" s="108"/>
      <c r="Q57" s="69">
        <f>+Q56+S56</f>
        <v>0</v>
      </c>
      <c r="R57" s="70">
        <v>0</v>
      </c>
      <c r="S57" s="71">
        <f>+Q57*R57</f>
        <v>0</v>
      </c>
      <c r="T57" s="108"/>
    </row>
    <row r="58" spans="1:20" x14ac:dyDescent="0.25">
      <c r="A58" s="38"/>
      <c r="B58" s="51" t="s">
        <v>163</v>
      </c>
      <c r="C58" s="69">
        <f>+C56</f>
        <v>0</v>
      </c>
      <c r="D58" s="70">
        <v>0</v>
      </c>
      <c r="E58" s="71">
        <f>+C58*D58</f>
        <v>0</v>
      </c>
      <c r="F58" s="100"/>
      <c r="G58" s="69">
        <f>+G56</f>
        <v>0</v>
      </c>
      <c r="H58" s="70">
        <v>0</v>
      </c>
      <c r="I58" s="71">
        <f>+G58*H58</f>
        <v>0</v>
      </c>
      <c r="J58" s="100"/>
      <c r="K58" s="100"/>
      <c r="L58" s="51" t="s">
        <v>163</v>
      </c>
      <c r="M58" s="69">
        <f>+M56</f>
        <v>0</v>
      </c>
      <c r="N58" s="70">
        <v>0</v>
      </c>
      <c r="O58" s="71">
        <f>+M58*N58</f>
        <v>0</v>
      </c>
      <c r="P58" s="100"/>
      <c r="Q58" s="69">
        <f>+Q56</f>
        <v>0</v>
      </c>
      <c r="R58" s="70">
        <v>0</v>
      </c>
      <c r="S58" s="71">
        <f>+Q58*R58</f>
        <v>0</v>
      </c>
      <c r="T58" s="100"/>
    </row>
    <row r="59" spans="1:20" x14ac:dyDescent="0.25">
      <c r="A59" s="38"/>
      <c r="B59" s="51" t="s">
        <v>164</v>
      </c>
      <c r="C59" s="69">
        <f>+C57+E57</f>
        <v>0</v>
      </c>
      <c r="D59" s="70">
        <v>0</v>
      </c>
      <c r="E59" s="71">
        <f>+C59*D59</f>
        <v>0</v>
      </c>
      <c r="F59" s="100"/>
      <c r="G59" s="69">
        <f>+G57+I57</f>
        <v>0</v>
      </c>
      <c r="H59" s="70">
        <v>0</v>
      </c>
      <c r="I59" s="71">
        <f>+G59*H59</f>
        <v>0</v>
      </c>
      <c r="J59" s="100"/>
      <c r="K59" s="100"/>
      <c r="L59" s="51" t="s">
        <v>164</v>
      </c>
      <c r="M59" s="69">
        <f>+M57+O57</f>
        <v>0</v>
      </c>
      <c r="N59" s="70">
        <v>0</v>
      </c>
      <c r="O59" s="71">
        <f>+M59*N59</f>
        <v>0</v>
      </c>
      <c r="P59" s="100"/>
      <c r="Q59" s="69">
        <f>+Q57+S57</f>
        <v>0</v>
      </c>
      <c r="R59" s="70">
        <v>0</v>
      </c>
      <c r="S59" s="71">
        <f>+Q59*R59</f>
        <v>0</v>
      </c>
      <c r="T59" s="100"/>
    </row>
    <row r="60" spans="1:20" x14ac:dyDescent="0.25">
      <c r="A60" s="38"/>
      <c r="B60" s="51" t="s">
        <v>175</v>
      </c>
      <c r="C60" s="84"/>
      <c r="D60" s="85"/>
      <c r="E60" s="71">
        <f>+ROUND(SUM(E55:E57),0)</f>
        <v>0</v>
      </c>
      <c r="F60" s="100"/>
      <c r="G60" s="84"/>
      <c r="H60" s="85"/>
      <c r="I60" s="71">
        <f>+ROUND(SUM(I55:I57),0)</f>
        <v>0</v>
      </c>
      <c r="J60" s="100"/>
      <c r="K60" s="100"/>
      <c r="L60" s="51" t="s">
        <v>270</v>
      </c>
      <c r="M60" s="84"/>
      <c r="N60" s="85"/>
      <c r="O60" s="71">
        <f>+ROUND(SUM(O55:O57),0)</f>
        <v>0</v>
      </c>
      <c r="P60" s="100"/>
      <c r="Q60" s="84"/>
      <c r="R60" s="85"/>
      <c r="S60" s="71">
        <f>+ROUND(SUM(S55:S57),0)</f>
        <v>0</v>
      </c>
      <c r="T60" s="100"/>
    </row>
    <row r="61" spans="1:20" x14ac:dyDescent="0.25">
      <c r="A61" s="38"/>
      <c r="B61" s="51" t="s">
        <v>176</v>
      </c>
      <c r="C61" s="81"/>
      <c r="D61" s="86"/>
      <c r="E61" s="71">
        <f>+ROUND(E58,0)</f>
        <v>0</v>
      </c>
      <c r="F61" s="100"/>
      <c r="G61" s="81"/>
      <c r="H61" s="86"/>
      <c r="I61" s="71">
        <f>+ROUND(I58,0)</f>
        <v>0</v>
      </c>
      <c r="J61" s="100"/>
      <c r="K61" s="100"/>
      <c r="L61" s="51" t="s">
        <v>271</v>
      </c>
      <c r="M61" s="81"/>
      <c r="N61" s="86"/>
      <c r="O61" s="71">
        <f>+ROUND(O58,0)</f>
        <v>0</v>
      </c>
      <c r="P61" s="100"/>
      <c r="Q61" s="81"/>
      <c r="R61" s="86"/>
      <c r="S61" s="71">
        <f>+ROUND(S58,0)</f>
        <v>0</v>
      </c>
      <c r="T61" s="100"/>
    </row>
    <row r="62" spans="1:20" x14ac:dyDescent="0.25">
      <c r="B62" s="51" t="s">
        <v>177</v>
      </c>
      <c r="C62" s="81"/>
      <c r="D62" s="86"/>
      <c r="E62" s="87">
        <f>+ROUND(E59,0)</f>
        <v>0</v>
      </c>
      <c r="F62" s="109"/>
      <c r="G62" s="81"/>
      <c r="H62" s="86"/>
      <c r="I62" s="87">
        <f>+ROUND(I59,0)</f>
        <v>0</v>
      </c>
      <c r="J62" s="109"/>
      <c r="K62" s="109"/>
      <c r="L62" s="51" t="s">
        <v>272</v>
      </c>
      <c r="M62" s="81"/>
      <c r="N62" s="86"/>
      <c r="O62" s="87">
        <f>+ROUND(O59,0)</f>
        <v>0</v>
      </c>
      <c r="P62" s="109"/>
      <c r="Q62" s="81"/>
      <c r="R62" s="86"/>
      <c r="S62" s="87">
        <f>+ROUND(S59,0)</f>
        <v>0</v>
      </c>
      <c r="T62" s="109"/>
    </row>
    <row r="63" spans="1:20" ht="16.5" thickBot="1" x14ac:dyDescent="0.3">
      <c r="B63" s="52" t="s">
        <v>178</v>
      </c>
      <c r="C63" s="112"/>
      <c r="D63" s="88"/>
      <c r="E63" s="64">
        <f t="shared" ref="E63" si="8">SUM(E60:E62)</f>
        <v>0</v>
      </c>
      <c r="F63" s="99"/>
      <c r="G63" s="112"/>
      <c r="H63" s="88"/>
      <c r="I63" s="64">
        <f t="shared" ref="I63" si="9">SUM(I60:I62)</f>
        <v>0</v>
      </c>
      <c r="J63" s="99"/>
      <c r="K63" s="99"/>
      <c r="L63" s="52" t="s">
        <v>273</v>
      </c>
      <c r="M63" s="112"/>
      <c r="N63" s="88"/>
      <c r="O63" s="64">
        <f t="shared" ref="O63" si="10">SUM(O60:O62)</f>
        <v>0</v>
      </c>
      <c r="P63" s="99"/>
      <c r="Q63" s="112"/>
      <c r="R63" s="88"/>
      <c r="S63" s="64">
        <f t="shared" ref="S63" si="11">SUM(S60:S62)</f>
        <v>0</v>
      </c>
      <c r="T63" s="99"/>
    </row>
    <row r="64" spans="1:20" x14ac:dyDescent="0.25">
      <c r="B64" s="41"/>
      <c r="F64" s="110"/>
      <c r="J64" s="110"/>
      <c r="K64" s="110"/>
      <c r="L64" s="41"/>
      <c r="P64" s="110"/>
      <c r="T64" s="110"/>
    </row>
    <row r="65" spans="2:20" ht="16.5" thickBot="1" x14ac:dyDescent="0.3">
      <c r="F65" s="110"/>
      <c r="J65" s="110"/>
      <c r="K65" s="110"/>
      <c r="L65" s="37"/>
      <c r="P65" s="110"/>
      <c r="T65" s="110"/>
    </row>
    <row r="66" spans="2:20" ht="16.5" thickBot="1" x14ac:dyDescent="0.3">
      <c r="B66" s="189" t="str">
        <f>B52</f>
        <v xml:space="preserve">CLINs 0004 &amp; 1004: CPFF </v>
      </c>
      <c r="C66" s="186" t="s">
        <v>183</v>
      </c>
      <c r="D66" s="187"/>
      <c r="E66" s="188"/>
      <c r="F66" s="106"/>
      <c r="G66" s="186" t="s">
        <v>183</v>
      </c>
      <c r="H66" s="187"/>
      <c r="I66" s="188"/>
      <c r="J66" s="106"/>
      <c r="K66" s="106"/>
      <c r="L66" s="149"/>
      <c r="M66" s="186" t="s">
        <v>183</v>
      </c>
      <c r="N66" s="187"/>
      <c r="O66" s="188"/>
      <c r="P66" s="106"/>
      <c r="Q66" s="186" t="s">
        <v>183</v>
      </c>
      <c r="R66" s="187"/>
      <c r="S66" s="188"/>
      <c r="T66" s="106"/>
    </row>
    <row r="67" spans="2:20" ht="16.5" thickBot="1" x14ac:dyDescent="0.3">
      <c r="B67" s="190"/>
      <c r="C67" s="89"/>
      <c r="D67" s="55"/>
      <c r="E67" s="90" t="s">
        <v>308</v>
      </c>
      <c r="F67" s="111"/>
      <c r="G67" s="89"/>
      <c r="H67" s="55"/>
      <c r="I67" s="90" t="s">
        <v>309</v>
      </c>
      <c r="J67" s="111"/>
      <c r="K67" s="111"/>
      <c r="L67" s="150"/>
      <c r="M67" s="89"/>
      <c r="N67" s="55"/>
      <c r="O67" s="90" t="s">
        <v>310</v>
      </c>
      <c r="P67" s="111"/>
      <c r="Q67" s="89"/>
      <c r="R67" s="55"/>
      <c r="S67" s="90" t="s">
        <v>311</v>
      </c>
      <c r="T67" s="111"/>
    </row>
    <row r="68" spans="2:20" x14ac:dyDescent="0.25">
      <c r="B68" s="51" t="s">
        <v>175</v>
      </c>
      <c r="C68" s="91"/>
      <c r="D68" s="91"/>
      <c r="E68" s="92">
        <f>+ROUND(E33+E47+E60,0)</f>
        <v>0</v>
      </c>
      <c r="F68" s="100"/>
      <c r="G68" s="91"/>
      <c r="H68" s="91"/>
      <c r="I68" s="92">
        <f>+ROUND(I33+I47+I60,0)</f>
        <v>0</v>
      </c>
      <c r="J68" s="100"/>
      <c r="K68" s="100"/>
      <c r="L68" s="51" t="s">
        <v>270</v>
      </c>
      <c r="M68" s="91"/>
      <c r="N68" s="91"/>
      <c r="O68" s="92">
        <f>+ROUND(O33+O47+O60,0)</f>
        <v>0</v>
      </c>
      <c r="P68" s="100"/>
      <c r="Q68" s="91"/>
      <c r="R68" s="91"/>
      <c r="S68" s="92">
        <f>+ROUND(S33+S47+S60,0)</f>
        <v>0</v>
      </c>
      <c r="T68" s="100"/>
    </row>
    <row r="69" spans="2:20" x14ac:dyDescent="0.25">
      <c r="B69" s="51" t="s">
        <v>176</v>
      </c>
      <c r="C69" s="91"/>
      <c r="D69" s="91"/>
      <c r="E69" s="71">
        <f>+ROUND(E34+E48+E61,0)</f>
        <v>0</v>
      </c>
      <c r="F69" s="100"/>
      <c r="G69" s="91"/>
      <c r="H69" s="91"/>
      <c r="I69" s="71">
        <f>+ROUND(I34+I48+I61,0)</f>
        <v>0</v>
      </c>
      <c r="J69" s="100"/>
      <c r="K69" s="100"/>
      <c r="L69" s="51" t="s">
        <v>271</v>
      </c>
      <c r="M69" s="91"/>
      <c r="N69" s="91"/>
      <c r="O69" s="71">
        <f>+ROUND(O34+O48+O61,0)</f>
        <v>0</v>
      </c>
      <c r="P69" s="100"/>
      <c r="Q69" s="91"/>
      <c r="R69" s="91"/>
      <c r="S69" s="71">
        <f>+ROUND(S34+S48+S61,0)</f>
        <v>0</v>
      </c>
      <c r="T69" s="100"/>
    </row>
    <row r="70" spans="2:20" x14ac:dyDescent="0.25">
      <c r="B70" s="51" t="s">
        <v>177</v>
      </c>
      <c r="C70" s="91"/>
      <c r="D70" s="91"/>
      <c r="E70" s="74">
        <f>+ROUND(E35+E49+E62,0)</f>
        <v>0</v>
      </c>
      <c r="F70" s="102"/>
      <c r="G70" s="91"/>
      <c r="H70" s="91"/>
      <c r="I70" s="74">
        <f>+ROUND(I35+I49+I62,0)</f>
        <v>0</v>
      </c>
      <c r="J70" s="102"/>
      <c r="K70" s="102"/>
      <c r="L70" s="51" t="s">
        <v>272</v>
      </c>
      <c r="M70" s="91"/>
      <c r="N70" s="91"/>
      <c r="O70" s="74">
        <f>+ROUND(O35+O49+O62,0)</f>
        <v>0</v>
      </c>
      <c r="P70" s="102"/>
      <c r="Q70" s="91"/>
      <c r="R70" s="91"/>
      <c r="S70" s="74">
        <f>+ROUND(S35+S49+S62,0)</f>
        <v>0</v>
      </c>
      <c r="T70" s="102"/>
    </row>
    <row r="71" spans="2:20" ht="16.5" thickBot="1" x14ac:dyDescent="0.3">
      <c r="B71" s="52" t="s">
        <v>178</v>
      </c>
      <c r="C71" s="93"/>
      <c r="D71" s="93"/>
      <c r="E71" s="77">
        <f>SUM(E68:E70)</f>
        <v>0</v>
      </c>
      <c r="F71" s="103"/>
      <c r="G71" s="93"/>
      <c r="H71" s="93"/>
      <c r="I71" s="77">
        <f>SUM(I68:I70)</f>
        <v>0</v>
      </c>
      <c r="J71" s="103"/>
      <c r="K71" s="103"/>
      <c r="L71" s="52" t="s">
        <v>273</v>
      </c>
      <c r="M71" s="93"/>
      <c r="N71" s="93"/>
      <c r="O71" s="77">
        <f>SUM(O68:O70)</f>
        <v>0</v>
      </c>
      <c r="P71" s="103"/>
      <c r="Q71" s="93"/>
      <c r="R71" s="93"/>
      <c r="S71" s="77">
        <f>SUM(S68:S70)</f>
        <v>0</v>
      </c>
      <c r="T71" s="103"/>
    </row>
  </sheetData>
  <mergeCells count="21">
    <mergeCell ref="B66:B67"/>
    <mergeCell ref="C66:E66"/>
    <mergeCell ref="G66:I66"/>
    <mergeCell ref="M66:O66"/>
    <mergeCell ref="Q66:S66"/>
    <mergeCell ref="B39:B40"/>
    <mergeCell ref="C39:E39"/>
    <mergeCell ref="G39:I39"/>
    <mergeCell ref="M39:O39"/>
    <mergeCell ref="Q39:S39"/>
    <mergeCell ref="B52:B53"/>
    <mergeCell ref="C52:E52"/>
    <mergeCell ref="G52:I52"/>
    <mergeCell ref="M52:O52"/>
    <mergeCell ref="Q52:S52"/>
    <mergeCell ref="Q10:S10"/>
    <mergeCell ref="B10:B11"/>
    <mergeCell ref="C10:E10"/>
    <mergeCell ref="G10:I10"/>
    <mergeCell ref="L10:L11"/>
    <mergeCell ref="M10:O10"/>
  </mergeCells>
  <pageMargins left="0.7" right="0.7" top="0.75" bottom="0.75" header="0.3" footer="0.3"/>
  <pageSetup orientation="portrait" horizontalDpi="1200" verticalDpi="12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0E028-F911-4DB2-A5D6-754F733C3C56}">
  <sheetPr>
    <tabColor theme="7" tint="0.79998168889431442"/>
  </sheetPr>
  <dimension ref="A1:P71"/>
  <sheetViews>
    <sheetView workbookViewId="0">
      <selection activeCell="B4" sqref="B4"/>
    </sheetView>
  </sheetViews>
  <sheetFormatPr defaultColWidth="15.85546875" defaultRowHeight="15.75" x14ac:dyDescent="0.25"/>
  <cols>
    <col min="1" max="1" width="3.42578125" style="33" customWidth="1"/>
    <col min="2" max="2" width="49.140625" style="37" customWidth="1"/>
    <col min="3" max="3" width="32.85546875" style="35" customWidth="1"/>
    <col min="4" max="4" width="28.85546875" style="35" customWidth="1"/>
    <col min="5" max="5" width="40.140625" style="35" customWidth="1"/>
    <col min="6" max="6" width="3.140625" style="35" customWidth="1"/>
    <col min="7" max="7" width="28.28515625" style="35" customWidth="1"/>
    <col min="8" max="8" width="25.42578125" style="35" customWidth="1"/>
    <col min="9" max="9" width="35.42578125" style="35" customWidth="1"/>
    <col min="10" max="11" width="3.140625" style="35" customWidth="1"/>
    <col min="12" max="12" width="45" style="35" bestFit="1" customWidth="1"/>
    <col min="13" max="13" width="28.28515625" style="35" customWidth="1"/>
    <col min="14" max="14" width="25.42578125" style="35" customWidth="1"/>
    <col min="15" max="15" width="35.42578125" style="35" customWidth="1"/>
    <col min="16" max="16" width="3.140625" style="35" customWidth="1"/>
    <col min="17" max="16384" width="15.85546875" style="35"/>
  </cols>
  <sheetData>
    <row r="1" spans="1:16" x14ac:dyDescent="0.2">
      <c r="B1" s="34" t="s">
        <v>147</v>
      </c>
    </row>
    <row r="2" spans="1:16" x14ac:dyDescent="0.25">
      <c r="A2" s="36"/>
      <c r="B2" s="153" t="s">
        <v>167</v>
      </c>
      <c r="C2" s="94"/>
      <c r="D2" s="94"/>
      <c r="E2" s="94"/>
      <c r="F2" s="94"/>
      <c r="G2" s="94"/>
      <c r="H2" s="94"/>
      <c r="I2" s="94"/>
      <c r="J2" s="94"/>
      <c r="K2" s="94"/>
      <c r="L2" s="94"/>
      <c r="M2" s="94"/>
      <c r="N2" s="94"/>
      <c r="O2" s="94"/>
      <c r="P2" s="94"/>
    </row>
    <row r="3" spans="1:16" x14ac:dyDescent="0.25">
      <c r="A3" s="36"/>
      <c r="B3" s="153" t="s">
        <v>347</v>
      </c>
      <c r="C3" s="94"/>
      <c r="D3" s="94"/>
      <c r="E3" s="94"/>
      <c r="F3" s="94"/>
      <c r="G3" s="94"/>
      <c r="H3" s="94"/>
      <c r="I3" s="94"/>
      <c r="J3" s="94"/>
      <c r="K3" s="94"/>
      <c r="L3" s="94"/>
      <c r="M3" s="94"/>
      <c r="N3" s="94"/>
      <c r="O3" s="94"/>
      <c r="P3" s="94"/>
    </row>
    <row r="4" spans="1:16" x14ac:dyDescent="0.25">
      <c r="A4" s="36"/>
      <c r="B4" s="153" t="s">
        <v>231</v>
      </c>
      <c r="C4" s="94"/>
      <c r="D4" s="94"/>
      <c r="E4" s="94"/>
      <c r="F4" s="94"/>
      <c r="G4" s="94"/>
      <c r="H4" s="94"/>
      <c r="I4" s="94"/>
      <c r="J4" s="94"/>
      <c r="K4" s="94"/>
      <c r="L4" s="94"/>
      <c r="M4" s="94"/>
      <c r="N4" s="94"/>
      <c r="O4" s="94"/>
      <c r="P4" s="94"/>
    </row>
    <row r="5" spans="1:16" x14ac:dyDescent="0.25">
      <c r="A5" s="36"/>
      <c r="B5" s="153" t="s">
        <v>168</v>
      </c>
      <c r="C5" s="94"/>
      <c r="D5" s="94"/>
      <c r="E5" s="94"/>
      <c r="F5" s="94"/>
      <c r="G5" s="94"/>
      <c r="H5" s="94"/>
      <c r="I5" s="94"/>
      <c r="J5" s="94"/>
      <c r="K5" s="94"/>
      <c r="L5" s="94"/>
      <c r="M5" s="94"/>
      <c r="N5" s="94"/>
      <c r="O5" s="94"/>
      <c r="P5" s="94"/>
    </row>
    <row r="6" spans="1:16" x14ac:dyDescent="0.25">
      <c r="A6" s="36"/>
      <c r="B6" s="153" t="s">
        <v>348</v>
      </c>
      <c r="C6" s="94"/>
      <c r="D6" s="94"/>
      <c r="E6" s="94"/>
      <c r="F6" s="94"/>
      <c r="G6" s="94"/>
      <c r="H6" s="94"/>
      <c r="I6" s="94"/>
      <c r="J6" s="94"/>
      <c r="K6" s="94"/>
      <c r="L6" s="94"/>
      <c r="M6" s="94"/>
      <c r="N6" s="94"/>
      <c r="O6" s="94"/>
      <c r="P6" s="94"/>
    </row>
    <row r="7" spans="1:16" x14ac:dyDescent="0.25">
      <c r="A7" s="36"/>
      <c r="B7" s="153" t="s">
        <v>274</v>
      </c>
      <c r="C7" s="94"/>
      <c r="D7" s="94"/>
      <c r="E7" s="94"/>
      <c r="F7" s="94"/>
      <c r="G7" s="94"/>
      <c r="H7" s="94"/>
      <c r="I7" s="94"/>
      <c r="J7" s="94"/>
      <c r="K7" s="94"/>
      <c r="L7" s="94"/>
      <c r="M7" s="94"/>
      <c r="N7" s="94"/>
      <c r="O7" s="94"/>
      <c r="P7" s="94"/>
    </row>
    <row r="9" spans="1:16" ht="16.5" thickBot="1" x14ac:dyDescent="0.3"/>
    <row r="10" spans="1:16" ht="16.5" thickBot="1" x14ac:dyDescent="0.3">
      <c r="A10" s="38"/>
      <c r="B10" s="189" t="s">
        <v>312</v>
      </c>
      <c r="C10" s="186" t="s">
        <v>170</v>
      </c>
      <c r="D10" s="187"/>
      <c r="E10" s="188"/>
      <c r="F10" s="95"/>
      <c r="G10" s="186" t="s">
        <v>170</v>
      </c>
      <c r="H10" s="187"/>
      <c r="I10" s="188"/>
      <c r="J10" s="95"/>
      <c r="K10" s="95"/>
      <c r="L10" s="189" t="s">
        <v>316</v>
      </c>
      <c r="M10" s="186" t="s">
        <v>170</v>
      </c>
      <c r="N10" s="187"/>
      <c r="O10" s="188"/>
      <c r="P10" s="95"/>
    </row>
    <row r="11" spans="1:16" ht="16.5" thickBot="1" x14ac:dyDescent="0.3">
      <c r="A11" s="38"/>
      <c r="B11" s="190"/>
      <c r="C11" s="129" t="s">
        <v>313</v>
      </c>
      <c r="D11" s="130"/>
      <c r="E11" s="131"/>
      <c r="F11" s="96"/>
      <c r="G11" s="132" t="s">
        <v>314</v>
      </c>
      <c r="H11" s="133"/>
      <c r="I11" s="134"/>
      <c r="J11" s="96"/>
      <c r="K11" s="96"/>
      <c r="L11" s="190"/>
      <c r="M11" s="132" t="s">
        <v>315</v>
      </c>
      <c r="N11" s="133"/>
      <c r="O11" s="134"/>
      <c r="P11" s="96"/>
    </row>
    <row r="12" spans="1:16" x14ac:dyDescent="0.25">
      <c r="A12" s="38"/>
      <c r="B12" s="56" t="s">
        <v>157</v>
      </c>
      <c r="C12" s="56" t="s">
        <v>171</v>
      </c>
      <c r="D12" s="57" t="s">
        <v>172</v>
      </c>
      <c r="E12" s="58" t="s">
        <v>10</v>
      </c>
      <c r="F12" s="97"/>
      <c r="G12" s="56" t="s">
        <v>171</v>
      </c>
      <c r="H12" s="57" t="s">
        <v>172</v>
      </c>
      <c r="I12" s="58" t="s">
        <v>10</v>
      </c>
      <c r="J12" s="97"/>
      <c r="K12" s="97"/>
      <c r="L12" s="56" t="s">
        <v>157</v>
      </c>
      <c r="M12" s="56" t="s">
        <v>171</v>
      </c>
      <c r="N12" s="57" t="s">
        <v>172</v>
      </c>
      <c r="O12" s="58" t="s">
        <v>10</v>
      </c>
      <c r="P12" s="97"/>
    </row>
    <row r="13" spans="1:16" x14ac:dyDescent="0.25">
      <c r="A13" s="38"/>
      <c r="B13" s="59" t="s">
        <v>184</v>
      </c>
      <c r="C13" s="60"/>
      <c r="D13" s="61">
        <v>0</v>
      </c>
      <c r="E13" s="62">
        <f>+C13*D13</f>
        <v>0</v>
      </c>
      <c r="F13" s="98"/>
      <c r="G13" s="60"/>
      <c r="H13" s="61">
        <v>0</v>
      </c>
      <c r="I13" s="62">
        <f>+G13*H13</f>
        <v>0</v>
      </c>
      <c r="J13" s="98"/>
      <c r="K13" s="98"/>
      <c r="L13" s="151" t="s">
        <v>184</v>
      </c>
      <c r="M13" s="60"/>
      <c r="N13" s="61">
        <v>0</v>
      </c>
      <c r="O13" s="62">
        <f>+M13*N13</f>
        <v>0</v>
      </c>
      <c r="P13" s="98"/>
    </row>
    <row r="14" spans="1:16" x14ac:dyDescent="0.25">
      <c r="A14" s="38"/>
      <c r="B14" s="59" t="s">
        <v>185</v>
      </c>
      <c r="C14" s="60"/>
      <c r="D14" s="61">
        <v>0</v>
      </c>
      <c r="E14" s="62">
        <f t="shared" ref="E14:E25" si="0">+C14*D14</f>
        <v>0</v>
      </c>
      <c r="F14" s="98"/>
      <c r="G14" s="60"/>
      <c r="H14" s="61">
        <v>0</v>
      </c>
      <c r="I14" s="62">
        <f t="shared" ref="I14:I25" si="1">+G14*H14</f>
        <v>0</v>
      </c>
      <c r="J14" s="98"/>
      <c r="K14" s="98"/>
      <c r="L14" s="59" t="s">
        <v>185</v>
      </c>
      <c r="M14" s="60"/>
      <c r="N14" s="61">
        <v>0</v>
      </c>
      <c r="O14" s="62">
        <f t="shared" ref="O14:O25" si="2">+M14*N14</f>
        <v>0</v>
      </c>
      <c r="P14" s="98"/>
    </row>
    <row r="15" spans="1:16" x14ac:dyDescent="0.25">
      <c r="A15" s="38"/>
      <c r="B15" s="59" t="s">
        <v>186</v>
      </c>
      <c r="C15" s="60"/>
      <c r="D15" s="61">
        <v>0</v>
      </c>
      <c r="E15" s="62">
        <f t="shared" si="0"/>
        <v>0</v>
      </c>
      <c r="F15" s="98"/>
      <c r="G15" s="60"/>
      <c r="H15" s="61">
        <v>0</v>
      </c>
      <c r="I15" s="62">
        <f t="shared" si="1"/>
        <v>0</v>
      </c>
      <c r="J15" s="98"/>
      <c r="K15" s="98"/>
      <c r="L15" s="59" t="s">
        <v>186</v>
      </c>
      <c r="M15" s="60"/>
      <c r="N15" s="61">
        <v>0</v>
      </c>
      <c r="O15" s="62">
        <f t="shared" si="2"/>
        <v>0</v>
      </c>
      <c r="P15" s="98"/>
    </row>
    <row r="16" spans="1:16" x14ac:dyDescent="0.25">
      <c r="A16" s="38"/>
      <c r="B16" s="59" t="s">
        <v>187</v>
      </c>
      <c r="C16" s="60"/>
      <c r="D16" s="61">
        <v>0</v>
      </c>
      <c r="E16" s="62">
        <f t="shared" si="0"/>
        <v>0</v>
      </c>
      <c r="F16" s="98"/>
      <c r="G16" s="60"/>
      <c r="H16" s="61">
        <v>0</v>
      </c>
      <c r="I16" s="62">
        <f t="shared" si="1"/>
        <v>0</v>
      </c>
      <c r="J16" s="98"/>
      <c r="K16" s="98"/>
      <c r="L16" s="59" t="s">
        <v>187</v>
      </c>
      <c r="M16" s="60"/>
      <c r="N16" s="61">
        <v>0</v>
      </c>
      <c r="O16" s="62">
        <f t="shared" si="2"/>
        <v>0</v>
      </c>
      <c r="P16" s="98"/>
    </row>
    <row r="17" spans="1:16" x14ac:dyDescent="0.25">
      <c r="A17" s="38"/>
      <c r="B17" s="59" t="s">
        <v>188</v>
      </c>
      <c r="C17" s="60"/>
      <c r="D17" s="61">
        <v>0</v>
      </c>
      <c r="E17" s="62">
        <f t="shared" si="0"/>
        <v>0</v>
      </c>
      <c r="F17" s="98"/>
      <c r="G17" s="60"/>
      <c r="H17" s="61">
        <v>0</v>
      </c>
      <c r="I17" s="62">
        <f t="shared" si="1"/>
        <v>0</v>
      </c>
      <c r="J17" s="98"/>
      <c r="K17" s="98"/>
      <c r="L17" s="59" t="s">
        <v>188</v>
      </c>
      <c r="M17" s="60"/>
      <c r="N17" s="61">
        <v>0</v>
      </c>
      <c r="O17" s="62">
        <f t="shared" si="2"/>
        <v>0</v>
      </c>
      <c r="P17" s="98"/>
    </row>
    <row r="18" spans="1:16" x14ac:dyDescent="0.25">
      <c r="A18" s="38"/>
      <c r="B18" s="59" t="s">
        <v>189</v>
      </c>
      <c r="C18" s="60"/>
      <c r="D18" s="61">
        <v>0</v>
      </c>
      <c r="E18" s="62">
        <f t="shared" si="0"/>
        <v>0</v>
      </c>
      <c r="F18" s="98"/>
      <c r="G18" s="60"/>
      <c r="H18" s="61">
        <v>0</v>
      </c>
      <c r="I18" s="62">
        <f t="shared" si="1"/>
        <v>0</v>
      </c>
      <c r="J18" s="98"/>
      <c r="K18" s="98"/>
      <c r="L18" s="59" t="s">
        <v>189</v>
      </c>
      <c r="M18" s="60"/>
      <c r="N18" s="61">
        <v>0</v>
      </c>
      <c r="O18" s="62">
        <f t="shared" si="2"/>
        <v>0</v>
      </c>
      <c r="P18" s="98"/>
    </row>
    <row r="19" spans="1:16" x14ac:dyDescent="0.25">
      <c r="A19" s="38"/>
      <c r="B19" s="59" t="s">
        <v>190</v>
      </c>
      <c r="C19" s="60"/>
      <c r="D19" s="61">
        <v>0</v>
      </c>
      <c r="E19" s="62">
        <f t="shared" si="0"/>
        <v>0</v>
      </c>
      <c r="F19" s="98"/>
      <c r="G19" s="60"/>
      <c r="H19" s="61">
        <v>0</v>
      </c>
      <c r="I19" s="62">
        <f t="shared" si="1"/>
        <v>0</v>
      </c>
      <c r="J19" s="98"/>
      <c r="K19" s="98"/>
      <c r="L19" s="59" t="s">
        <v>190</v>
      </c>
      <c r="M19" s="60"/>
      <c r="N19" s="61">
        <v>0</v>
      </c>
      <c r="O19" s="62">
        <f t="shared" si="2"/>
        <v>0</v>
      </c>
      <c r="P19" s="98"/>
    </row>
    <row r="20" spans="1:16" x14ac:dyDescent="0.25">
      <c r="A20" s="38"/>
      <c r="B20" s="59" t="s">
        <v>191</v>
      </c>
      <c r="C20" s="60"/>
      <c r="D20" s="61">
        <v>0</v>
      </c>
      <c r="E20" s="62">
        <f t="shared" si="0"/>
        <v>0</v>
      </c>
      <c r="F20" s="98"/>
      <c r="G20" s="60"/>
      <c r="H20" s="61">
        <v>0</v>
      </c>
      <c r="I20" s="62">
        <f t="shared" si="1"/>
        <v>0</v>
      </c>
      <c r="J20" s="98"/>
      <c r="K20" s="98"/>
      <c r="L20" s="59" t="s">
        <v>191</v>
      </c>
      <c r="M20" s="60"/>
      <c r="N20" s="61">
        <v>0</v>
      </c>
      <c r="O20" s="62">
        <f t="shared" si="2"/>
        <v>0</v>
      </c>
      <c r="P20" s="98"/>
    </row>
    <row r="21" spans="1:16" x14ac:dyDescent="0.25">
      <c r="A21" s="38"/>
      <c r="B21" s="59" t="s">
        <v>192</v>
      </c>
      <c r="C21" s="60"/>
      <c r="D21" s="61">
        <v>0</v>
      </c>
      <c r="E21" s="62">
        <f t="shared" si="0"/>
        <v>0</v>
      </c>
      <c r="F21" s="98"/>
      <c r="G21" s="60"/>
      <c r="H21" s="61">
        <v>0</v>
      </c>
      <c r="I21" s="62">
        <f t="shared" si="1"/>
        <v>0</v>
      </c>
      <c r="J21" s="98"/>
      <c r="K21" s="98"/>
      <c r="L21" s="59" t="s">
        <v>192</v>
      </c>
      <c r="M21" s="60"/>
      <c r="N21" s="61">
        <v>0</v>
      </c>
      <c r="O21" s="62">
        <f t="shared" si="2"/>
        <v>0</v>
      </c>
      <c r="P21" s="98"/>
    </row>
    <row r="22" spans="1:16" ht="15" customHeight="1" x14ac:dyDescent="0.25">
      <c r="A22" s="38"/>
      <c r="B22" s="59" t="s">
        <v>193</v>
      </c>
      <c r="C22" s="60"/>
      <c r="D22" s="61">
        <v>0</v>
      </c>
      <c r="E22" s="62">
        <f t="shared" si="0"/>
        <v>0</v>
      </c>
      <c r="F22" s="98"/>
      <c r="G22" s="60"/>
      <c r="H22" s="61">
        <v>0</v>
      </c>
      <c r="I22" s="62">
        <f t="shared" si="1"/>
        <v>0</v>
      </c>
      <c r="J22" s="98"/>
      <c r="K22" s="98"/>
      <c r="L22" s="59" t="s">
        <v>193</v>
      </c>
      <c r="M22" s="60"/>
      <c r="N22" s="61">
        <v>0</v>
      </c>
      <c r="O22" s="62">
        <f t="shared" si="2"/>
        <v>0</v>
      </c>
      <c r="P22" s="98"/>
    </row>
    <row r="23" spans="1:16" ht="15" customHeight="1" x14ac:dyDescent="0.25">
      <c r="A23" s="38"/>
      <c r="B23" s="59" t="s">
        <v>194</v>
      </c>
      <c r="C23" s="60"/>
      <c r="D23" s="61">
        <v>0</v>
      </c>
      <c r="E23" s="62">
        <f t="shared" si="0"/>
        <v>0</v>
      </c>
      <c r="F23" s="98"/>
      <c r="G23" s="60"/>
      <c r="H23" s="61">
        <v>0</v>
      </c>
      <c r="I23" s="62">
        <f t="shared" si="1"/>
        <v>0</v>
      </c>
      <c r="J23" s="98"/>
      <c r="K23" s="98"/>
      <c r="L23" s="59" t="s">
        <v>194</v>
      </c>
      <c r="M23" s="60"/>
      <c r="N23" s="61">
        <v>0</v>
      </c>
      <c r="O23" s="62">
        <f t="shared" si="2"/>
        <v>0</v>
      </c>
      <c r="P23" s="98"/>
    </row>
    <row r="24" spans="1:16" ht="15" customHeight="1" x14ac:dyDescent="0.25">
      <c r="A24" s="38"/>
      <c r="B24" s="59" t="s">
        <v>195</v>
      </c>
      <c r="C24" s="60"/>
      <c r="D24" s="61">
        <v>0</v>
      </c>
      <c r="E24" s="62">
        <f t="shared" si="0"/>
        <v>0</v>
      </c>
      <c r="F24" s="98"/>
      <c r="G24" s="60"/>
      <c r="H24" s="61">
        <v>0</v>
      </c>
      <c r="I24" s="62">
        <f t="shared" si="1"/>
        <v>0</v>
      </c>
      <c r="J24" s="98"/>
      <c r="K24" s="98"/>
      <c r="L24" s="59" t="s">
        <v>195</v>
      </c>
      <c r="M24" s="60"/>
      <c r="N24" s="61">
        <v>0</v>
      </c>
      <c r="O24" s="62">
        <f t="shared" si="2"/>
        <v>0</v>
      </c>
      <c r="P24" s="98"/>
    </row>
    <row r="25" spans="1:16" ht="15" customHeight="1" thickBot="1" x14ac:dyDescent="0.3">
      <c r="A25" s="38"/>
      <c r="B25" s="59" t="s">
        <v>196</v>
      </c>
      <c r="C25" s="63"/>
      <c r="D25" s="39">
        <v>0</v>
      </c>
      <c r="E25" s="64">
        <f t="shared" si="0"/>
        <v>0</v>
      </c>
      <c r="F25" s="99"/>
      <c r="G25" s="63"/>
      <c r="H25" s="39">
        <v>0</v>
      </c>
      <c r="I25" s="64">
        <f t="shared" si="1"/>
        <v>0</v>
      </c>
      <c r="J25" s="99"/>
      <c r="K25" s="99"/>
      <c r="L25" s="59" t="s">
        <v>196</v>
      </c>
      <c r="M25" s="63"/>
      <c r="N25" s="39">
        <v>0</v>
      </c>
      <c r="O25" s="64">
        <f t="shared" si="2"/>
        <v>0</v>
      </c>
      <c r="P25" s="99"/>
    </row>
    <row r="26" spans="1:16" ht="16.5" thickBot="1" x14ac:dyDescent="0.3">
      <c r="A26" s="38"/>
      <c r="B26" s="113" t="s">
        <v>173</v>
      </c>
      <c r="C26" s="65">
        <f>SUM(C13:C25)</f>
        <v>0</v>
      </c>
      <c r="D26" s="66"/>
      <c r="E26" s="67">
        <f>SUM(E13:E25)</f>
        <v>0</v>
      </c>
      <c r="F26" s="100"/>
      <c r="G26" s="65">
        <f>SUM(G13:G25)</f>
        <v>0</v>
      </c>
      <c r="H26" s="66"/>
      <c r="I26" s="67">
        <f>SUM(I13:I25)</f>
        <v>0</v>
      </c>
      <c r="J26" s="100"/>
      <c r="K26" s="100"/>
      <c r="L26" s="113" t="s">
        <v>173</v>
      </c>
      <c r="M26" s="65">
        <f>SUM(M13:M25)</f>
        <v>0</v>
      </c>
      <c r="N26" s="66"/>
      <c r="O26" s="67">
        <f>SUM(O13:O25)</f>
        <v>0</v>
      </c>
      <c r="P26" s="100"/>
    </row>
    <row r="27" spans="1:16" x14ac:dyDescent="0.25">
      <c r="A27" s="38"/>
      <c r="B27" s="68"/>
      <c r="C27" s="56" t="s">
        <v>174</v>
      </c>
      <c r="D27" s="57" t="s">
        <v>172</v>
      </c>
      <c r="E27" s="58" t="s">
        <v>10</v>
      </c>
      <c r="F27" s="101"/>
      <c r="G27" s="56" t="s">
        <v>174</v>
      </c>
      <c r="H27" s="57" t="s">
        <v>172</v>
      </c>
      <c r="I27" s="58" t="s">
        <v>10</v>
      </c>
      <c r="J27" s="101"/>
      <c r="K27" s="101"/>
      <c r="L27" s="68"/>
      <c r="M27" s="56" t="s">
        <v>174</v>
      </c>
      <c r="N27" s="57" t="s">
        <v>172</v>
      </c>
      <c r="O27" s="58" t="s">
        <v>10</v>
      </c>
      <c r="P27" s="101"/>
    </row>
    <row r="28" spans="1:16" x14ac:dyDescent="0.25">
      <c r="A28" s="38"/>
      <c r="B28" s="51" t="s">
        <v>160</v>
      </c>
      <c r="C28" s="69">
        <f>+E26</f>
        <v>0</v>
      </c>
      <c r="D28" s="70">
        <v>0</v>
      </c>
      <c r="E28" s="71">
        <f>+C28*D28</f>
        <v>0</v>
      </c>
      <c r="F28" s="100"/>
      <c r="G28" s="69">
        <f>+I26</f>
        <v>0</v>
      </c>
      <c r="H28" s="70">
        <v>0</v>
      </c>
      <c r="I28" s="71">
        <f>+G28*H28</f>
        <v>0</v>
      </c>
      <c r="J28" s="100"/>
      <c r="K28" s="100"/>
      <c r="L28" s="51" t="s">
        <v>269</v>
      </c>
      <c r="M28" s="69">
        <f>+O26</f>
        <v>0</v>
      </c>
      <c r="N28" s="70">
        <v>0</v>
      </c>
      <c r="O28" s="71">
        <f>+M28*N28</f>
        <v>0</v>
      </c>
      <c r="P28" s="100"/>
    </row>
    <row r="29" spans="1:16" x14ac:dyDescent="0.25">
      <c r="A29" s="38"/>
      <c r="B29" s="51" t="s">
        <v>161</v>
      </c>
      <c r="C29" s="69">
        <f>+C28+E28</f>
        <v>0</v>
      </c>
      <c r="D29" s="70">
        <v>0</v>
      </c>
      <c r="E29" s="71">
        <f>+C29*D29</f>
        <v>0</v>
      </c>
      <c r="F29" s="100"/>
      <c r="G29" s="69">
        <f>+G28+I28</f>
        <v>0</v>
      </c>
      <c r="H29" s="70">
        <v>0</v>
      </c>
      <c r="I29" s="71">
        <f>+G29*H29</f>
        <v>0</v>
      </c>
      <c r="J29" s="100"/>
      <c r="K29" s="100"/>
      <c r="L29" s="51" t="s">
        <v>161</v>
      </c>
      <c r="M29" s="69">
        <f>+M28+O28</f>
        <v>0</v>
      </c>
      <c r="N29" s="70">
        <v>0</v>
      </c>
      <c r="O29" s="71">
        <f>+M29*N29</f>
        <v>0</v>
      </c>
      <c r="P29" s="100"/>
    </row>
    <row r="30" spans="1:16" x14ac:dyDescent="0.25">
      <c r="A30" s="38"/>
      <c r="B30" s="51" t="s">
        <v>162</v>
      </c>
      <c r="C30" s="69">
        <f>+C29+E29</f>
        <v>0</v>
      </c>
      <c r="D30" s="70">
        <v>0</v>
      </c>
      <c r="E30" s="71">
        <f>+C30*D30</f>
        <v>0</v>
      </c>
      <c r="F30" s="100"/>
      <c r="G30" s="69">
        <f>+G29+I29</f>
        <v>0</v>
      </c>
      <c r="H30" s="70">
        <v>0</v>
      </c>
      <c r="I30" s="71">
        <f>+G30*H30</f>
        <v>0</v>
      </c>
      <c r="J30" s="100"/>
      <c r="K30" s="100"/>
      <c r="L30" s="51" t="s">
        <v>162</v>
      </c>
      <c r="M30" s="69">
        <f>+M29+O29</f>
        <v>0</v>
      </c>
      <c r="N30" s="70">
        <v>0</v>
      </c>
      <c r="O30" s="71">
        <f>+M30*N30</f>
        <v>0</v>
      </c>
      <c r="P30" s="100"/>
    </row>
    <row r="31" spans="1:16" x14ac:dyDescent="0.25">
      <c r="A31" s="38"/>
      <c r="B31" s="51" t="s">
        <v>163</v>
      </c>
      <c r="C31" s="69">
        <f>+C28</f>
        <v>0</v>
      </c>
      <c r="D31" s="70">
        <v>0</v>
      </c>
      <c r="E31" s="71">
        <f>+C31*D31</f>
        <v>0</v>
      </c>
      <c r="F31" s="100"/>
      <c r="G31" s="69">
        <f>+G28</f>
        <v>0</v>
      </c>
      <c r="H31" s="70">
        <v>0</v>
      </c>
      <c r="I31" s="71">
        <f>+G31*H31</f>
        <v>0</v>
      </c>
      <c r="J31" s="100"/>
      <c r="K31" s="100"/>
      <c r="L31" s="51" t="s">
        <v>163</v>
      </c>
      <c r="M31" s="69">
        <f>+M28</f>
        <v>0</v>
      </c>
      <c r="N31" s="70">
        <v>0</v>
      </c>
      <c r="O31" s="71">
        <f>+M31*N31</f>
        <v>0</v>
      </c>
      <c r="P31" s="100"/>
    </row>
    <row r="32" spans="1:16" x14ac:dyDescent="0.25">
      <c r="A32" s="38"/>
      <c r="B32" s="51" t="s">
        <v>164</v>
      </c>
      <c r="C32" s="69">
        <f>+C30+E30</f>
        <v>0</v>
      </c>
      <c r="D32" s="70">
        <v>0</v>
      </c>
      <c r="E32" s="71">
        <f>+C32*D32</f>
        <v>0</v>
      </c>
      <c r="F32" s="100"/>
      <c r="G32" s="69">
        <f>+G30+I30</f>
        <v>0</v>
      </c>
      <c r="H32" s="70">
        <v>0</v>
      </c>
      <c r="I32" s="71">
        <f>+G32*H32</f>
        <v>0</v>
      </c>
      <c r="J32" s="100"/>
      <c r="K32" s="100"/>
      <c r="L32" s="51" t="s">
        <v>164</v>
      </c>
      <c r="M32" s="69">
        <f>+M30+O30</f>
        <v>0</v>
      </c>
      <c r="N32" s="70">
        <v>0</v>
      </c>
      <c r="O32" s="71">
        <f>+M32*N32</f>
        <v>0</v>
      </c>
      <c r="P32" s="100"/>
    </row>
    <row r="33" spans="1:16" x14ac:dyDescent="0.25">
      <c r="A33" s="38"/>
      <c r="B33" s="51" t="s">
        <v>175</v>
      </c>
      <c r="C33" s="72"/>
      <c r="D33" s="73"/>
      <c r="E33" s="71">
        <f>+SUM(E26,E28,E29,E30)</f>
        <v>0</v>
      </c>
      <c r="F33" s="100"/>
      <c r="G33" s="72"/>
      <c r="H33" s="73"/>
      <c r="I33" s="71">
        <f>+SUM(I26,I28,I29,I30)</f>
        <v>0</v>
      </c>
      <c r="J33" s="100"/>
      <c r="K33" s="100"/>
      <c r="L33" s="51" t="s">
        <v>270</v>
      </c>
      <c r="M33" s="72"/>
      <c r="N33" s="73"/>
      <c r="O33" s="71">
        <f>+SUM(O26,O28,O29,O30)</f>
        <v>0</v>
      </c>
      <c r="P33" s="100"/>
    </row>
    <row r="34" spans="1:16" x14ac:dyDescent="0.25">
      <c r="A34" s="38"/>
      <c r="B34" s="51" t="s">
        <v>176</v>
      </c>
      <c r="C34" s="72"/>
      <c r="D34" s="73"/>
      <c r="E34" s="71">
        <f>+E31</f>
        <v>0</v>
      </c>
      <c r="F34" s="100"/>
      <c r="G34" s="72"/>
      <c r="H34" s="73"/>
      <c r="I34" s="71">
        <f>+I31</f>
        <v>0</v>
      </c>
      <c r="J34" s="100"/>
      <c r="K34" s="100"/>
      <c r="L34" s="51" t="s">
        <v>271</v>
      </c>
      <c r="M34" s="72"/>
      <c r="N34" s="73"/>
      <c r="O34" s="71">
        <f>+O31</f>
        <v>0</v>
      </c>
      <c r="P34" s="100"/>
    </row>
    <row r="35" spans="1:16" x14ac:dyDescent="0.25">
      <c r="A35" s="38"/>
      <c r="B35" s="51" t="s">
        <v>177</v>
      </c>
      <c r="C35" s="72"/>
      <c r="D35" s="73"/>
      <c r="E35" s="74">
        <f>+E32</f>
        <v>0</v>
      </c>
      <c r="F35" s="102"/>
      <c r="G35" s="72"/>
      <c r="H35" s="73"/>
      <c r="I35" s="74">
        <f>+I32</f>
        <v>0</v>
      </c>
      <c r="J35" s="102"/>
      <c r="K35" s="102"/>
      <c r="L35" s="51" t="s">
        <v>272</v>
      </c>
      <c r="M35" s="72"/>
      <c r="N35" s="73"/>
      <c r="O35" s="74">
        <f>+O32</f>
        <v>0</v>
      </c>
      <c r="P35" s="102"/>
    </row>
    <row r="36" spans="1:16" ht="16.5" thickBot="1" x14ac:dyDescent="0.3">
      <c r="A36" s="38"/>
      <c r="B36" s="52" t="s">
        <v>178</v>
      </c>
      <c r="C36" s="75"/>
      <c r="D36" s="76"/>
      <c r="E36" s="77">
        <f>SUM(E33:E35)</f>
        <v>0</v>
      </c>
      <c r="F36" s="103"/>
      <c r="G36" s="75"/>
      <c r="H36" s="76"/>
      <c r="I36" s="77">
        <f>SUM(I33:I35)</f>
        <v>0</v>
      </c>
      <c r="J36" s="103"/>
      <c r="K36" s="103"/>
      <c r="L36" s="52" t="s">
        <v>273</v>
      </c>
      <c r="M36" s="75"/>
      <c r="N36" s="76"/>
      <c r="O36" s="77">
        <f>SUM(O33:O35)</f>
        <v>0</v>
      </c>
      <c r="P36" s="103"/>
    </row>
    <row r="37" spans="1:16" x14ac:dyDescent="0.25">
      <c r="A37" s="38"/>
      <c r="B37" s="41"/>
      <c r="C37" s="78"/>
      <c r="D37" s="78"/>
      <c r="E37" s="78"/>
      <c r="F37" s="104"/>
      <c r="G37" s="78"/>
      <c r="H37" s="78"/>
      <c r="I37" s="78"/>
      <c r="J37" s="104"/>
      <c r="K37" s="104"/>
      <c r="L37" s="41"/>
      <c r="M37" s="78"/>
      <c r="N37" s="78"/>
      <c r="O37" s="78"/>
      <c r="P37" s="104"/>
    </row>
    <row r="38" spans="1:16" ht="16.5" thickBot="1" x14ac:dyDescent="0.3">
      <c r="A38" s="38"/>
      <c r="C38" s="37"/>
      <c r="D38" s="37"/>
      <c r="E38" s="37"/>
      <c r="F38" s="105"/>
      <c r="G38" s="37"/>
      <c r="H38" s="37"/>
      <c r="I38" s="37"/>
      <c r="J38" s="105"/>
      <c r="K38" s="105"/>
      <c r="L38" s="37"/>
      <c r="M38" s="37"/>
      <c r="N38" s="37"/>
      <c r="O38" s="37"/>
      <c r="P38" s="105"/>
    </row>
    <row r="39" spans="1:16" ht="16.5" thickBot="1" x14ac:dyDescent="0.3">
      <c r="A39" s="38"/>
      <c r="B39" s="189" t="str">
        <f>B10</f>
        <v xml:space="preserve">CLINs 0005 &amp; 1005: CPFF </v>
      </c>
      <c r="C39" s="186" t="s">
        <v>179</v>
      </c>
      <c r="D39" s="187"/>
      <c r="E39" s="188"/>
      <c r="F39" s="106"/>
      <c r="G39" s="186" t="s">
        <v>179</v>
      </c>
      <c r="H39" s="187"/>
      <c r="I39" s="188"/>
      <c r="J39" s="106"/>
      <c r="K39" s="106"/>
      <c r="L39" s="149"/>
      <c r="M39" s="186" t="s">
        <v>179</v>
      </c>
      <c r="N39" s="187"/>
      <c r="O39" s="188"/>
      <c r="P39" s="106"/>
    </row>
    <row r="40" spans="1:16" ht="16.5" thickBot="1" x14ac:dyDescent="0.3">
      <c r="A40" s="38"/>
      <c r="B40" s="190"/>
      <c r="C40" s="129" t="str">
        <f>C11</f>
        <v>0005: F-15 I-Level Fault Isolation Tester design and digital development - Basic Period</v>
      </c>
      <c r="D40" s="130"/>
      <c r="E40" s="131"/>
      <c r="F40" s="107"/>
      <c r="G40" s="132" t="str">
        <f>G11</f>
        <v>1005: F-15 I-Level Fault Isolation Tester EMD - Option Period 1</v>
      </c>
      <c r="H40" s="133"/>
      <c r="I40" s="134"/>
      <c r="J40" s="107"/>
      <c r="K40" s="107"/>
      <c r="L40" s="150"/>
      <c r="M40" s="132" t="str">
        <f>M11</f>
        <v>2005: A-10 I-Level Fault Isolation Tester EMD - Option Period 2</v>
      </c>
      <c r="N40" s="133"/>
      <c r="O40" s="134"/>
      <c r="P40" s="107"/>
    </row>
    <row r="41" spans="1:16" x14ac:dyDescent="0.25">
      <c r="A41" s="38"/>
      <c r="B41" s="79"/>
      <c r="C41" s="56" t="s">
        <v>174</v>
      </c>
      <c r="D41" s="57" t="s">
        <v>172</v>
      </c>
      <c r="E41" s="58" t="s">
        <v>10</v>
      </c>
      <c r="F41" s="101"/>
      <c r="G41" s="56" t="s">
        <v>174</v>
      </c>
      <c r="H41" s="57" t="s">
        <v>172</v>
      </c>
      <c r="I41" s="58" t="s">
        <v>10</v>
      </c>
      <c r="J41" s="101"/>
      <c r="K41" s="101"/>
      <c r="L41" s="79"/>
      <c r="M41" s="56" t="s">
        <v>174</v>
      </c>
      <c r="N41" s="57" t="s">
        <v>172</v>
      </c>
      <c r="O41" s="58" t="s">
        <v>10</v>
      </c>
      <c r="P41" s="101"/>
    </row>
    <row r="42" spans="1:16" x14ac:dyDescent="0.25">
      <c r="A42" s="38"/>
      <c r="B42" s="80" t="s">
        <v>180</v>
      </c>
      <c r="C42" s="81"/>
      <c r="D42" s="82"/>
      <c r="E42" s="83"/>
      <c r="F42" s="100"/>
      <c r="G42" s="81"/>
      <c r="H42" s="82"/>
      <c r="I42" s="83"/>
      <c r="J42" s="100"/>
      <c r="K42" s="100"/>
      <c r="L42" s="80" t="s">
        <v>180</v>
      </c>
      <c r="M42" s="81"/>
      <c r="N42" s="82"/>
      <c r="O42" s="83"/>
      <c r="P42" s="100"/>
    </row>
    <row r="43" spans="1:16" x14ac:dyDescent="0.25">
      <c r="A43" s="38"/>
      <c r="B43" s="51" t="s">
        <v>161</v>
      </c>
      <c r="C43" s="69">
        <f>+E42</f>
        <v>0</v>
      </c>
      <c r="D43" s="70">
        <v>0</v>
      </c>
      <c r="E43" s="71">
        <f>+C43*D43</f>
        <v>0</v>
      </c>
      <c r="F43" s="108"/>
      <c r="G43" s="69">
        <f>+I42</f>
        <v>0</v>
      </c>
      <c r="H43" s="70">
        <v>0</v>
      </c>
      <c r="I43" s="71">
        <f>+G43*H43</f>
        <v>0</v>
      </c>
      <c r="J43" s="108"/>
      <c r="K43" s="108"/>
      <c r="L43" s="51" t="s">
        <v>161</v>
      </c>
      <c r="M43" s="69">
        <f>+O42</f>
        <v>0</v>
      </c>
      <c r="N43" s="70">
        <v>0</v>
      </c>
      <c r="O43" s="71">
        <f>+M43*N43</f>
        <v>0</v>
      </c>
      <c r="P43" s="108"/>
    </row>
    <row r="44" spans="1:16" x14ac:dyDescent="0.25">
      <c r="A44" s="38"/>
      <c r="B44" s="51" t="s">
        <v>162</v>
      </c>
      <c r="C44" s="69">
        <f>+C43+E43</f>
        <v>0</v>
      </c>
      <c r="D44" s="70">
        <v>0</v>
      </c>
      <c r="E44" s="71">
        <f>+C44*D44</f>
        <v>0</v>
      </c>
      <c r="F44" s="108"/>
      <c r="G44" s="69">
        <f>+G43+I43</f>
        <v>0</v>
      </c>
      <c r="H44" s="70">
        <v>0</v>
      </c>
      <c r="I44" s="71">
        <f>+G44*H44</f>
        <v>0</v>
      </c>
      <c r="J44" s="108"/>
      <c r="K44" s="108"/>
      <c r="L44" s="51" t="s">
        <v>162</v>
      </c>
      <c r="M44" s="69">
        <f>+M43+O43</f>
        <v>0</v>
      </c>
      <c r="N44" s="70">
        <v>0</v>
      </c>
      <c r="O44" s="71">
        <f>+M44*N44</f>
        <v>0</v>
      </c>
      <c r="P44" s="108"/>
    </row>
    <row r="45" spans="1:16" x14ac:dyDescent="0.25">
      <c r="A45" s="38"/>
      <c r="B45" s="51" t="s">
        <v>163</v>
      </c>
      <c r="C45" s="69">
        <f>+C43</f>
        <v>0</v>
      </c>
      <c r="D45" s="70">
        <v>0</v>
      </c>
      <c r="E45" s="71">
        <f>+C45*D45</f>
        <v>0</v>
      </c>
      <c r="F45" s="100"/>
      <c r="G45" s="69">
        <f>+G43</f>
        <v>0</v>
      </c>
      <c r="H45" s="70">
        <v>0</v>
      </c>
      <c r="I45" s="71">
        <f>+G45*H45</f>
        <v>0</v>
      </c>
      <c r="J45" s="100"/>
      <c r="K45" s="100"/>
      <c r="L45" s="51" t="s">
        <v>163</v>
      </c>
      <c r="M45" s="69">
        <f>+M43</f>
        <v>0</v>
      </c>
      <c r="N45" s="70">
        <v>0</v>
      </c>
      <c r="O45" s="71">
        <f>+M45*N45</f>
        <v>0</v>
      </c>
      <c r="P45" s="100"/>
    </row>
    <row r="46" spans="1:16" x14ac:dyDescent="0.25">
      <c r="A46" s="38"/>
      <c r="B46" s="51" t="s">
        <v>164</v>
      </c>
      <c r="C46" s="69">
        <f>+C44+E44</f>
        <v>0</v>
      </c>
      <c r="D46" s="70">
        <v>0</v>
      </c>
      <c r="E46" s="71">
        <f>+C46*D46</f>
        <v>0</v>
      </c>
      <c r="F46" s="100"/>
      <c r="G46" s="69">
        <f>+G44+I44</f>
        <v>0</v>
      </c>
      <c r="H46" s="70">
        <v>0</v>
      </c>
      <c r="I46" s="71">
        <f>+G46*H46</f>
        <v>0</v>
      </c>
      <c r="J46" s="100"/>
      <c r="K46" s="100"/>
      <c r="L46" s="51" t="s">
        <v>164</v>
      </c>
      <c r="M46" s="69">
        <f>+M44+O44</f>
        <v>0</v>
      </c>
      <c r="N46" s="70">
        <v>0</v>
      </c>
      <c r="O46" s="71">
        <f>+M46*N46</f>
        <v>0</v>
      </c>
      <c r="P46" s="100"/>
    </row>
    <row r="47" spans="1:16" x14ac:dyDescent="0.25">
      <c r="A47" s="38"/>
      <c r="B47" s="51" t="s">
        <v>175</v>
      </c>
      <c r="C47" s="84"/>
      <c r="D47" s="85"/>
      <c r="E47" s="71">
        <f>+ROUND(SUM(E42:E44),0)</f>
        <v>0</v>
      </c>
      <c r="F47" s="100"/>
      <c r="G47" s="84"/>
      <c r="H47" s="85"/>
      <c r="I47" s="71">
        <f>+ROUND(SUM(I42:I44),0)</f>
        <v>0</v>
      </c>
      <c r="J47" s="100"/>
      <c r="K47" s="100"/>
      <c r="L47" s="51" t="s">
        <v>270</v>
      </c>
      <c r="M47" s="84"/>
      <c r="N47" s="85"/>
      <c r="O47" s="71">
        <f>+ROUND(SUM(O42:O44),0)</f>
        <v>0</v>
      </c>
      <c r="P47" s="100"/>
    </row>
    <row r="48" spans="1:16" x14ac:dyDescent="0.25">
      <c r="A48" s="38"/>
      <c r="B48" s="51" t="s">
        <v>176</v>
      </c>
      <c r="C48" s="81"/>
      <c r="D48" s="86"/>
      <c r="E48" s="71">
        <f>+ROUND(E45,0)</f>
        <v>0</v>
      </c>
      <c r="F48" s="100"/>
      <c r="G48" s="81"/>
      <c r="H48" s="86"/>
      <c r="I48" s="71">
        <f>+ROUND(I45,0)</f>
        <v>0</v>
      </c>
      <c r="J48" s="100"/>
      <c r="K48" s="100"/>
      <c r="L48" s="51" t="s">
        <v>271</v>
      </c>
      <c r="M48" s="81"/>
      <c r="N48" s="86"/>
      <c r="O48" s="71">
        <f>+ROUND(O45,0)</f>
        <v>0</v>
      </c>
      <c r="P48" s="100"/>
    </row>
    <row r="49" spans="1:16" x14ac:dyDescent="0.25">
      <c r="B49" s="51" t="s">
        <v>177</v>
      </c>
      <c r="C49" s="81"/>
      <c r="D49" s="86"/>
      <c r="E49" s="87">
        <f>+ROUND(E46,0)</f>
        <v>0</v>
      </c>
      <c r="F49" s="109"/>
      <c r="G49" s="81"/>
      <c r="H49" s="86"/>
      <c r="I49" s="87">
        <f>+ROUND(I46,0)</f>
        <v>0</v>
      </c>
      <c r="J49" s="109"/>
      <c r="K49" s="109"/>
      <c r="L49" s="51" t="s">
        <v>272</v>
      </c>
      <c r="M49" s="81"/>
      <c r="N49" s="86"/>
      <c r="O49" s="87">
        <f>+ROUND(O46,0)</f>
        <v>0</v>
      </c>
      <c r="P49" s="109"/>
    </row>
    <row r="50" spans="1:16" ht="16.5" thickBot="1" x14ac:dyDescent="0.3">
      <c r="B50" s="52" t="s">
        <v>178</v>
      </c>
      <c r="C50" s="112"/>
      <c r="D50" s="88"/>
      <c r="E50" s="64">
        <f t="shared" ref="E50" si="3">SUM(E47:E49)</f>
        <v>0</v>
      </c>
      <c r="F50" s="99"/>
      <c r="G50" s="112"/>
      <c r="H50" s="88"/>
      <c r="I50" s="64">
        <f t="shared" ref="I50" si="4">SUM(I47:I49)</f>
        <v>0</v>
      </c>
      <c r="J50" s="99"/>
      <c r="K50" s="99"/>
      <c r="L50" s="52" t="s">
        <v>273</v>
      </c>
      <c r="M50" s="112"/>
      <c r="N50" s="88"/>
      <c r="O50" s="64">
        <f t="shared" ref="O50" si="5">SUM(O47:O49)</f>
        <v>0</v>
      </c>
      <c r="P50" s="99"/>
    </row>
    <row r="51" spans="1:16" ht="16.5" thickBot="1" x14ac:dyDescent="0.3">
      <c r="B51" s="41"/>
      <c r="F51" s="110"/>
      <c r="J51" s="110"/>
      <c r="K51" s="110"/>
      <c r="L51" s="41"/>
      <c r="P51" s="110"/>
    </row>
    <row r="52" spans="1:16" ht="16.5" thickBot="1" x14ac:dyDescent="0.3">
      <c r="A52" s="38"/>
      <c r="B52" s="189" t="str">
        <f>B39</f>
        <v xml:space="preserve">CLINs 0005 &amp; 1005: CPFF </v>
      </c>
      <c r="C52" s="186" t="s">
        <v>181</v>
      </c>
      <c r="D52" s="187"/>
      <c r="E52" s="188"/>
      <c r="F52" s="106"/>
      <c r="G52" s="186" t="s">
        <v>181</v>
      </c>
      <c r="H52" s="187"/>
      <c r="I52" s="188"/>
      <c r="J52" s="106"/>
      <c r="K52" s="106"/>
      <c r="L52" s="149"/>
      <c r="M52" s="186" t="s">
        <v>181</v>
      </c>
      <c r="N52" s="187"/>
      <c r="O52" s="188"/>
      <c r="P52" s="106"/>
    </row>
    <row r="53" spans="1:16" ht="16.5" thickBot="1" x14ac:dyDescent="0.3">
      <c r="A53" s="38"/>
      <c r="B53" s="190"/>
      <c r="C53" s="129" t="str">
        <f>C40</f>
        <v>0005: F-15 I-Level Fault Isolation Tester design and digital development - Basic Period</v>
      </c>
      <c r="D53" s="130"/>
      <c r="E53" s="131"/>
      <c r="F53" s="107"/>
      <c r="G53" s="132" t="str">
        <f>G40</f>
        <v>1005: F-15 I-Level Fault Isolation Tester EMD - Option Period 1</v>
      </c>
      <c r="H53" s="133"/>
      <c r="I53" s="134"/>
      <c r="J53" s="107"/>
      <c r="K53" s="107"/>
      <c r="L53" s="150"/>
      <c r="M53" s="132" t="str">
        <f>M40</f>
        <v>2005: A-10 I-Level Fault Isolation Tester EMD - Option Period 2</v>
      </c>
      <c r="N53" s="133"/>
      <c r="O53" s="134"/>
      <c r="P53" s="107"/>
    </row>
    <row r="54" spans="1:16" x14ac:dyDescent="0.25">
      <c r="A54" s="38"/>
      <c r="B54" s="79"/>
      <c r="C54" s="56" t="s">
        <v>174</v>
      </c>
      <c r="D54" s="57" t="s">
        <v>172</v>
      </c>
      <c r="E54" s="58" t="s">
        <v>10</v>
      </c>
      <c r="F54" s="101"/>
      <c r="G54" s="56" t="s">
        <v>174</v>
      </c>
      <c r="H54" s="57" t="s">
        <v>172</v>
      </c>
      <c r="I54" s="58" t="s">
        <v>10</v>
      </c>
      <c r="J54" s="101"/>
      <c r="K54" s="101"/>
      <c r="L54" s="79"/>
      <c r="M54" s="56" t="s">
        <v>174</v>
      </c>
      <c r="N54" s="57" t="s">
        <v>172</v>
      </c>
      <c r="O54" s="58" t="s">
        <v>10</v>
      </c>
      <c r="P54" s="101"/>
    </row>
    <row r="55" spans="1:16" x14ac:dyDescent="0.25">
      <c r="A55" s="38"/>
      <c r="B55" s="80" t="s">
        <v>182</v>
      </c>
      <c r="C55" s="81"/>
      <c r="D55" s="82"/>
      <c r="E55" s="83"/>
      <c r="F55" s="100"/>
      <c r="G55" s="81"/>
      <c r="H55" s="82"/>
      <c r="I55" s="83"/>
      <c r="J55" s="100"/>
      <c r="K55" s="100"/>
      <c r="L55" s="80" t="s">
        <v>182</v>
      </c>
      <c r="M55" s="81"/>
      <c r="N55" s="82"/>
      <c r="O55" s="83"/>
      <c r="P55" s="100"/>
    </row>
    <row r="56" spans="1:16" x14ac:dyDescent="0.25">
      <c r="A56" s="38"/>
      <c r="B56" s="51" t="s">
        <v>161</v>
      </c>
      <c r="C56" s="69">
        <f>+E55</f>
        <v>0</v>
      </c>
      <c r="D56" s="70">
        <v>0</v>
      </c>
      <c r="E56" s="71">
        <f>+C56*D56</f>
        <v>0</v>
      </c>
      <c r="F56" s="108"/>
      <c r="G56" s="69">
        <f>+I55</f>
        <v>0</v>
      </c>
      <c r="H56" s="70">
        <v>0</v>
      </c>
      <c r="I56" s="71">
        <f>+G56*H56</f>
        <v>0</v>
      </c>
      <c r="J56" s="108"/>
      <c r="K56" s="108"/>
      <c r="L56" s="51" t="s">
        <v>161</v>
      </c>
      <c r="M56" s="69">
        <f>+O55</f>
        <v>0</v>
      </c>
      <c r="N56" s="70">
        <v>0</v>
      </c>
      <c r="O56" s="71">
        <f>+M56*N56</f>
        <v>0</v>
      </c>
      <c r="P56" s="108"/>
    </row>
    <row r="57" spans="1:16" x14ac:dyDescent="0.25">
      <c r="A57" s="38"/>
      <c r="B57" s="51" t="s">
        <v>162</v>
      </c>
      <c r="C57" s="69">
        <f>+C56+E56</f>
        <v>0</v>
      </c>
      <c r="D57" s="70">
        <v>0</v>
      </c>
      <c r="E57" s="71">
        <f>+C57*D57</f>
        <v>0</v>
      </c>
      <c r="F57" s="108"/>
      <c r="G57" s="69">
        <f>+G56+I56</f>
        <v>0</v>
      </c>
      <c r="H57" s="70">
        <v>0</v>
      </c>
      <c r="I57" s="71">
        <f>+G57*H57</f>
        <v>0</v>
      </c>
      <c r="J57" s="108"/>
      <c r="K57" s="108"/>
      <c r="L57" s="51" t="s">
        <v>162</v>
      </c>
      <c r="M57" s="69">
        <f>+M56+O56</f>
        <v>0</v>
      </c>
      <c r="N57" s="70">
        <v>0</v>
      </c>
      <c r="O57" s="71">
        <f>+M57*N57</f>
        <v>0</v>
      </c>
      <c r="P57" s="108"/>
    </row>
    <row r="58" spans="1:16" x14ac:dyDescent="0.25">
      <c r="A58" s="38"/>
      <c r="B58" s="51" t="s">
        <v>163</v>
      </c>
      <c r="C58" s="69">
        <f>+C56</f>
        <v>0</v>
      </c>
      <c r="D58" s="70">
        <v>0</v>
      </c>
      <c r="E58" s="71">
        <f>+C58*D58</f>
        <v>0</v>
      </c>
      <c r="F58" s="100"/>
      <c r="G58" s="69">
        <f>+G56</f>
        <v>0</v>
      </c>
      <c r="H58" s="70">
        <v>0</v>
      </c>
      <c r="I58" s="71">
        <f>+G58*H58</f>
        <v>0</v>
      </c>
      <c r="J58" s="100"/>
      <c r="K58" s="100"/>
      <c r="L58" s="51" t="s">
        <v>163</v>
      </c>
      <c r="M58" s="69">
        <f>+M56</f>
        <v>0</v>
      </c>
      <c r="N58" s="70">
        <v>0</v>
      </c>
      <c r="O58" s="71">
        <f>+M58*N58</f>
        <v>0</v>
      </c>
      <c r="P58" s="100"/>
    </row>
    <row r="59" spans="1:16" x14ac:dyDescent="0.25">
      <c r="A59" s="38"/>
      <c r="B59" s="51" t="s">
        <v>164</v>
      </c>
      <c r="C59" s="69">
        <f>+C57+E57</f>
        <v>0</v>
      </c>
      <c r="D59" s="70">
        <v>0</v>
      </c>
      <c r="E59" s="71">
        <f>+C59*D59</f>
        <v>0</v>
      </c>
      <c r="F59" s="100"/>
      <c r="G59" s="69">
        <f>+G57+I57</f>
        <v>0</v>
      </c>
      <c r="H59" s="70">
        <v>0</v>
      </c>
      <c r="I59" s="71">
        <f>+G59*H59</f>
        <v>0</v>
      </c>
      <c r="J59" s="100"/>
      <c r="K59" s="100"/>
      <c r="L59" s="51" t="s">
        <v>164</v>
      </c>
      <c r="M59" s="69">
        <f>+M57+O57</f>
        <v>0</v>
      </c>
      <c r="N59" s="70">
        <v>0</v>
      </c>
      <c r="O59" s="71">
        <f>+M59*N59</f>
        <v>0</v>
      </c>
      <c r="P59" s="100"/>
    </row>
    <row r="60" spans="1:16" x14ac:dyDescent="0.25">
      <c r="A60" s="38"/>
      <c r="B60" s="51" t="s">
        <v>175</v>
      </c>
      <c r="C60" s="84"/>
      <c r="D60" s="85"/>
      <c r="E60" s="71">
        <f>+ROUND(SUM(E55:E57),0)</f>
        <v>0</v>
      </c>
      <c r="F60" s="100"/>
      <c r="G60" s="84"/>
      <c r="H60" s="85"/>
      <c r="I60" s="71">
        <f>+ROUND(SUM(I55:I57),0)</f>
        <v>0</v>
      </c>
      <c r="J60" s="100"/>
      <c r="K60" s="100"/>
      <c r="L60" s="51" t="s">
        <v>270</v>
      </c>
      <c r="M60" s="84"/>
      <c r="N60" s="85"/>
      <c r="O60" s="71">
        <f>+ROUND(SUM(O55:O57),0)</f>
        <v>0</v>
      </c>
      <c r="P60" s="100"/>
    </row>
    <row r="61" spans="1:16" x14ac:dyDescent="0.25">
      <c r="A61" s="38"/>
      <c r="B61" s="51" t="s">
        <v>176</v>
      </c>
      <c r="C61" s="81"/>
      <c r="D61" s="86"/>
      <c r="E61" s="71">
        <f>+ROUND(E58,0)</f>
        <v>0</v>
      </c>
      <c r="F61" s="100"/>
      <c r="G61" s="81"/>
      <c r="H61" s="86"/>
      <c r="I61" s="71">
        <f>+ROUND(I58,0)</f>
        <v>0</v>
      </c>
      <c r="J61" s="100"/>
      <c r="K61" s="100"/>
      <c r="L61" s="51" t="s">
        <v>271</v>
      </c>
      <c r="M61" s="81"/>
      <c r="N61" s="86"/>
      <c r="O61" s="71">
        <f>+ROUND(O58,0)</f>
        <v>0</v>
      </c>
      <c r="P61" s="100"/>
    </row>
    <row r="62" spans="1:16" x14ac:dyDescent="0.25">
      <c r="B62" s="51" t="s">
        <v>177</v>
      </c>
      <c r="C62" s="81"/>
      <c r="D62" s="86"/>
      <c r="E62" s="87">
        <f>+ROUND(E59,0)</f>
        <v>0</v>
      </c>
      <c r="F62" s="109"/>
      <c r="G62" s="81"/>
      <c r="H62" s="86"/>
      <c r="I62" s="87">
        <f>+ROUND(I59,0)</f>
        <v>0</v>
      </c>
      <c r="J62" s="109"/>
      <c r="K62" s="109"/>
      <c r="L62" s="51" t="s">
        <v>272</v>
      </c>
      <c r="M62" s="81"/>
      <c r="N62" s="86"/>
      <c r="O62" s="87">
        <f>+ROUND(O59,0)</f>
        <v>0</v>
      </c>
      <c r="P62" s="109"/>
    </row>
    <row r="63" spans="1:16" ht="16.5" thickBot="1" x14ac:dyDescent="0.3">
      <c r="B63" s="52" t="s">
        <v>178</v>
      </c>
      <c r="C63" s="112"/>
      <c r="D63" s="88"/>
      <c r="E63" s="64">
        <f t="shared" ref="E63" si="6">SUM(E60:E62)</f>
        <v>0</v>
      </c>
      <c r="F63" s="99"/>
      <c r="G63" s="112"/>
      <c r="H63" s="88"/>
      <c r="I63" s="64">
        <f t="shared" ref="I63" si="7">SUM(I60:I62)</f>
        <v>0</v>
      </c>
      <c r="J63" s="99"/>
      <c r="K63" s="99"/>
      <c r="L63" s="52" t="s">
        <v>273</v>
      </c>
      <c r="M63" s="112"/>
      <c r="N63" s="88"/>
      <c r="O63" s="64">
        <f t="shared" ref="O63" si="8">SUM(O60:O62)</f>
        <v>0</v>
      </c>
      <c r="P63" s="99"/>
    </row>
    <row r="64" spans="1:16" x14ac:dyDescent="0.25">
      <c r="B64" s="41"/>
      <c r="F64" s="110"/>
      <c r="J64" s="110"/>
      <c r="K64" s="110"/>
      <c r="L64" s="41"/>
      <c r="P64" s="110"/>
    </row>
    <row r="65" spans="2:16" ht="16.5" thickBot="1" x14ac:dyDescent="0.3">
      <c r="F65" s="110"/>
      <c r="J65" s="110"/>
      <c r="K65" s="110"/>
      <c r="L65" s="37"/>
      <c r="P65" s="110"/>
    </row>
    <row r="66" spans="2:16" ht="16.5" thickBot="1" x14ac:dyDescent="0.3">
      <c r="B66" s="189" t="str">
        <f>B52</f>
        <v xml:space="preserve">CLINs 0005 &amp; 1005: CPFF </v>
      </c>
      <c r="C66" s="186" t="s">
        <v>183</v>
      </c>
      <c r="D66" s="187"/>
      <c r="E66" s="188"/>
      <c r="F66" s="106"/>
      <c r="G66" s="186" t="s">
        <v>183</v>
      </c>
      <c r="H66" s="187"/>
      <c r="I66" s="188"/>
      <c r="J66" s="106"/>
      <c r="K66" s="106"/>
      <c r="L66" s="149"/>
      <c r="M66" s="186" t="s">
        <v>183</v>
      </c>
      <c r="N66" s="187"/>
      <c r="O66" s="188"/>
      <c r="P66" s="106"/>
    </row>
    <row r="67" spans="2:16" ht="16.5" thickBot="1" x14ac:dyDescent="0.3">
      <c r="B67" s="190"/>
      <c r="C67" s="89"/>
      <c r="D67" s="55"/>
      <c r="E67" s="90" t="s">
        <v>317</v>
      </c>
      <c r="F67" s="111"/>
      <c r="G67" s="89"/>
      <c r="H67" s="55"/>
      <c r="I67" s="90" t="s">
        <v>318</v>
      </c>
      <c r="J67" s="111"/>
      <c r="K67" s="111"/>
      <c r="L67" s="150"/>
      <c r="M67" s="89"/>
      <c r="N67" s="55"/>
      <c r="O67" s="90" t="s">
        <v>319</v>
      </c>
      <c r="P67" s="111"/>
    </row>
    <row r="68" spans="2:16" x14ac:dyDescent="0.25">
      <c r="B68" s="51" t="s">
        <v>175</v>
      </c>
      <c r="C68" s="91"/>
      <c r="D68" s="91"/>
      <c r="E68" s="92">
        <f>+ROUND(E33+E47+E60,0)</f>
        <v>0</v>
      </c>
      <c r="F68" s="100"/>
      <c r="G68" s="91"/>
      <c r="H68" s="91"/>
      <c r="I68" s="92">
        <f>+ROUND(I33+I47+I60,0)</f>
        <v>0</v>
      </c>
      <c r="J68" s="100"/>
      <c r="K68" s="100"/>
      <c r="L68" s="51" t="s">
        <v>270</v>
      </c>
      <c r="M68" s="91"/>
      <c r="N68" s="91"/>
      <c r="O68" s="92">
        <f>+ROUND(O33+O47+O60,0)</f>
        <v>0</v>
      </c>
      <c r="P68" s="100"/>
    </row>
    <row r="69" spans="2:16" x14ac:dyDescent="0.25">
      <c r="B69" s="51" t="s">
        <v>176</v>
      </c>
      <c r="C69" s="91"/>
      <c r="D69" s="91"/>
      <c r="E69" s="71">
        <f>+ROUND(E34+E48+E61,0)</f>
        <v>0</v>
      </c>
      <c r="F69" s="100"/>
      <c r="G69" s="91"/>
      <c r="H69" s="91"/>
      <c r="I69" s="71">
        <f>+ROUND(I34+I48+I61,0)</f>
        <v>0</v>
      </c>
      <c r="J69" s="100"/>
      <c r="K69" s="100"/>
      <c r="L69" s="51" t="s">
        <v>271</v>
      </c>
      <c r="M69" s="91"/>
      <c r="N69" s="91"/>
      <c r="O69" s="71">
        <f>+ROUND(O34+O48+O61,0)</f>
        <v>0</v>
      </c>
      <c r="P69" s="100"/>
    </row>
    <row r="70" spans="2:16" x14ac:dyDescent="0.25">
      <c r="B70" s="51" t="s">
        <v>177</v>
      </c>
      <c r="C70" s="91"/>
      <c r="D70" s="91"/>
      <c r="E70" s="74">
        <f>+ROUND(E35+E49+E62,0)</f>
        <v>0</v>
      </c>
      <c r="F70" s="102"/>
      <c r="G70" s="91"/>
      <c r="H70" s="91"/>
      <c r="I70" s="74">
        <f>+ROUND(I35+I49+I62,0)</f>
        <v>0</v>
      </c>
      <c r="J70" s="102"/>
      <c r="K70" s="102"/>
      <c r="L70" s="51" t="s">
        <v>272</v>
      </c>
      <c r="M70" s="91"/>
      <c r="N70" s="91"/>
      <c r="O70" s="74">
        <f>+ROUND(O35+O49+O62,0)</f>
        <v>0</v>
      </c>
      <c r="P70" s="102"/>
    </row>
    <row r="71" spans="2:16" ht="16.5" thickBot="1" x14ac:dyDescent="0.3">
      <c r="B71" s="52" t="s">
        <v>178</v>
      </c>
      <c r="C71" s="93"/>
      <c r="D71" s="93"/>
      <c r="E71" s="77">
        <f>SUM(E68:E70)</f>
        <v>0</v>
      </c>
      <c r="F71" s="103"/>
      <c r="G71" s="93"/>
      <c r="H71" s="93"/>
      <c r="I71" s="77">
        <f>SUM(I68:I70)</f>
        <v>0</v>
      </c>
      <c r="J71" s="103"/>
      <c r="K71" s="103"/>
      <c r="L71" s="52" t="s">
        <v>273</v>
      </c>
      <c r="M71" s="93"/>
      <c r="N71" s="93"/>
      <c r="O71" s="77">
        <f>SUM(O68:O70)</f>
        <v>0</v>
      </c>
      <c r="P71" s="103"/>
    </row>
  </sheetData>
  <mergeCells count="17">
    <mergeCell ref="B52:B53"/>
    <mergeCell ref="C52:E52"/>
    <mergeCell ref="G52:I52"/>
    <mergeCell ref="M52:O52"/>
    <mergeCell ref="B66:B67"/>
    <mergeCell ref="C66:E66"/>
    <mergeCell ref="G66:I66"/>
    <mergeCell ref="M66:O66"/>
    <mergeCell ref="B39:B40"/>
    <mergeCell ref="C39:E39"/>
    <mergeCell ref="G39:I39"/>
    <mergeCell ref="M39:O39"/>
    <mergeCell ref="B10:B11"/>
    <mergeCell ref="C10:E10"/>
    <mergeCell ref="G10:I10"/>
    <mergeCell ref="L10:L11"/>
    <mergeCell ref="M10:O10"/>
  </mergeCells>
  <pageMargins left="0.7" right="0.7" top="0.75" bottom="0.75" header="0.3" footer="0.3"/>
  <pageSetup orientation="portrait" horizontalDpi="1200" verticalDpi="12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E4B21-C866-48DA-A128-E1206904AF38}">
  <sheetPr>
    <tabColor theme="7" tint="0.79998168889431442"/>
  </sheetPr>
  <dimension ref="A1:J71"/>
  <sheetViews>
    <sheetView workbookViewId="0">
      <selection activeCell="B4" sqref="B4"/>
    </sheetView>
  </sheetViews>
  <sheetFormatPr defaultColWidth="15.85546875" defaultRowHeight="15.75" x14ac:dyDescent="0.25"/>
  <cols>
    <col min="1" max="1" width="3.42578125" style="33" customWidth="1"/>
    <col min="2" max="2" width="49.140625" style="37" customWidth="1"/>
    <col min="3" max="3" width="32.85546875" style="35" customWidth="1"/>
    <col min="4" max="4" width="28.85546875" style="35" customWidth="1"/>
    <col min="5" max="5" width="40.140625" style="35" customWidth="1"/>
    <col min="6" max="6" width="3.140625" style="35" customWidth="1"/>
    <col min="7" max="7" width="28.28515625" style="35" customWidth="1"/>
    <col min="8" max="8" width="25.42578125" style="35" customWidth="1"/>
    <col min="9" max="9" width="35.42578125" style="35" customWidth="1"/>
    <col min="10" max="10" width="3.140625" style="35" customWidth="1"/>
    <col min="11" max="16384" width="15.85546875" style="35"/>
  </cols>
  <sheetData>
    <row r="1" spans="1:10" x14ac:dyDescent="0.2">
      <c r="B1" s="34" t="s">
        <v>147</v>
      </c>
    </row>
    <row r="2" spans="1:10" x14ac:dyDescent="0.25">
      <c r="A2" s="36"/>
      <c r="B2" s="153" t="s">
        <v>167</v>
      </c>
      <c r="C2" s="94"/>
      <c r="D2" s="94"/>
      <c r="E2" s="94"/>
      <c r="F2" s="94"/>
      <c r="G2" s="94"/>
      <c r="H2" s="94"/>
      <c r="I2" s="94"/>
      <c r="J2" s="94"/>
    </row>
    <row r="3" spans="1:10" x14ac:dyDescent="0.25">
      <c r="A3" s="36"/>
      <c r="B3" s="153" t="s">
        <v>347</v>
      </c>
      <c r="C3" s="94"/>
      <c r="D3" s="94"/>
      <c r="E3" s="94"/>
      <c r="F3" s="94"/>
      <c r="G3" s="94"/>
      <c r="H3" s="94"/>
      <c r="I3" s="94"/>
      <c r="J3" s="94"/>
    </row>
    <row r="4" spans="1:10" x14ac:dyDescent="0.25">
      <c r="A4" s="36"/>
      <c r="B4" s="153" t="s">
        <v>231</v>
      </c>
      <c r="C4" s="94"/>
      <c r="D4" s="94"/>
      <c r="E4" s="94"/>
      <c r="F4" s="94"/>
      <c r="G4" s="94"/>
      <c r="H4" s="94"/>
      <c r="I4" s="94"/>
      <c r="J4" s="94"/>
    </row>
    <row r="5" spans="1:10" x14ac:dyDescent="0.25">
      <c r="A5" s="36"/>
      <c r="B5" s="153" t="s">
        <v>168</v>
      </c>
      <c r="C5" s="94"/>
      <c r="D5" s="94"/>
      <c r="E5" s="94"/>
      <c r="F5" s="94"/>
      <c r="G5" s="94"/>
      <c r="H5" s="94"/>
      <c r="I5" s="94"/>
      <c r="J5" s="94"/>
    </row>
    <row r="6" spans="1:10" x14ac:dyDescent="0.25">
      <c r="A6" s="36"/>
      <c r="B6" s="153" t="s">
        <v>348</v>
      </c>
      <c r="C6" s="94"/>
      <c r="D6" s="94"/>
      <c r="E6" s="94"/>
      <c r="F6" s="94"/>
      <c r="G6" s="94"/>
      <c r="H6" s="94"/>
      <c r="I6" s="94"/>
      <c r="J6" s="94"/>
    </row>
    <row r="7" spans="1:10" x14ac:dyDescent="0.25">
      <c r="A7" s="36"/>
      <c r="B7" s="153" t="s">
        <v>274</v>
      </c>
      <c r="C7" s="94"/>
      <c r="D7" s="94"/>
      <c r="E7" s="94"/>
      <c r="F7" s="94"/>
      <c r="G7" s="94"/>
      <c r="H7" s="94"/>
      <c r="I7" s="94"/>
      <c r="J7" s="94"/>
    </row>
    <row r="9" spans="1:10" ht="16.5" thickBot="1" x14ac:dyDescent="0.3"/>
    <row r="10" spans="1:10" ht="16.5" thickBot="1" x14ac:dyDescent="0.3">
      <c r="A10" s="38"/>
      <c r="B10" s="189" t="s">
        <v>321</v>
      </c>
      <c r="C10" s="186" t="s">
        <v>170</v>
      </c>
      <c r="D10" s="187"/>
      <c r="E10" s="188"/>
      <c r="F10" s="95"/>
      <c r="G10" s="186" t="s">
        <v>170</v>
      </c>
      <c r="H10" s="187"/>
      <c r="I10" s="188"/>
      <c r="J10" s="95"/>
    </row>
    <row r="11" spans="1:10" ht="16.5" thickBot="1" x14ac:dyDescent="0.3">
      <c r="A11" s="38"/>
      <c r="B11" s="190"/>
      <c r="C11" s="129" t="s">
        <v>320</v>
      </c>
      <c r="D11" s="130"/>
      <c r="E11" s="131"/>
      <c r="F11" s="96"/>
      <c r="G11" s="132" t="s">
        <v>322</v>
      </c>
      <c r="H11" s="133"/>
      <c r="I11" s="134"/>
      <c r="J11" s="96"/>
    </row>
    <row r="12" spans="1:10" x14ac:dyDescent="0.25">
      <c r="A12" s="38"/>
      <c r="B12" s="56" t="s">
        <v>157</v>
      </c>
      <c r="C12" s="56" t="s">
        <v>171</v>
      </c>
      <c r="D12" s="57" t="s">
        <v>172</v>
      </c>
      <c r="E12" s="58" t="s">
        <v>10</v>
      </c>
      <c r="F12" s="97"/>
      <c r="G12" s="56" t="s">
        <v>171</v>
      </c>
      <c r="H12" s="57" t="s">
        <v>172</v>
      </c>
      <c r="I12" s="58" t="s">
        <v>10</v>
      </c>
      <c r="J12" s="97"/>
    </row>
    <row r="13" spans="1:10" x14ac:dyDescent="0.25">
      <c r="A13" s="38"/>
      <c r="B13" s="59" t="s">
        <v>184</v>
      </c>
      <c r="C13" s="60"/>
      <c r="D13" s="61">
        <v>0</v>
      </c>
      <c r="E13" s="62">
        <f>+C13*D13</f>
        <v>0</v>
      </c>
      <c r="F13" s="98"/>
      <c r="G13" s="60"/>
      <c r="H13" s="61">
        <v>0</v>
      </c>
      <c r="I13" s="62">
        <f>+G13*H13</f>
        <v>0</v>
      </c>
      <c r="J13" s="98"/>
    </row>
    <row r="14" spans="1:10" x14ac:dyDescent="0.25">
      <c r="A14" s="38"/>
      <c r="B14" s="59" t="s">
        <v>185</v>
      </c>
      <c r="C14" s="60"/>
      <c r="D14" s="61">
        <v>0</v>
      </c>
      <c r="E14" s="62">
        <f t="shared" ref="E14:E25" si="0">+C14*D14</f>
        <v>0</v>
      </c>
      <c r="F14" s="98"/>
      <c r="G14" s="60"/>
      <c r="H14" s="61">
        <v>0</v>
      </c>
      <c r="I14" s="62">
        <f t="shared" ref="I14:I25" si="1">+G14*H14</f>
        <v>0</v>
      </c>
      <c r="J14" s="98"/>
    </row>
    <row r="15" spans="1:10" x14ac:dyDescent="0.25">
      <c r="A15" s="38"/>
      <c r="B15" s="59" t="s">
        <v>186</v>
      </c>
      <c r="C15" s="60"/>
      <c r="D15" s="61">
        <v>0</v>
      </c>
      <c r="E15" s="62">
        <f t="shared" si="0"/>
        <v>0</v>
      </c>
      <c r="F15" s="98"/>
      <c r="G15" s="60"/>
      <c r="H15" s="61">
        <v>0</v>
      </c>
      <c r="I15" s="62">
        <f t="shared" si="1"/>
        <v>0</v>
      </c>
      <c r="J15" s="98"/>
    </row>
    <row r="16" spans="1:10" x14ac:dyDescent="0.25">
      <c r="A16" s="38"/>
      <c r="B16" s="59" t="s">
        <v>187</v>
      </c>
      <c r="C16" s="60"/>
      <c r="D16" s="61">
        <v>0</v>
      </c>
      <c r="E16" s="62">
        <f t="shared" si="0"/>
        <v>0</v>
      </c>
      <c r="F16" s="98"/>
      <c r="G16" s="60"/>
      <c r="H16" s="61">
        <v>0</v>
      </c>
      <c r="I16" s="62">
        <f t="shared" si="1"/>
        <v>0</v>
      </c>
      <c r="J16" s="98"/>
    </row>
    <row r="17" spans="1:10" x14ac:dyDescent="0.25">
      <c r="A17" s="38"/>
      <c r="B17" s="59" t="s">
        <v>188</v>
      </c>
      <c r="C17" s="60"/>
      <c r="D17" s="61">
        <v>0</v>
      </c>
      <c r="E17" s="62">
        <f t="shared" si="0"/>
        <v>0</v>
      </c>
      <c r="F17" s="98"/>
      <c r="G17" s="60"/>
      <c r="H17" s="61">
        <v>0</v>
      </c>
      <c r="I17" s="62">
        <f t="shared" si="1"/>
        <v>0</v>
      </c>
      <c r="J17" s="98"/>
    </row>
    <row r="18" spans="1:10" x14ac:dyDescent="0.25">
      <c r="A18" s="38"/>
      <c r="B18" s="59" t="s">
        <v>189</v>
      </c>
      <c r="C18" s="60"/>
      <c r="D18" s="61">
        <v>0</v>
      </c>
      <c r="E18" s="62">
        <f t="shared" si="0"/>
        <v>0</v>
      </c>
      <c r="F18" s="98"/>
      <c r="G18" s="60"/>
      <c r="H18" s="61">
        <v>0</v>
      </c>
      <c r="I18" s="62">
        <f t="shared" si="1"/>
        <v>0</v>
      </c>
      <c r="J18" s="98"/>
    </row>
    <row r="19" spans="1:10" x14ac:dyDescent="0.25">
      <c r="A19" s="38"/>
      <c r="B19" s="59" t="s">
        <v>190</v>
      </c>
      <c r="C19" s="60"/>
      <c r="D19" s="61">
        <v>0</v>
      </c>
      <c r="E19" s="62">
        <f t="shared" si="0"/>
        <v>0</v>
      </c>
      <c r="F19" s="98"/>
      <c r="G19" s="60"/>
      <c r="H19" s="61">
        <v>0</v>
      </c>
      <c r="I19" s="62">
        <f t="shared" si="1"/>
        <v>0</v>
      </c>
      <c r="J19" s="98"/>
    </row>
    <row r="20" spans="1:10" x14ac:dyDescent="0.25">
      <c r="A20" s="38"/>
      <c r="B20" s="59" t="s">
        <v>191</v>
      </c>
      <c r="C20" s="60"/>
      <c r="D20" s="61">
        <v>0</v>
      </c>
      <c r="E20" s="62">
        <f t="shared" si="0"/>
        <v>0</v>
      </c>
      <c r="F20" s="98"/>
      <c r="G20" s="60"/>
      <c r="H20" s="61">
        <v>0</v>
      </c>
      <c r="I20" s="62">
        <f t="shared" si="1"/>
        <v>0</v>
      </c>
      <c r="J20" s="98"/>
    </row>
    <row r="21" spans="1:10" x14ac:dyDescent="0.25">
      <c r="A21" s="38"/>
      <c r="B21" s="59" t="s">
        <v>192</v>
      </c>
      <c r="C21" s="60"/>
      <c r="D21" s="61">
        <v>0</v>
      </c>
      <c r="E21" s="62">
        <f t="shared" si="0"/>
        <v>0</v>
      </c>
      <c r="F21" s="98"/>
      <c r="G21" s="60"/>
      <c r="H21" s="61">
        <v>0</v>
      </c>
      <c r="I21" s="62">
        <f t="shared" si="1"/>
        <v>0</v>
      </c>
      <c r="J21" s="98"/>
    </row>
    <row r="22" spans="1:10" ht="15" customHeight="1" x14ac:dyDescent="0.25">
      <c r="A22" s="38"/>
      <c r="B22" s="59" t="s">
        <v>193</v>
      </c>
      <c r="C22" s="60"/>
      <c r="D22" s="61">
        <v>0</v>
      </c>
      <c r="E22" s="62">
        <f t="shared" si="0"/>
        <v>0</v>
      </c>
      <c r="F22" s="98"/>
      <c r="G22" s="60"/>
      <c r="H22" s="61">
        <v>0</v>
      </c>
      <c r="I22" s="62">
        <f t="shared" si="1"/>
        <v>0</v>
      </c>
      <c r="J22" s="98"/>
    </row>
    <row r="23" spans="1:10" ht="15" customHeight="1" x14ac:dyDescent="0.25">
      <c r="A23" s="38"/>
      <c r="B23" s="59" t="s">
        <v>194</v>
      </c>
      <c r="C23" s="60"/>
      <c r="D23" s="61">
        <v>0</v>
      </c>
      <c r="E23" s="62">
        <f t="shared" si="0"/>
        <v>0</v>
      </c>
      <c r="F23" s="98"/>
      <c r="G23" s="60"/>
      <c r="H23" s="61">
        <v>0</v>
      </c>
      <c r="I23" s="62">
        <f t="shared" si="1"/>
        <v>0</v>
      </c>
      <c r="J23" s="98"/>
    </row>
    <row r="24" spans="1:10" ht="15" customHeight="1" x14ac:dyDescent="0.25">
      <c r="A24" s="38"/>
      <c r="B24" s="59" t="s">
        <v>195</v>
      </c>
      <c r="C24" s="60"/>
      <c r="D24" s="61">
        <v>0</v>
      </c>
      <c r="E24" s="62">
        <f t="shared" si="0"/>
        <v>0</v>
      </c>
      <c r="F24" s="98"/>
      <c r="G24" s="60"/>
      <c r="H24" s="61">
        <v>0</v>
      </c>
      <c r="I24" s="62">
        <f t="shared" si="1"/>
        <v>0</v>
      </c>
      <c r="J24" s="98"/>
    </row>
    <row r="25" spans="1:10" ht="15" customHeight="1" thickBot="1" x14ac:dyDescent="0.3">
      <c r="A25" s="38"/>
      <c r="B25" s="59" t="s">
        <v>196</v>
      </c>
      <c r="C25" s="63"/>
      <c r="D25" s="39">
        <v>0</v>
      </c>
      <c r="E25" s="64">
        <f t="shared" si="0"/>
        <v>0</v>
      </c>
      <c r="F25" s="99"/>
      <c r="G25" s="63"/>
      <c r="H25" s="39">
        <v>0</v>
      </c>
      <c r="I25" s="64">
        <f t="shared" si="1"/>
        <v>0</v>
      </c>
      <c r="J25" s="99"/>
    </row>
    <row r="26" spans="1:10" ht="16.5" thickBot="1" x14ac:dyDescent="0.3">
      <c r="A26" s="38"/>
      <c r="B26" s="113" t="s">
        <v>173</v>
      </c>
      <c r="C26" s="65">
        <f>SUM(C13:C25)</f>
        <v>0</v>
      </c>
      <c r="D26" s="66"/>
      <c r="E26" s="67">
        <f>SUM(E13:E25)</f>
        <v>0</v>
      </c>
      <c r="F26" s="100"/>
      <c r="G26" s="65">
        <f>SUM(G13:G25)</f>
        <v>0</v>
      </c>
      <c r="H26" s="66"/>
      <c r="I26" s="67">
        <f>SUM(I13:I25)</f>
        <v>0</v>
      </c>
      <c r="J26" s="100"/>
    </row>
    <row r="27" spans="1:10" x14ac:dyDescent="0.25">
      <c r="A27" s="38"/>
      <c r="B27" s="68"/>
      <c r="C27" s="56" t="s">
        <v>174</v>
      </c>
      <c r="D27" s="57" t="s">
        <v>172</v>
      </c>
      <c r="E27" s="58" t="s">
        <v>10</v>
      </c>
      <c r="F27" s="101"/>
      <c r="G27" s="56" t="s">
        <v>174</v>
      </c>
      <c r="H27" s="57" t="s">
        <v>172</v>
      </c>
      <c r="I27" s="58" t="s">
        <v>10</v>
      </c>
      <c r="J27" s="101"/>
    </row>
    <row r="28" spans="1:10" x14ac:dyDescent="0.25">
      <c r="A28" s="38"/>
      <c r="B28" s="51" t="s">
        <v>160</v>
      </c>
      <c r="C28" s="69">
        <f>+E26</f>
        <v>0</v>
      </c>
      <c r="D28" s="70">
        <v>0</v>
      </c>
      <c r="E28" s="71">
        <f>+C28*D28</f>
        <v>0</v>
      </c>
      <c r="F28" s="100"/>
      <c r="G28" s="69">
        <f>+I26</f>
        <v>0</v>
      </c>
      <c r="H28" s="70">
        <v>0</v>
      </c>
      <c r="I28" s="71">
        <f>+G28*H28</f>
        <v>0</v>
      </c>
      <c r="J28" s="100"/>
    </row>
    <row r="29" spans="1:10" x14ac:dyDescent="0.25">
      <c r="A29" s="38"/>
      <c r="B29" s="51" t="s">
        <v>161</v>
      </c>
      <c r="C29" s="69">
        <f>+C28+E28</f>
        <v>0</v>
      </c>
      <c r="D29" s="70">
        <v>0</v>
      </c>
      <c r="E29" s="71">
        <f>+C29*D29</f>
        <v>0</v>
      </c>
      <c r="F29" s="100"/>
      <c r="G29" s="69">
        <f>+G28+I28</f>
        <v>0</v>
      </c>
      <c r="H29" s="70">
        <v>0</v>
      </c>
      <c r="I29" s="71">
        <f>+G29*H29</f>
        <v>0</v>
      </c>
      <c r="J29" s="100"/>
    </row>
    <row r="30" spans="1:10" x14ac:dyDescent="0.25">
      <c r="A30" s="38"/>
      <c r="B30" s="51" t="s">
        <v>162</v>
      </c>
      <c r="C30" s="69">
        <f>+C29+E29</f>
        <v>0</v>
      </c>
      <c r="D30" s="70">
        <v>0</v>
      </c>
      <c r="E30" s="71">
        <f>+C30*D30</f>
        <v>0</v>
      </c>
      <c r="F30" s="100"/>
      <c r="G30" s="69">
        <f>+G29+I29</f>
        <v>0</v>
      </c>
      <c r="H30" s="70">
        <v>0</v>
      </c>
      <c r="I30" s="71">
        <f>+G30*H30</f>
        <v>0</v>
      </c>
      <c r="J30" s="100"/>
    </row>
    <row r="31" spans="1:10" x14ac:dyDescent="0.25">
      <c r="A31" s="38"/>
      <c r="B31" s="51" t="s">
        <v>163</v>
      </c>
      <c r="C31" s="69">
        <f>+C28</f>
        <v>0</v>
      </c>
      <c r="D31" s="70">
        <v>0</v>
      </c>
      <c r="E31" s="71">
        <f>+C31*D31</f>
        <v>0</v>
      </c>
      <c r="F31" s="100"/>
      <c r="G31" s="69">
        <f>+G28</f>
        <v>0</v>
      </c>
      <c r="H31" s="70">
        <v>0</v>
      </c>
      <c r="I31" s="71">
        <f>+G31*H31</f>
        <v>0</v>
      </c>
      <c r="J31" s="100"/>
    </row>
    <row r="32" spans="1:10" x14ac:dyDescent="0.25">
      <c r="A32" s="38"/>
      <c r="B32" s="51" t="s">
        <v>164</v>
      </c>
      <c r="C32" s="69">
        <f>+C30+E30</f>
        <v>0</v>
      </c>
      <c r="D32" s="70">
        <v>0</v>
      </c>
      <c r="E32" s="71">
        <f>+C32*D32</f>
        <v>0</v>
      </c>
      <c r="F32" s="100"/>
      <c r="G32" s="69">
        <f>+G30+I30</f>
        <v>0</v>
      </c>
      <c r="H32" s="70">
        <v>0</v>
      </c>
      <c r="I32" s="71">
        <f>+G32*H32</f>
        <v>0</v>
      </c>
      <c r="J32" s="100"/>
    </row>
    <row r="33" spans="1:10" x14ac:dyDescent="0.25">
      <c r="A33" s="38"/>
      <c r="B33" s="51" t="s">
        <v>175</v>
      </c>
      <c r="C33" s="72"/>
      <c r="D33" s="73"/>
      <c r="E33" s="71">
        <f>+SUM(E26,E28,E29,E30)</f>
        <v>0</v>
      </c>
      <c r="F33" s="100"/>
      <c r="G33" s="72"/>
      <c r="H33" s="73"/>
      <c r="I33" s="71">
        <f>+SUM(I26,I28,I29,I30)</f>
        <v>0</v>
      </c>
      <c r="J33" s="100"/>
    </row>
    <row r="34" spans="1:10" x14ac:dyDescent="0.25">
      <c r="A34" s="38"/>
      <c r="B34" s="51" t="s">
        <v>176</v>
      </c>
      <c r="C34" s="72"/>
      <c r="D34" s="73"/>
      <c r="E34" s="71">
        <f>+E31</f>
        <v>0</v>
      </c>
      <c r="F34" s="100"/>
      <c r="G34" s="72"/>
      <c r="H34" s="73"/>
      <c r="I34" s="71">
        <f>+I31</f>
        <v>0</v>
      </c>
      <c r="J34" s="100"/>
    </row>
    <row r="35" spans="1:10" x14ac:dyDescent="0.25">
      <c r="A35" s="38"/>
      <c r="B35" s="51" t="s">
        <v>177</v>
      </c>
      <c r="C35" s="72"/>
      <c r="D35" s="73"/>
      <c r="E35" s="74">
        <f>+E32</f>
        <v>0</v>
      </c>
      <c r="F35" s="102"/>
      <c r="G35" s="72"/>
      <c r="H35" s="73"/>
      <c r="I35" s="74">
        <f>+I32</f>
        <v>0</v>
      </c>
      <c r="J35" s="102"/>
    </row>
    <row r="36" spans="1:10" ht="16.5" thickBot="1" x14ac:dyDescent="0.3">
      <c r="A36" s="38"/>
      <c r="B36" s="52" t="s">
        <v>178</v>
      </c>
      <c r="C36" s="75"/>
      <c r="D36" s="76"/>
      <c r="E36" s="77">
        <f>SUM(E33:E35)</f>
        <v>0</v>
      </c>
      <c r="F36" s="103"/>
      <c r="G36" s="75"/>
      <c r="H36" s="76"/>
      <c r="I36" s="77">
        <f>SUM(I33:I35)</f>
        <v>0</v>
      </c>
      <c r="J36" s="103"/>
    </row>
    <row r="37" spans="1:10" x14ac:dyDescent="0.25">
      <c r="A37" s="38"/>
      <c r="B37" s="41"/>
      <c r="C37" s="78"/>
      <c r="D37" s="78"/>
      <c r="E37" s="78"/>
      <c r="F37" s="104"/>
      <c r="G37" s="78"/>
      <c r="H37" s="78"/>
      <c r="I37" s="78"/>
      <c r="J37" s="104"/>
    </row>
    <row r="38" spans="1:10" ht="16.5" thickBot="1" x14ac:dyDescent="0.3">
      <c r="A38" s="38"/>
      <c r="C38" s="37"/>
      <c r="D38" s="37"/>
      <c r="E38" s="37"/>
      <c r="F38" s="105"/>
      <c r="G38" s="37"/>
      <c r="H38" s="37"/>
      <c r="I38" s="37"/>
      <c r="J38" s="105"/>
    </row>
    <row r="39" spans="1:10" ht="16.5" thickBot="1" x14ac:dyDescent="0.3">
      <c r="A39" s="38"/>
      <c r="B39" s="189" t="str">
        <f>B10</f>
        <v xml:space="preserve">CLINs 0006 &amp; 1006: CPFF </v>
      </c>
      <c r="C39" s="186" t="s">
        <v>179</v>
      </c>
      <c r="D39" s="187"/>
      <c r="E39" s="188"/>
      <c r="F39" s="106"/>
      <c r="G39" s="186" t="s">
        <v>179</v>
      </c>
      <c r="H39" s="187"/>
      <c r="I39" s="188"/>
      <c r="J39" s="106"/>
    </row>
    <row r="40" spans="1:10" ht="16.5" thickBot="1" x14ac:dyDescent="0.3">
      <c r="A40" s="38"/>
      <c r="B40" s="190"/>
      <c r="C40" s="129" t="str">
        <f>C11</f>
        <v>0006: A-10 I-Level Fault Isolation Tester design and digital development - Basic Period</v>
      </c>
      <c r="D40" s="130"/>
      <c r="E40" s="131"/>
      <c r="F40" s="107"/>
      <c r="G40" s="132" t="str">
        <f>G11</f>
        <v>1006: A-10 I-Level Fault Isolation Tester EMD - Option Period 1</v>
      </c>
      <c r="H40" s="133"/>
      <c r="I40" s="134"/>
      <c r="J40" s="107"/>
    </row>
    <row r="41" spans="1:10" x14ac:dyDescent="0.25">
      <c r="A41" s="38"/>
      <c r="B41" s="79"/>
      <c r="C41" s="56" t="s">
        <v>174</v>
      </c>
      <c r="D41" s="57" t="s">
        <v>172</v>
      </c>
      <c r="E41" s="58" t="s">
        <v>10</v>
      </c>
      <c r="F41" s="101"/>
      <c r="G41" s="56" t="s">
        <v>174</v>
      </c>
      <c r="H41" s="57" t="s">
        <v>172</v>
      </c>
      <c r="I41" s="58" t="s">
        <v>10</v>
      </c>
      <c r="J41" s="101"/>
    </row>
    <row r="42" spans="1:10" x14ac:dyDescent="0.25">
      <c r="A42" s="38"/>
      <c r="B42" s="80" t="s">
        <v>180</v>
      </c>
      <c r="C42" s="81"/>
      <c r="D42" s="82"/>
      <c r="E42" s="83"/>
      <c r="F42" s="100"/>
      <c r="G42" s="81"/>
      <c r="H42" s="82"/>
      <c r="I42" s="83"/>
      <c r="J42" s="100"/>
    </row>
    <row r="43" spans="1:10" x14ac:dyDescent="0.25">
      <c r="A43" s="38"/>
      <c r="B43" s="51" t="s">
        <v>161</v>
      </c>
      <c r="C43" s="69">
        <f>+E42</f>
        <v>0</v>
      </c>
      <c r="D43" s="70">
        <v>0</v>
      </c>
      <c r="E43" s="71">
        <f>+C43*D43</f>
        <v>0</v>
      </c>
      <c r="F43" s="108"/>
      <c r="G43" s="69">
        <f>+I42</f>
        <v>0</v>
      </c>
      <c r="H43" s="70">
        <v>0</v>
      </c>
      <c r="I43" s="71">
        <f>+G43*H43</f>
        <v>0</v>
      </c>
      <c r="J43" s="108"/>
    </row>
    <row r="44" spans="1:10" x14ac:dyDescent="0.25">
      <c r="A44" s="38"/>
      <c r="B44" s="51" t="s">
        <v>162</v>
      </c>
      <c r="C44" s="69">
        <f>+C43+E43</f>
        <v>0</v>
      </c>
      <c r="D44" s="70">
        <v>0</v>
      </c>
      <c r="E44" s="71">
        <f>+C44*D44</f>
        <v>0</v>
      </c>
      <c r="F44" s="108"/>
      <c r="G44" s="69">
        <f>+G43+I43</f>
        <v>0</v>
      </c>
      <c r="H44" s="70">
        <v>0</v>
      </c>
      <c r="I44" s="71">
        <f>+G44*H44</f>
        <v>0</v>
      </c>
      <c r="J44" s="108"/>
    </row>
    <row r="45" spans="1:10" x14ac:dyDescent="0.25">
      <c r="A45" s="38"/>
      <c r="B45" s="51" t="s">
        <v>163</v>
      </c>
      <c r="C45" s="69">
        <f>+C43</f>
        <v>0</v>
      </c>
      <c r="D45" s="70">
        <v>0</v>
      </c>
      <c r="E45" s="71">
        <f>+C45*D45</f>
        <v>0</v>
      </c>
      <c r="F45" s="100"/>
      <c r="G45" s="69">
        <f>+G43</f>
        <v>0</v>
      </c>
      <c r="H45" s="70">
        <v>0</v>
      </c>
      <c r="I45" s="71">
        <f>+G45*H45</f>
        <v>0</v>
      </c>
      <c r="J45" s="100"/>
    </row>
    <row r="46" spans="1:10" x14ac:dyDescent="0.25">
      <c r="A46" s="38"/>
      <c r="B46" s="51" t="s">
        <v>164</v>
      </c>
      <c r="C46" s="69">
        <f>+C44+E44</f>
        <v>0</v>
      </c>
      <c r="D46" s="70">
        <v>0</v>
      </c>
      <c r="E46" s="71">
        <f>+C46*D46</f>
        <v>0</v>
      </c>
      <c r="F46" s="100"/>
      <c r="G46" s="69">
        <f>+G44+I44</f>
        <v>0</v>
      </c>
      <c r="H46" s="70">
        <v>0</v>
      </c>
      <c r="I46" s="71">
        <f>+G46*H46</f>
        <v>0</v>
      </c>
      <c r="J46" s="100"/>
    </row>
    <row r="47" spans="1:10" x14ac:dyDescent="0.25">
      <c r="A47" s="38"/>
      <c r="B47" s="51" t="s">
        <v>175</v>
      </c>
      <c r="C47" s="84"/>
      <c r="D47" s="85"/>
      <c r="E47" s="71">
        <f>+ROUND(SUM(E42:E44),0)</f>
        <v>0</v>
      </c>
      <c r="F47" s="100"/>
      <c r="G47" s="84"/>
      <c r="H47" s="85"/>
      <c r="I47" s="71">
        <f>+ROUND(SUM(I42:I44),0)</f>
        <v>0</v>
      </c>
      <c r="J47" s="100"/>
    </row>
    <row r="48" spans="1:10" x14ac:dyDescent="0.25">
      <c r="A48" s="38"/>
      <c r="B48" s="51" t="s">
        <v>176</v>
      </c>
      <c r="C48" s="81"/>
      <c r="D48" s="86"/>
      <c r="E48" s="71">
        <f>+ROUND(E45,0)</f>
        <v>0</v>
      </c>
      <c r="F48" s="100"/>
      <c r="G48" s="81"/>
      <c r="H48" s="86"/>
      <c r="I48" s="71">
        <f>+ROUND(I45,0)</f>
        <v>0</v>
      </c>
      <c r="J48" s="100"/>
    </row>
    <row r="49" spans="1:10" x14ac:dyDescent="0.25">
      <c r="B49" s="51" t="s">
        <v>177</v>
      </c>
      <c r="C49" s="81"/>
      <c r="D49" s="86"/>
      <c r="E49" s="87">
        <f>+ROUND(E46,0)</f>
        <v>0</v>
      </c>
      <c r="F49" s="109"/>
      <c r="G49" s="81"/>
      <c r="H49" s="86"/>
      <c r="I49" s="87">
        <f>+ROUND(I46,0)</f>
        <v>0</v>
      </c>
      <c r="J49" s="109"/>
    </row>
    <row r="50" spans="1:10" ht="16.5" thickBot="1" x14ac:dyDescent="0.3">
      <c r="B50" s="52" t="s">
        <v>178</v>
      </c>
      <c r="C50" s="112"/>
      <c r="D50" s="88"/>
      <c r="E50" s="64">
        <f t="shared" ref="E50" si="2">SUM(E47:E49)</f>
        <v>0</v>
      </c>
      <c r="F50" s="99"/>
      <c r="G50" s="112"/>
      <c r="H50" s="88"/>
      <c r="I50" s="64">
        <f t="shared" ref="I50" si="3">SUM(I47:I49)</f>
        <v>0</v>
      </c>
      <c r="J50" s="99"/>
    </row>
    <row r="51" spans="1:10" ht="16.5" thickBot="1" x14ac:dyDescent="0.3">
      <c r="B51" s="41"/>
      <c r="F51" s="110"/>
      <c r="J51" s="110"/>
    </row>
    <row r="52" spans="1:10" ht="16.5" thickBot="1" x14ac:dyDescent="0.3">
      <c r="A52" s="38"/>
      <c r="B52" s="189" t="str">
        <f>B39</f>
        <v xml:space="preserve">CLINs 0006 &amp; 1006: CPFF </v>
      </c>
      <c r="C52" s="186" t="s">
        <v>181</v>
      </c>
      <c r="D52" s="187"/>
      <c r="E52" s="188"/>
      <c r="F52" s="106"/>
      <c r="G52" s="186" t="s">
        <v>181</v>
      </c>
      <c r="H52" s="187"/>
      <c r="I52" s="188"/>
      <c r="J52" s="106"/>
    </row>
    <row r="53" spans="1:10" ht="16.5" thickBot="1" x14ac:dyDescent="0.3">
      <c r="A53" s="38"/>
      <c r="B53" s="190"/>
      <c r="C53" s="129" t="str">
        <f>C40</f>
        <v>0006: A-10 I-Level Fault Isolation Tester design and digital development - Basic Period</v>
      </c>
      <c r="D53" s="130"/>
      <c r="E53" s="131"/>
      <c r="F53" s="107"/>
      <c r="G53" s="132" t="str">
        <f>G40</f>
        <v>1006: A-10 I-Level Fault Isolation Tester EMD - Option Period 1</v>
      </c>
      <c r="H53" s="133"/>
      <c r="I53" s="134"/>
      <c r="J53" s="107"/>
    </row>
    <row r="54" spans="1:10" x14ac:dyDescent="0.25">
      <c r="A54" s="38"/>
      <c r="B54" s="79"/>
      <c r="C54" s="56" t="s">
        <v>174</v>
      </c>
      <c r="D54" s="57" t="s">
        <v>172</v>
      </c>
      <c r="E54" s="58" t="s">
        <v>10</v>
      </c>
      <c r="F54" s="101"/>
      <c r="G54" s="56" t="s">
        <v>174</v>
      </c>
      <c r="H54" s="57" t="s">
        <v>172</v>
      </c>
      <c r="I54" s="58" t="s">
        <v>10</v>
      </c>
      <c r="J54" s="101"/>
    </row>
    <row r="55" spans="1:10" x14ac:dyDescent="0.25">
      <c r="A55" s="38"/>
      <c r="B55" s="80" t="s">
        <v>182</v>
      </c>
      <c r="C55" s="81"/>
      <c r="D55" s="82"/>
      <c r="E55" s="83"/>
      <c r="F55" s="100"/>
      <c r="G55" s="81"/>
      <c r="H55" s="82"/>
      <c r="I55" s="83"/>
      <c r="J55" s="100"/>
    </row>
    <row r="56" spans="1:10" x14ac:dyDescent="0.25">
      <c r="A56" s="38"/>
      <c r="B56" s="51" t="s">
        <v>161</v>
      </c>
      <c r="C56" s="69">
        <f>+E55</f>
        <v>0</v>
      </c>
      <c r="D56" s="70">
        <v>0</v>
      </c>
      <c r="E56" s="71">
        <f>+C56*D56</f>
        <v>0</v>
      </c>
      <c r="F56" s="108"/>
      <c r="G56" s="69">
        <f>+I55</f>
        <v>0</v>
      </c>
      <c r="H56" s="70">
        <v>0</v>
      </c>
      <c r="I56" s="71">
        <f>+G56*H56</f>
        <v>0</v>
      </c>
      <c r="J56" s="108"/>
    </row>
    <row r="57" spans="1:10" x14ac:dyDescent="0.25">
      <c r="A57" s="38"/>
      <c r="B57" s="51" t="s">
        <v>162</v>
      </c>
      <c r="C57" s="69">
        <f>+C56+E56</f>
        <v>0</v>
      </c>
      <c r="D57" s="70">
        <v>0</v>
      </c>
      <c r="E57" s="71">
        <f>+C57*D57</f>
        <v>0</v>
      </c>
      <c r="F57" s="108"/>
      <c r="G57" s="69">
        <f>+G56+I56</f>
        <v>0</v>
      </c>
      <c r="H57" s="70">
        <v>0</v>
      </c>
      <c r="I57" s="71">
        <f>+G57*H57</f>
        <v>0</v>
      </c>
      <c r="J57" s="108"/>
    </row>
    <row r="58" spans="1:10" x14ac:dyDescent="0.25">
      <c r="A58" s="38"/>
      <c r="B58" s="51" t="s">
        <v>163</v>
      </c>
      <c r="C58" s="69">
        <f>+C56</f>
        <v>0</v>
      </c>
      <c r="D58" s="70">
        <v>0</v>
      </c>
      <c r="E58" s="71">
        <f>+C58*D58</f>
        <v>0</v>
      </c>
      <c r="F58" s="100"/>
      <c r="G58" s="69">
        <f>+G56</f>
        <v>0</v>
      </c>
      <c r="H58" s="70">
        <v>0</v>
      </c>
      <c r="I58" s="71">
        <f>+G58*H58</f>
        <v>0</v>
      </c>
      <c r="J58" s="100"/>
    </row>
    <row r="59" spans="1:10" x14ac:dyDescent="0.25">
      <c r="A59" s="38"/>
      <c r="B59" s="51" t="s">
        <v>164</v>
      </c>
      <c r="C59" s="69">
        <f>+C57+E57</f>
        <v>0</v>
      </c>
      <c r="D59" s="70">
        <v>0</v>
      </c>
      <c r="E59" s="71">
        <f>+C59*D59</f>
        <v>0</v>
      </c>
      <c r="F59" s="100"/>
      <c r="G59" s="69">
        <f>+G57+I57</f>
        <v>0</v>
      </c>
      <c r="H59" s="70">
        <v>0</v>
      </c>
      <c r="I59" s="71">
        <f>+G59*H59</f>
        <v>0</v>
      </c>
      <c r="J59" s="100"/>
    </row>
    <row r="60" spans="1:10" x14ac:dyDescent="0.25">
      <c r="A60" s="38"/>
      <c r="B60" s="51" t="s">
        <v>175</v>
      </c>
      <c r="C60" s="84"/>
      <c r="D60" s="85"/>
      <c r="E60" s="71">
        <f>+ROUND(SUM(E55:E57),0)</f>
        <v>0</v>
      </c>
      <c r="F60" s="100"/>
      <c r="G60" s="84"/>
      <c r="H60" s="85"/>
      <c r="I60" s="71">
        <f>+ROUND(SUM(I55:I57),0)</f>
        <v>0</v>
      </c>
      <c r="J60" s="100"/>
    </row>
    <row r="61" spans="1:10" x14ac:dyDescent="0.25">
      <c r="A61" s="38"/>
      <c r="B61" s="51" t="s">
        <v>176</v>
      </c>
      <c r="C61" s="81"/>
      <c r="D61" s="86"/>
      <c r="E61" s="71">
        <f>+ROUND(E58,0)</f>
        <v>0</v>
      </c>
      <c r="F61" s="100"/>
      <c r="G61" s="81"/>
      <c r="H61" s="86"/>
      <c r="I61" s="71">
        <f>+ROUND(I58,0)</f>
        <v>0</v>
      </c>
      <c r="J61" s="100"/>
    </row>
    <row r="62" spans="1:10" x14ac:dyDescent="0.25">
      <c r="B62" s="51" t="s">
        <v>177</v>
      </c>
      <c r="C62" s="81"/>
      <c r="D62" s="86"/>
      <c r="E62" s="87">
        <f>+ROUND(E59,0)</f>
        <v>0</v>
      </c>
      <c r="F62" s="109"/>
      <c r="G62" s="81"/>
      <c r="H62" s="86"/>
      <c r="I62" s="87">
        <f>+ROUND(I59,0)</f>
        <v>0</v>
      </c>
      <c r="J62" s="109"/>
    </row>
    <row r="63" spans="1:10" ht="16.5" thickBot="1" x14ac:dyDescent="0.3">
      <c r="B63" s="52" t="s">
        <v>178</v>
      </c>
      <c r="C63" s="112"/>
      <c r="D63" s="88"/>
      <c r="E63" s="64">
        <f t="shared" ref="E63" si="4">SUM(E60:E62)</f>
        <v>0</v>
      </c>
      <c r="F63" s="99"/>
      <c r="G63" s="112"/>
      <c r="H63" s="88"/>
      <c r="I63" s="64">
        <f t="shared" ref="I63" si="5">SUM(I60:I62)</f>
        <v>0</v>
      </c>
      <c r="J63" s="99"/>
    </row>
    <row r="64" spans="1:10" x14ac:dyDescent="0.25">
      <c r="B64" s="41"/>
      <c r="F64" s="110"/>
      <c r="J64" s="110"/>
    </row>
    <row r="65" spans="2:10" ht="16.5" thickBot="1" x14ac:dyDescent="0.3">
      <c r="F65" s="110"/>
      <c r="J65" s="110"/>
    </row>
    <row r="66" spans="2:10" ht="16.5" thickBot="1" x14ac:dyDescent="0.3">
      <c r="B66" s="189" t="str">
        <f>B52</f>
        <v xml:space="preserve">CLINs 0006 &amp; 1006: CPFF </v>
      </c>
      <c r="C66" s="186" t="s">
        <v>183</v>
      </c>
      <c r="D66" s="187"/>
      <c r="E66" s="188"/>
      <c r="F66" s="106"/>
      <c r="G66" s="186" t="s">
        <v>183</v>
      </c>
      <c r="H66" s="187"/>
      <c r="I66" s="188"/>
      <c r="J66" s="106"/>
    </row>
    <row r="67" spans="2:10" ht="16.5" thickBot="1" x14ac:dyDescent="0.3">
      <c r="B67" s="190"/>
      <c r="C67" s="89"/>
      <c r="D67" s="55"/>
      <c r="E67" s="90" t="s">
        <v>323</v>
      </c>
      <c r="F67" s="111"/>
      <c r="G67" s="89"/>
      <c r="H67" s="55"/>
      <c r="I67" s="90" t="s">
        <v>324</v>
      </c>
      <c r="J67" s="111"/>
    </row>
    <row r="68" spans="2:10" x14ac:dyDescent="0.25">
      <c r="B68" s="51" t="s">
        <v>175</v>
      </c>
      <c r="C68" s="91"/>
      <c r="D68" s="91"/>
      <c r="E68" s="92">
        <f>+ROUND(E33+E47+E60,0)</f>
        <v>0</v>
      </c>
      <c r="F68" s="100"/>
      <c r="G68" s="91"/>
      <c r="H68" s="91"/>
      <c r="I68" s="92">
        <f>+ROUND(I33+I47+I60,0)</f>
        <v>0</v>
      </c>
      <c r="J68" s="100"/>
    </row>
    <row r="69" spans="2:10" x14ac:dyDescent="0.25">
      <c r="B69" s="51" t="s">
        <v>176</v>
      </c>
      <c r="C69" s="91"/>
      <c r="D69" s="91"/>
      <c r="E69" s="71">
        <f>+ROUND(E34+E48+E61,0)</f>
        <v>0</v>
      </c>
      <c r="F69" s="100"/>
      <c r="G69" s="91"/>
      <c r="H69" s="91"/>
      <c r="I69" s="71">
        <f>+ROUND(I34+I48+I61,0)</f>
        <v>0</v>
      </c>
      <c r="J69" s="100"/>
    </row>
    <row r="70" spans="2:10" x14ac:dyDescent="0.25">
      <c r="B70" s="51" t="s">
        <v>177</v>
      </c>
      <c r="C70" s="91"/>
      <c r="D70" s="91"/>
      <c r="E70" s="74">
        <f>+ROUND(E35+E49+E62,0)</f>
        <v>0</v>
      </c>
      <c r="F70" s="102"/>
      <c r="G70" s="91"/>
      <c r="H70" s="91"/>
      <c r="I70" s="74">
        <f>+ROUND(I35+I49+I62,0)</f>
        <v>0</v>
      </c>
      <c r="J70" s="102"/>
    </row>
    <row r="71" spans="2:10" ht="16.5" thickBot="1" x14ac:dyDescent="0.3">
      <c r="B71" s="52" t="s">
        <v>178</v>
      </c>
      <c r="C71" s="93"/>
      <c r="D71" s="93"/>
      <c r="E71" s="77">
        <f>SUM(E68:E70)</f>
        <v>0</v>
      </c>
      <c r="F71" s="103"/>
      <c r="G71" s="93"/>
      <c r="H71" s="93"/>
      <c r="I71" s="77">
        <f>SUM(I68:I70)</f>
        <v>0</v>
      </c>
      <c r="J71" s="103"/>
    </row>
  </sheetData>
  <mergeCells count="12">
    <mergeCell ref="B52:B53"/>
    <mergeCell ref="C52:E52"/>
    <mergeCell ref="G52:I52"/>
    <mergeCell ref="B66:B67"/>
    <mergeCell ref="C66:E66"/>
    <mergeCell ref="G66:I66"/>
    <mergeCell ref="B10:B11"/>
    <mergeCell ref="C10:E10"/>
    <mergeCell ref="G10:I10"/>
    <mergeCell ref="B39:B40"/>
    <mergeCell ref="C39:E39"/>
    <mergeCell ref="G39:I39"/>
  </mergeCells>
  <pageMargins left="0.7" right="0.7" top="0.75" bottom="0.75" header="0.3" footer="0.3"/>
  <pageSetup orientation="portrait" horizontalDpi="1200" verticalDpi="12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253C5-A888-430C-A421-1B3D4D1C032B}">
  <sheetPr>
    <tabColor theme="7" tint="0.79998168889431442"/>
  </sheetPr>
  <dimension ref="A1:H71"/>
  <sheetViews>
    <sheetView workbookViewId="0">
      <selection activeCell="B4" sqref="B4"/>
    </sheetView>
  </sheetViews>
  <sheetFormatPr defaultColWidth="15.85546875" defaultRowHeight="15.75" x14ac:dyDescent="0.25"/>
  <cols>
    <col min="1" max="1" width="3.42578125" style="33" customWidth="1"/>
    <col min="2" max="2" width="51" style="37" customWidth="1"/>
    <col min="3" max="3" width="28.28515625" style="35" customWidth="1"/>
    <col min="4" max="4" width="18.42578125" style="35" customWidth="1"/>
    <col min="5" max="5" width="35.42578125" style="35" customWidth="1"/>
    <col min="6" max="6" width="3.140625" style="35" customWidth="1"/>
    <col min="7" max="16384" width="15.85546875" style="35"/>
  </cols>
  <sheetData>
    <row r="1" spans="1:8" x14ac:dyDescent="0.2">
      <c r="B1" s="34" t="s">
        <v>147</v>
      </c>
    </row>
    <row r="2" spans="1:8" x14ac:dyDescent="0.25">
      <c r="A2" s="36"/>
      <c r="B2" s="153" t="s">
        <v>167</v>
      </c>
      <c r="C2" s="94"/>
      <c r="D2" s="94"/>
      <c r="E2" s="94"/>
      <c r="F2" s="94"/>
      <c r="G2" s="94"/>
      <c r="H2" s="94"/>
    </row>
    <row r="3" spans="1:8" x14ac:dyDescent="0.25">
      <c r="A3" s="36"/>
      <c r="B3" s="153" t="s">
        <v>347</v>
      </c>
      <c r="C3" s="94"/>
      <c r="D3" s="94"/>
      <c r="E3" s="94"/>
      <c r="F3" s="94"/>
      <c r="G3" s="94"/>
      <c r="H3" s="94"/>
    </row>
    <row r="4" spans="1:8" x14ac:dyDescent="0.25">
      <c r="A4" s="36"/>
      <c r="B4" s="153" t="s">
        <v>231</v>
      </c>
      <c r="C4" s="94"/>
      <c r="D4" s="94"/>
      <c r="E4" s="94"/>
      <c r="F4" s="94"/>
      <c r="G4" s="94"/>
      <c r="H4" s="94"/>
    </row>
    <row r="5" spans="1:8" x14ac:dyDescent="0.25">
      <c r="A5" s="36"/>
      <c r="B5" s="153" t="s">
        <v>168</v>
      </c>
      <c r="C5" s="94"/>
      <c r="D5" s="94"/>
      <c r="E5" s="94"/>
      <c r="F5" s="94"/>
      <c r="G5" s="94"/>
      <c r="H5" s="94"/>
    </row>
    <row r="6" spans="1:8" x14ac:dyDescent="0.25">
      <c r="A6" s="36"/>
      <c r="B6" s="153" t="s">
        <v>348</v>
      </c>
      <c r="C6" s="94"/>
      <c r="D6" s="94"/>
      <c r="E6" s="94"/>
      <c r="F6" s="94"/>
      <c r="G6" s="94"/>
      <c r="H6" s="94"/>
    </row>
    <row r="7" spans="1:8" x14ac:dyDescent="0.25">
      <c r="A7" s="36"/>
      <c r="B7" s="153" t="s">
        <v>169</v>
      </c>
      <c r="C7" s="94"/>
      <c r="D7" s="94"/>
      <c r="E7" s="94"/>
      <c r="F7" s="94"/>
      <c r="G7" s="94"/>
      <c r="H7" s="94"/>
    </row>
    <row r="9" spans="1:8" ht="16.5" thickBot="1" x14ac:dyDescent="0.3"/>
    <row r="10" spans="1:8" ht="16.5" customHeight="1" thickBot="1" x14ac:dyDescent="0.3">
      <c r="A10" s="38"/>
      <c r="B10" s="189" t="s">
        <v>336</v>
      </c>
      <c r="C10" s="186" t="s">
        <v>170</v>
      </c>
      <c r="D10" s="187"/>
      <c r="E10" s="188"/>
      <c r="F10" s="95"/>
    </row>
    <row r="11" spans="1:8" ht="16.5" thickBot="1" x14ac:dyDescent="0.3">
      <c r="A11" s="38"/>
      <c r="B11" s="190"/>
      <c r="C11" s="136" t="s">
        <v>337</v>
      </c>
      <c r="D11" s="133"/>
      <c r="E11" s="134"/>
      <c r="F11" s="96"/>
    </row>
    <row r="12" spans="1:8" x14ac:dyDescent="0.25">
      <c r="A12" s="38"/>
      <c r="B12" s="56" t="s">
        <v>157</v>
      </c>
      <c r="C12" s="56" t="s">
        <v>171</v>
      </c>
      <c r="D12" s="57" t="s">
        <v>172</v>
      </c>
      <c r="E12" s="58" t="s">
        <v>10</v>
      </c>
      <c r="F12" s="97"/>
    </row>
    <row r="13" spans="1:8" x14ac:dyDescent="0.25">
      <c r="A13" s="38"/>
      <c r="B13" s="59" t="s">
        <v>184</v>
      </c>
      <c r="C13" s="60"/>
      <c r="D13" s="61">
        <v>0</v>
      </c>
      <c r="E13" s="62">
        <f>+C13*D13</f>
        <v>0</v>
      </c>
      <c r="F13" s="98"/>
    </row>
    <row r="14" spans="1:8" x14ac:dyDescent="0.25">
      <c r="A14" s="38"/>
      <c r="B14" s="59" t="s">
        <v>185</v>
      </c>
      <c r="C14" s="60"/>
      <c r="D14" s="61">
        <v>0</v>
      </c>
      <c r="E14" s="62">
        <f t="shared" ref="E14:E25" si="0">+C14*D14</f>
        <v>0</v>
      </c>
      <c r="F14" s="98"/>
    </row>
    <row r="15" spans="1:8" x14ac:dyDescent="0.25">
      <c r="A15" s="38"/>
      <c r="B15" s="59" t="s">
        <v>186</v>
      </c>
      <c r="C15" s="60"/>
      <c r="D15" s="61">
        <v>0</v>
      </c>
      <c r="E15" s="62">
        <f t="shared" si="0"/>
        <v>0</v>
      </c>
      <c r="F15" s="98"/>
    </row>
    <row r="16" spans="1:8" x14ac:dyDescent="0.25">
      <c r="A16" s="38"/>
      <c r="B16" s="59" t="s">
        <v>187</v>
      </c>
      <c r="C16" s="60"/>
      <c r="D16" s="61">
        <v>0</v>
      </c>
      <c r="E16" s="62">
        <f t="shared" si="0"/>
        <v>0</v>
      </c>
      <c r="F16" s="98"/>
    </row>
    <row r="17" spans="1:6" x14ac:dyDescent="0.25">
      <c r="A17" s="38"/>
      <c r="B17" s="59" t="s">
        <v>188</v>
      </c>
      <c r="C17" s="60"/>
      <c r="D17" s="61">
        <v>0</v>
      </c>
      <c r="E17" s="62">
        <f t="shared" si="0"/>
        <v>0</v>
      </c>
      <c r="F17" s="98"/>
    </row>
    <row r="18" spans="1:6" x14ac:dyDescent="0.25">
      <c r="A18" s="38"/>
      <c r="B18" s="59" t="s">
        <v>189</v>
      </c>
      <c r="C18" s="60"/>
      <c r="D18" s="61">
        <v>0</v>
      </c>
      <c r="E18" s="62">
        <f t="shared" si="0"/>
        <v>0</v>
      </c>
      <c r="F18" s="98"/>
    </row>
    <row r="19" spans="1:6" x14ac:dyDescent="0.25">
      <c r="A19" s="38"/>
      <c r="B19" s="59" t="s">
        <v>190</v>
      </c>
      <c r="C19" s="60"/>
      <c r="D19" s="61">
        <v>0</v>
      </c>
      <c r="E19" s="62">
        <f t="shared" si="0"/>
        <v>0</v>
      </c>
      <c r="F19" s="98"/>
    </row>
    <row r="20" spans="1:6" x14ac:dyDescent="0.25">
      <c r="A20" s="38"/>
      <c r="B20" s="59" t="s">
        <v>191</v>
      </c>
      <c r="C20" s="60"/>
      <c r="D20" s="61">
        <v>0</v>
      </c>
      <c r="E20" s="62">
        <f t="shared" si="0"/>
        <v>0</v>
      </c>
      <c r="F20" s="98"/>
    </row>
    <row r="21" spans="1:6" x14ac:dyDescent="0.25">
      <c r="A21" s="38"/>
      <c r="B21" s="59" t="s">
        <v>192</v>
      </c>
      <c r="C21" s="60"/>
      <c r="D21" s="61">
        <v>0</v>
      </c>
      <c r="E21" s="62">
        <f t="shared" si="0"/>
        <v>0</v>
      </c>
      <c r="F21" s="98"/>
    </row>
    <row r="22" spans="1:6" x14ac:dyDescent="0.25">
      <c r="A22" s="38"/>
      <c r="B22" s="59" t="s">
        <v>193</v>
      </c>
      <c r="C22" s="60"/>
      <c r="D22" s="61">
        <v>0</v>
      </c>
      <c r="E22" s="62">
        <f t="shared" si="0"/>
        <v>0</v>
      </c>
      <c r="F22" s="98"/>
    </row>
    <row r="23" spans="1:6" x14ac:dyDescent="0.25">
      <c r="A23" s="38"/>
      <c r="B23" s="59" t="s">
        <v>194</v>
      </c>
      <c r="C23" s="60"/>
      <c r="D23" s="61">
        <v>0</v>
      </c>
      <c r="E23" s="62">
        <f t="shared" si="0"/>
        <v>0</v>
      </c>
      <c r="F23" s="98"/>
    </row>
    <row r="24" spans="1:6" x14ac:dyDescent="0.25">
      <c r="A24" s="38"/>
      <c r="B24" s="59" t="s">
        <v>195</v>
      </c>
      <c r="C24" s="60"/>
      <c r="D24" s="61">
        <v>0</v>
      </c>
      <c r="E24" s="62">
        <f t="shared" si="0"/>
        <v>0</v>
      </c>
      <c r="F24" s="98"/>
    </row>
    <row r="25" spans="1:6" ht="16.5" thickBot="1" x14ac:dyDescent="0.3">
      <c r="A25" s="38"/>
      <c r="B25" s="59" t="s">
        <v>196</v>
      </c>
      <c r="C25" s="63"/>
      <c r="D25" s="39">
        <v>0</v>
      </c>
      <c r="E25" s="64">
        <f t="shared" si="0"/>
        <v>0</v>
      </c>
      <c r="F25" s="99"/>
    </row>
    <row r="26" spans="1:6" ht="16.5" thickBot="1" x14ac:dyDescent="0.3">
      <c r="A26" s="38"/>
      <c r="B26" s="113" t="s">
        <v>173</v>
      </c>
      <c r="C26" s="65">
        <f>SUM(C13:C25)</f>
        <v>0</v>
      </c>
      <c r="D26" s="66"/>
      <c r="E26" s="67">
        <f>SUM(E13:E25)</f>
        <v>0</v>
      </c>
      <c r="F26" s="100"/>
    </row>
    <row r="27" spans="1:6" x14ac:dyDescent="0.25">
      <c r="A27" s="38"/>
      <c r="B27" s="68"/>
      <c r="C27" s="56" t="s">
        <v>174</v>
      </c>
      <c r="D27" s="57" t="s">
        <v>172</v>
      </c>
      <c r="E27" s="58" t="s">
        <v>10</v>
      </c>
      <c r="F27" s="101"/>
    </row>
    <row r="28" spans="1:6" x14ac:dyDescent="0.25">
      <c r="A28" s="38"/>
      <c r="B28" s="51" t="s">
        <v>160</v>
      </c>
      <c r="C28" s="69">
        <f>+E26</f>
        <v>0</v>
      </c>
      <c r="D28" s="70">
        <v>0</v>
      </c>
      <c r="E28" s="71">
        <f>+C28*D28</f>
        <v>0</v>
      </c>
      <c r="F28" s="100"/>
    </row>
    <row r="29" spans="1:6" x14ac:dyDescent="0.25">
      <c r="A29" s="38"/>
      <c r="B29" s="51" t="s">
        <v>161</v>
      </c>
      <c r="C29" s="69">
        <f>+C28+E28</f>
        <v>0</v>
      </c>
      <c r="D29" s="70">
        <v>0</v>
      </c>
      <c r="E29" s="71">
        <f>+C29*D29</f>
        <v>0</v>
      </c>
      <c r="F29" s="100"/>
    </row>
    <row r="30" spans="1:6" x14ac:dyDescent="0.25">
      <c r="A30" s="38"/>
      <c r="B30" s="51" t="s">
        <v>162</v>
      </c>
      <c r="C30" s="69">
        <f>+C29+E29</f>
        <v>0</v>
      </c>
      <c r="D30" s="70">
        <v>0</v>
      </c>
      <c r="E30" s="71">
        <f>+C30*D30</f>
        <v>0</v>
      </c>
      <c r="F30" s="100"/>
    </row>
    <row r="31" spans="1:6" x14ac:dyDescent="0.25">
      <c r="A31" s="38"/>
      <c r="B31" s="51" t="s">
        <v>163</v>
      </c>
      <c r="C31" s="69">
        <f>+C28</f>
        <v>0</v>
      </c>
      <c r="D31" s="70">
        <v>0</v>
      </c>
      <c r="E31" s="71">
        <f>+C31*D31</f>
        <v>0</v>
      </c>
      <c r="F31" s="100"/>
    </row>
    <row r="32" spans="1:6" x14ac:dyDescent="0.25">
      <c r="A32" s="38"/>
      <c r="B32" s="51" t="s">
        <v>164</v>
      </c>
      <c r="C32" s="69">
        <f>+C30+E30</f>
        <v>0</v>
      </c>
      <c r="D32" s="70">
        <v>0</v>
      </c>
      <c r="E32" s="71">
        <f>+C32*D32</f>
        <v>0</v>
      </c>
      <c r="F32" s="100"/>
    </row>
    <row r="33" spans="1:6" x14ac:dyDescent="0.25">
      <c r="A33" s="38"/>
      <c r="B33" s="51" t="s">
        <v>175</v>
      </c>
      <c r="C33" s="72"/>
      <c r="D33" s="73"/>
      <c r="E33" s="71">
        <f>+SUM(E26,E28,E29,E30)</f>
        <v>0</v>
      </c>
      <c r="F33" s="100"/>
    </row>
    <row r="34" spans="1:6" x14ac:dyDescent="0.25">
      <c r="A34" s="38"/>
      <c r="B34" s="51" t="s">
        <v>176</v>
      </c>
      <c r="C34" s="72"/>
      <c r="D34" s="73"/>
      <c r="E34" s="71">
        <f>+E31</f>
        <v>0</v>
      </c>
      <c r="F34" s="100"/>
    </row>
    <row r="35" spans="1:6" ht="16.5" customHeight="1" x14ac:dyDescent="0.25">
      <c r="A35" s="38"/>
      <c r="B35" s="51" t="s">
        <v>177</v>
      </c>
      <c r="C35" s="72"/>
      <c r="D35" s="73"/>
      <c r="E35" s="74">
        <f>+E32</f>
        <v>0</v>
      </c>
      <c r="F35" s="102"/>
    </row>
    <row r="36" spans="1:6" ht="16.5" thickBot="1" x14ac:dyDescent="0.3">
      <c r="A36" s="38"/>
      <c r="B36" s="52" t="s">
        <v>178</v>
      </c>
      <c r="C36" s="75"/>
      <c r="D36" s="76"/>
      <c r="E36" s="77">
        <f>SUM(E33:E35)</f>
        <v>0</v>
      </c>
      <c r="F36" s="103"/>
    </row>
    <row r="37" spans="1:6" x14ac:dyDescent="0.25">
      <c r="A37" s="38"/>
      <c r="B37" s="41"/>
      <c r="C37" s="78"/>
      <c r="D37" s="78"/>
      <c r="E37" s="78"/>
      <c r="F37" s="104"/>
    </row>
    <row r="38" spans="1:6" ht="16.5" thickBot="1" x14ac:dyDescent="0.3">
      <c r="A38" s="38"/>
      <c r="C38" s="37"/>
      <c r="D38" s="37"/>
      <c r="E38" s="37"/>
      <c r="F38" s="105"/>
    </row>
    <row r="39" spans="1:6" ht="16.5" thickBot="1" x14ac:dyDescent="0.3">
      <c r="A39" s="38"/>
      <c r="B39" s="189" t="str">
        <f>B10</f>
        <v>CLIN 0014  – CPFF</v>
      </c>
      <c r="C39" s="186" t="s">
        <v>179</v>
      </c>
      <c r="D39" s="187"/>
      <c r="E39" s="188"/>
      <c r="F39" s="106"/>
    </row>
    <row r="40" spans="1:6" ht="16.5" thickBot="1" x14ac:dyDescent="0.3">
      <c r="A40" s="38"/>
      <c r="B40" s="190"/>
      <c r="C40" s="136" t="str">
        <f>C11</f>
        <v>0014: Design Demonstration - Basic Period</v>
      </c>
      <c r="D40" s="133"/>
      <c r="E40" s="134"/>
      <c r="F40" s="107"/>
    </row>
    <row r="41" spans="1:6" x14ac:dyDescent="0.25">
      <c r="A41" s="38"/>
      <c r="B41" s="79"/>
      <c r="C41" s="56" t="s">
        <v>174</v>
      </c>
      <c r="D41" s="57" t="s">
        <v>172</v>
      </c>
      <c r="E41" s="58" t="s">
        <v>10</v>
      </c>
      <c r="F41" s="101"/>
    </row>
    <row r="42" spans="1:6" x14ac:dyDescent="0.25">
      <c r="A42" s="38"/>
      <c r="B42" s="80" t="s">
        <v>180</v>
      </c>
      <c r="C42" s="81"/>
      <c r="D42" s="82"/>
      <c r="E42" s="83"/>
      <c r="F42" s="100"/>
    </row>
    <row r="43" spans="1:6" x14ac:dyDescent="0.25">
      <c r="A43" s="38"/>
      <c r="B43" s="51" t="s">
        <v>161</v>
      </c>
      <c r="C43" s="69">
        <f>+E42</f>
        <v>0</v>
      </c>
      <c r="D43" s="70">
        <v>0</v>
      </c>
      <c r="E43" s="71">
        <f>+C43*D43</f>
        <v>0</v>
      </c>
      <c r="F43" s="108"/>
    </row>
    <row r="44" spans="1:6" x14ac:dyDescent="0.25">
      <c r="A44" s="38"/>
      <c r="B44" s="51" t="s">
        <v>162</v>
      </c>
      <c r="C44" s="69">
        <f>+C43+E43</f>
        <v>0</v>
      </c>
      <c r="D44" s="70">
        <v>0</v>
      </c>
      <c r="E44" s="71">
        <f>+C44*D44</f>
        <v>0</v>
      </c>
      <c r="F44" s="108"/>
    </row>
    <row r="45" spans="1:6" x14ac:dyDescent="0.25">
      <c r="A45" s="38"/>
      <c r="B45" s="51" t="s">
        <v>163</v>
      </c>
      <c r="C45" s="69">
        <f>+C43</f>
        <v>0</v>
      </c>
      <c r="D45" s="70">
        <v>0</v>
      </c>
      <c r="E45" s="71">
        <f>+C45*D45</f>
        <v>0</v>
      </c>
      <c r="F45" s="100"/>
    </row>
    <row r="46" spans="1:6" x14ac:dyDescent="0.25">
      <c r="A46" s="38"/>
      <c r="B46" s="51" t="s">
        <v>164</v>
      </c>
      <c r="C46" s="69">
        <f>+C44+E44</f>
        <v>0</v>
      </c>
      <c r="D46" s="70">
        <v>0</v>
      </c>
      <c r="E46" s="71">
        <f>+C46*D46</f>
        <v>0</v>
      </c>
      <c r="F46" s="100"/>
    </row>
    <row r="47" spans="1:6" ht="16.5" customHeight="1" x14ac:dyDescent="0.25">
      <c r="A47" s="38"/>
      <c r="B47" s="51" t="s">
        <v>175</v>
      </c>
      <c r="C47" s="84"/>
      <c r="D47" s="85"/>
      <c r="E47" s="71">
        <f>+ROUND(SUM(E42:E44),0)</f>
        <v>0</v>
      </c>
      <c r="F47" s="100"/>
    </row>
    <row r="48" spans="1:6" x14ac:dyDescent="0.25">
      <c r="A48" s="38"/>
      <c r="B48" s="51" t="s">
        <v>176</v>
      </c>
      <c r="C48" s="81"/>
      <c r="D48" s="86"/>
      <c r="E48" s="71">
        <f>+ROUND(E45,0)</f>
        <v>0</v>
      </c>
      <c r="F48" s="100"/>
    </row>
    <row r="49" spans="1:6" x14ac:dyDescent="0.25">
      <c r="B49" s="51" t="s">
        <v>177</v>
      </c>
      <c r="C49" s="81"/>
      <c r="D49" s="86"/>
      <c r="E49" s="87">
        <f>+ROUND(E46,0)</f>
        <v>0</v>
      </c>
      <c r="F49" s="109"/>
    </row>
    <row r="50" spans="1:6" ht="16.5" thickBot="1" x14ac:dyDescent="0.3">
      <c r="B50" s="52" t="s">
        <v>178</v>
      </c>
      <c r="C50" s="112"/>
      <c r="D50" s="88"/>
      <c r="E50" s="64">
        <f t="shared" ref="E50" si="1">SUM(E47:E49)</f>
        <v>0</v>
      </c>
      <c r="F50" s="99"/>
    </row>
    <row r="51" spans="1:6" ht="16.5" thickBot="1" x14ac:dyDescent="0.3">
      <c r="B51" s="41"/>
      <c r="F51" s="110"/>
    </row>
    <row r="52" spans="1:6" ht="16.5" thickBot="1" x14ac:dyDescent="0.3">
      <c r="A52" s="38"/>
      <c r="B52" s="189" t="str">
        <f>B39</f>
        <v>CLIN 0014  – CPFF</v>
      </c>
      <c r="C52" s="186" t="s">
        <v>181</v>
      </c>
      <c r="D52" s="187"/>
      <c r="E52" s="188"/>
      <c r="F52" s="106"/>
    </row>
    <row r="53" spans="1:6" ht="16.5" thickBot="1" x14ac:dyDescent="0.3">
      <c r="A53" s="38"/>
      <c r="B53" s="190"/>
      <c r="C53" s="136" t="str">
        <f>C40</f>
        <v>0014: Design Demonstration - Basic Period</v>
      </c>
      <c r="D53" s="133"/>
      <c r="E53" s="134"/>
      <c r="F53" s="107"/>
    </row>
    <row r="54" spans="1:6" x14ac:dyDescent="0.25">
      <c r="A54" s="38"/>
      <c r="B54" s="79"/>
      <c r="C54" s="56" t="s">
        <v>174</v>
      </c>
      <c r="D54" s="57" t="s">
        <v>172</v>
      </c>
      <c r="E54" s="58" t="s">
        <v>10</v>
      </c>
      <c r="F54" s="101"/>
    </row>
    <row r="55" spans="1:6" x14ac:dyDescent="0.25">
      <c r="A55" s="38"/>
      <c r="B55" s="80" t="s">
        <v>182</v>
      </c>
      <c r="C55" s="81"/>
      <c r="D55" s="82"/>
      <c r="E55" s="83"/>
      <c r="F55" s="100"/>
    </row>
    <row r="56" spans="1:6" x14ac:dyDescent="0.25">
      <c r="A56" s="38"/>
      <c r="B56" s="51" t="s">
        <v>161</v>
      </c>
      <c r="C56" s="69">
        <f>+E55</f>
        <v>0</v>
      </c>
      <c r="D56" s="70">
        <v>0</v>
      </c>
      <c r="E56" s="71">
        <f>+C56*D56</f>
        <v>0</v>
      </c>
      <c r="F56" s="108"/>
    </row>
    <row r="57" spans="1:6" x14ac:dyDescent="0.25">
      <c r="A57" s="38"/>
      <c r="B57" s="51" t="s">
        <v>162</v>
      </c>
      <c r="C57" s="69">
        <f>+C56+E56</f>
        <v>0</v>
      </c>
      <c r="D57" s="70">
        <v>0</v>
      </c>
      <c r="E57" s="71">
        <f>+C57*D57</f>
        <v>0</v>
      </c>
      <c r="F57" s="108"/>
    </row>
    <row r="58" spans="1:6" x14ac:dyDescent="0.25">
      <c r="A58" s="38"/>
      <c r="B58" s="51" t="s">
        <v>163</v>
      </c>
      <c r="C58" s="69">
        <f>+C56</f>
        <v>0</v>
      </c>
      <c r="D58" s="70">
        <v>0</v>
      </c>
      <c r="E58" s="71">
        <f>+C58*D58</f>
        <v>0</v>
      </c>
      <c r="F58" s="100"/>
    </row>
    <row r="59" spans="1:6" x14ac:dyDescent="0.25">
      <c r="A59" s="38"/>
      <c r="B59" s="51" t="s">
        <v>164</v>
      </c>
      <c r="C59" s="69">
        <f>+C57+E57</f>
        <v>0</v>
      </c>
      <c r="D59" s="70">
        <v>0</v>
      </c>
      <c r="E59" s="71">
        <f>+C59*D59</f>
        <v>0</v>
      </c>
      <c r="F59" s="100"/>
    </row>
    <row r="60" spans="1:6" ht="16.5" customHeight="1" x14ac:dyDescent="0.25">
      <c r="A60" s="38"/>
      <c r="B60" s="51" t="s">
        <v>175</v>
      </c>
      <c r="C60" s="84"/>
      <c r="D60" s="85"/>
      <c r="E60" s="71">
        <f>+ROUND(SUM(E55:E57),0)</f>
        <v>0</v>
      </c>
      <c r="F60" s="100"/>
    </row>
    <row r="61" spans="1:6" x14ac:dyDescent="0.25">
      <c r="A61" s="38"/>
      <c r="B61" s="51" t="s">
        <v>176</v>
      </c>
      <c r="C61" s="81"/>
      <c r="D61" s="86"/>
      <c r="E61" s="71">
        <f>+ROUND(E58,0)</f>
        <v>0</v>
      </c>
      <c r="F61" s="100"/>
    </row>
    <row r="62" spans="1:6" x14ac:dyDescent="0.25">
      <c r="B62" s="51" t="s">
        <v>177</v>
      </c>
      <c r="C62" s="81"/>
      <c r="D62" s="86"/>
      <c r="E62" s="87">
        <f>+ROUND(E59,0)</f>
        <v>0</v>
      </c>
      <c r="F62" s="109"/>
    </row>
    <row r="63" spans="1:6" ht="16.5" thickBot="1" x14ac:dyDescent="0.3">
      <c r="B63" s="52" t="s">
        <v>178</v>
      </c>
      <c r="C63" s="112"/>
      <c r="D63" s="88"/>
      <c r="E63" s="64">
        <f t="shared" ref="E63" si="2">SUM(E60:E62)</f>
        <v>0</v>
      </c>
      <c r="F63" s="99"/>
    </row>
    <row r="64" spans="1:6" x14ac:dyDescent="0.25">
      <c r="B64" s="41"/>
      <c r="F64" s="110"/>
    </row>
    <row r="65" spans="2:6" ht="16.5" thickBot="1" x14ac:dyDescent="0.3">
      <c r="F65" s="110"/>
    </row>
    <row r="66" spans="2:6" ht="16.5" thickBot="1" x14ac:dyDescent="0.3">
      <c r="B66" s="189" t="str">
        <f>B52</f>
        <v>CLIN 0014  – CPFF</v>
      </c>
      <c r="C66" s="186" t="s">
        <v>183</v>
      </c>
      <c r="D66" s="187"/>
      <c r="E66" s="188"/>
      <c r="F66" s="106"/>
    </row>
    <row r="67" spans="2:6" ht="16.5" thickBot="1" x14ac:dyDescent="0.3">
      <c r="B67" s="190"/>
      <c r="C67" s="89"/>
      <c r="D67" s="55"/>
      <c r="E67" s="90" t="s">
        <v>325</v>
      </c>
      <c r="F67" s="111"/>
    </row>
    <row r="68" spans="2:6" x14ac:dyDescent="0.25">
      <c r="B68" s="51" t="s">
        <v>175</v>
      </c>
      <c r="C68" s="91"/>
      <c r="D68" s="91"/>
      <c r="E68" s="92">
        <f>+ROUND(E33+E47+E60,0)</f>
        <v>0</v>
      </c>
      <c r="F68" s="100"/>
    </row>
    <row r="69" spans="2:6" x14ac:dyDescent="0.25">
      <c r="B69" s="51" t="s">
        <v>176</v>
      </c>
      <c r="C69" s="91"/>
      <c r="D69" s="91"/>
      <c r="E69" s="71">
        <f>+ROUND(E34+E48+E61,0)</f>
        <v>0</v>
      </c>
      <c r="F69" s="100"/>
    </row>
    <row r="70" spans="2:6" x14ac:dyDescent="0.25">
      <c r="B70" s="51" t="s">
        <v>177</v>
      </c>
      <c r="C70" s="91"/>
      <c r="D70" s="91"/>
      <c r="E70" s="74">
        <f>+ROUND(E35+E49+E62,0)</f>
        <v>0</v>
      </c>
      <c r="F70" s="102"/>
    </row>
    <row r="71" spans="2:6" ht="16.5" thickBot="1" x14ac:dyDescent="0.3">
      <c r="B71" s="52" t="s">
        <v>178</v>
      </c>
      <c r="C71" s="93"/>
      <c r="D71" s="93"/>
      <c r="E71" s="77">
        <f>SUM(E68:E70)</f>
        <v>0</v>
      </c>
      <c r="F71" s="103"/>
    </row>
  </sheetData>
  <mergeCells count="8">
    <mergeCell ref="B66:B67"/>
    <mergeCell ref="C66:E66"/>
    <mergeCell ref="B10:B11"/>
    <mergeCell ref="C10:E10"/>
    <mergeCell ref="B39:B40"/>
    <mergeCell ref="C39:E39"/>
    <mergeCell ref="B52:B53"/>
    <mergeCell ref="C52:E52"/>
  </mergeCells>
  <pageMargins left="0.7" right="0.7" top="0.75" bottom="0.75" header="0.3" footer="0.3"/>
  <pageSetup orientation="portrait" horizontalDpi="1200" verticalDpi="12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4E5D7-93D2-4126-8489-FC0095077B57}">
  <sheetPr>
    <tabColor theme="7" tint="0.79998168889431442"/>
  </sheetPr>
  <dimension ref="A1:S71"/>
  <sheetViews>
    <sheetView workbookViewId="0">
      <selection activeCell="B4" sqref="B4"/>
    </sheetView>
  </sheetViews>
  <sheetFormatPr defaultColWidth="15.85546875" defaultRowHeight="15.75" x14ac:dyDescent="0.25"/>
  <cols>
    <col min="1" max="1" width="3.42578125" style="33" customWidth="1"/>
    <col min="2" max="2" width="49.140625" style="37" customWidth="1"/>
    <col min="3" max="3" width="28.28515625" style="35" customWidth="1"/>
    <col min="4" max="4" width="25.42578125" style="35" customWidth="1"/>
    <col min="5" max="5" width="35.42578125" style="35" customWidth="1"/>
    <col min="6" max="7" width="3.140625" style="35" customWidth="1"/>
    <col min="8" max="8" width="45" style="35" bestFit="1" customWidth="1"/>
    <col min="9" max="9" width="28.28515625" style="35" customWidth="1"/>
    <col min="10" max="10" width="25.42578125" style="35" customWidth="1"/>
    <col min="11" max="11" width="35.42578125" style="35" customWidth="1"/>
    <col min="12" max="12" width="3.140625" style="35" customWidth="1"/>
    <col min="13" max="13" width="28.28515625" style="35" customWidth="1"/>
    <col min="14" max="14" width="25.42578125" style="35" customWidth="1"/>
    <col min="15" max="15" width="35.42578125" style="35" customWidth="1"/>
    <col min="16" max="16" width="3.140625" style="35" customWidth="1"/>
    <col min="17" max="17" width="28.28515625" style="35" customWidth="1"/>
    <col min="18" max="18" width="25.42578125" style="35" customWidth="1"/>
    <col min="19" max="19" width="35.42578125" style="35" customWidth="1"/>
    <col min="20" max="16384" width="15.85546875" style="35"/>
  </cols>
  <sheetData>
    <row r="1" spans="1:19" x14ac:dyDescent="0.2">
      <c r="B1" s="34" t="s">
        <v>147</v>
      </c>
    </row>
    <row r="2" spans="1:19" x14ac:dyDescent="0.25">
      <c r="A2" s="36"/>
      <c r="B2" s="153" t="s">
        <v>167</v>
      </c>
      <c r="C2" s="94"/>
      <c r="D2" s="94"/>
      <c r="E2" s="94"/>
      <c r="F2" s="94"/>
      <c r="G2" s="94"/>
      <c r="H2" s="94"/>
      <c r="I2" s="94"/>
      <c r="J2" s="94"/>
      <c r="K2" s="94"/>
      <c r="L2" s="94"/>
      <c r="M2" s="94"/>
      <c r="N2" s="94"/>
      <c r="O2" s="94"/>
      <c r="P2" s="94"/>
      <c r="Q2" s="94"/>
      <c r="R2" s="94"/>
      <c r="S2" s="94"/>
    </row>
    <row r="3" spans="1:19" x14ac:dyDescent="0.25">
      <c r="A3" s="36"/>
      <c r="B3" s="153" t="s">
        <v>347</v>
      </c>
      <c r="C3" s="94"/>
      <c r="D3" s="94"/>
      <c r="E3" s="94"/>
      <c r="F3" s="94"/>
      <c r="G3" s="94"/>
      <c r="H3" s="94"/>
      <c r="I3" s="94"/>
      <c r="J3" s="94"/>
      <c r="K3" s="94"/>
      <c r="L3" s="94"/>
      <c r="M3" s="94"/>
      <c r="N3" s="94"/>
      <c r="O3" s="94"/>
      <c r="P3" s="94"/>
      <c r="Q3" s="94"/>
      <c r="R3" s="94"/>
      <c r="S3" s="94"/>
    </row>
    <row r="4" spans="1:19" x14ac:dyDescent="0.25">
      <c r="A4" s="36"/>
      <c r="B4" s="153" t="s">
        <v>231</v>
      </c>
      <c r="C4" s="94"/>
      <c r="D4" s="94"/>
      <c r="E4" s="94"/>
      <c r="F4" s="94"/>
      <c r="G4" s="94"/>
      <c r="H4" s="94"/>
      <c r="I4" s="94"/>
      <c r="J4" s="94"/>
      <c r="K4" s="94"/>
      <c r="L4" s="94"/>
      <c r="M4" s="94"/>
      <c r="N4" s="94"/>
      <c r="O4" s="94"/>
      <c r="P4" s="94"/>
      <c r="Q4" s="94"/>
      <c r="R4" s="94"/>
      <c r="S4" s="94"/>
    </row>
    <row r="5" spans="1:19" x14ac:dyDescent="0.25">
      <c r="A5" s="36"/>
      <c r="B5" s="153" t="s">
        <v>168</v>
      </c>
      <c r="C5" s="94"/>
      <c r="D5" s="94"/>
      <c r="E5" s="94"/>
      <c r="F5" s="94"/>
      <c r="G5" s="94"/>
      <c r="H5" s="94"/>
      <c r="I5" s="94"/>
      <c r="J5" s="94"/>
      <c r="K5" s="94"/>
      <c r="L5" s="94"/>
      <c r="M5" s="94"/>
      <c r="N5" s="94"/>
      <c r="O5" s="94"/>
      <c r="P5" s="94"/>
      <c r="Q5" s="94"/>
      <c r="R5" s="94"/>
      <c r="S5" s="94"/>
    </row>
    <row r="6" spans="1:19" x14ac:dyDescent="0.25">
      <c r="A6" s="36"/>
      <c r="B6" s="153" t="s">
        <v>348</v>
      </c>
      <c r="C6" s="94"/>
      <c r="D6" s="94"/>
      <c r="E6" s="94"/>
      <c r="F6" s="94"/>
      <c r="G6" s="94"/>
      <c r="H6" s="94"/>
      <c r="I6" s="94"/>
      <c r="J6" s="94"/>
      <c r="K6" s="94"/>
      <c r="L6" s="94"/>
      <c r="M6" s="94"/>
      <c r="N6" s="94"/>
      <c r="O6" s="94"/>
      <c r="P6" s="94"/>
      <c r="Q6" s="94"/>
      <c r="R6" s="94"/>
      <c r="S6" s="94"/>
    </row>
    <row r="7" spans="1:19" x14ac:dyDescent="0.25">
      <c r="A7" s="36"/>
      <c r="B7" s="153" t="s">
        <v>274</v>
      </c>
      <c r="C7" s="94"/>
      <c r="D7" s="94"/>
      <c r="E7" s="94"/>
      <c r="F7" s="94"/>
      <c r="G7" s="94"/>
      <c r="H7" s="94"/>
      <c r="I7" s="94"/>
      <c r="J7" s="94"/>
      <c r="K7" s="94"/>
      <c r="L7" s="94"/>
      <c r="M7" s="94"/>
      <c r="N7" s="94"/>
      <c r="O7" s="94"/>
      <c r="P7" s="94"/>
      <c r="Q7" s="94"/>
      <c r="R7" s="94"/>
      <c r="S7" s="94"/>
    </row>
    <row r="9" spans="1:19" ht="16.5" thickBot="1" x14ac:dyDescent="0.3"/>
    <row r="10" spans="1:19" ht="16.5" thickBot="1" x14ac:dyDescent="0.3">
      <c r="A10" s="38"/>
      <c r="B10" s="189" t="s">
        <v>338</v>
      </c>
      <c r="C10" s="186" t="s">
        <v>170</v>
      </c>
      <c r="D10" s="187"/>
      <c r="E10" s="188"/>
      <c r="F10" s="95"/>
      <c r="G10" s="95"/>
      <c r="H10" s="189" t="s">
        <v>340</v>
      </c>
      <c r="I10" s="186" t="s">
        <v>170</v>
      </c>
      <c r="J10" s="187"/>
      <c r="K10" s="188"/>
      <c r="L10" s="95"/>
      <c r="M10" s="186" t="s">
        <v>170</v>
      </c>
      <c r="N10" s="187"/>
      <c r="O10" s="188"/>
      <c r="P10" s="95"/>
      <c r="Q10" s="186" t="s">
        <v>170</v>
      </c>
      <c r="R10" s="187"/>
      <c r="S10" s="188"/>
    </row>
    <row r="11" spans="1:19" ht="16.5" thickBot="1" x14ac:dyDescent="0.3">
      <c r="A11" s="38"/>
      <c r="B11" s="190"/>
      <c r="C11" s="132" t="s">
        <v>244</v>
      </c>
      <c r="D11" s="133"/>
      <c r="E11" s="134"/>
      <c r="F11" s="96"/>
      <c r="G11" s="96"/>
      <c r="H11" s="190"/>
      <c r="I11" s="132" t="s">
        <v>341</v>
      </c>
      <c r="J11" s="133"/>
      <c r="K11" s="134"/>
      <c r="L11" s="96"/>
      <c r="M11" s="132" t="s">
        <v>342</v>
      </c>
      <c r="N11" s="133"/>
      <c r="O11" s="134"/>
      <c r="P11" s="96"/>
      <c r="Q11" s="132" t="s">
        <v>343</v>
      </c>
      <c r="R11" s="133"/>
      <c r="S11" s="134"/>
    </row>
    <row r="12" spans="1:19" x14ac:dyDescent="0.25">
      <c r="A12" s="38"/>
      <c r="B12" s="56" t="s">
        <v>157</v>
      </c>
      <c r="C12" s="56" t="s">
        <v>171</v>
      </c>
      <c r="D12" s="57" t="s">
        <v>172</v>
      </c>
      <c r="E12" s="58" t="s">
        <v>10</v>
      </c>
      <c r="F12" s="97"/>
      <c r="G12" s="97"/>
      <c r="H12" s="56" t="s">
        <v>157</v>
      </c>
      <c r="I12" s="56" t="s">
        <v>171</v>
      </c>
      <c r="J12" s="57" t="s">
        <v>172</v>
      </c>
      <c r="K12" s="58" t="s">
        <v>10</v>
      </c>
      <c r="L12" s="97"/>
      <c r="M12" s="56" t="s">
        <v>171</v>
      </c>
      <c r="N12" s="57" t="s">
        <v>172</v>
      </c>
      <c r="O12" s="58" t="s">
        <v>10</v>
      </c>
      <c r="P12" s="97"/>
      <c r="Q12" s="56" t="s">
        <v>171</v>
      </c>
      <c r="R12" s="57" t="s">
        <v>172</v>
      </c>
      <c r="S12" s="58" t="s">
        <v>10</v>
      </c>
    </row>
    <row r="13" spans="1:19" x14ac:dyDescent="0.25">
      <c r="A13" s="38"/>
      <c r="B13" s="59" t="s">
        <v>184</v>
      </c>
      <c r="C13" s="60"/>
      <c r="D13" s="61">
        <v>0</v>
      </c>
      <c r="E13" s="62">
        <f>+C13*D13</f>
        <v>0</v>
      </c>
      <c r="F13" s="98"/>
      <c r="G13" s="98"/>
      <c r="H13" s="151" t="s">
        <v>184</v>
      </c>
      <c r="I13" s="60"/>
      <c r="J13" s="61">
        <v>0</v>
      </c>
      <c r="K13" s="62">
        <f>+I13*J13</f>
        <v>0</v>
      </c>
      <c r="L13" s="98"/>
      <c r="M13" s="60"/>
      <c r="N13" s="61">
        <v>0</v>
      </c>
      <c r="O13" s="62">
        <f>+M13*N13</f>
        <v>0</v>
      </c>
      <c r="P13" s="98"/>
      <c r="Q13" s="60"/>
      <c r="R13" s="61">
        <v>0</v>
      </c>
      <c r="S13" s="62">
        <f>+Q13*R13</f>
        <v>0</v>
      </c>
    </row>
    <row r="14" spans="1:19" x14ac:dyDescent="0.25">
      <c r="A14" s="38"/>
      <c r="B14" s="59" t="s">
        <v>185</v>
      </c>
      <c r="C14" s="60"/>
      <c r="D14" s="61">
        <v>0</v>
      </c>
      <c r="E14" s="62">
        <f t="shared" ref="E14:E25" si="0">+C14*D14</f>
        <v>0</v>
      </c>
      <c r="F14" s="98"/>
      <c r="G14" s="98"/>
      <c r="H14" s="59" t="s">
        <v>185</v>
      </c>
      <c r="I14" s="60"/>
      <c r="J14" s="61">
        <v>0</v>
      </c>
      <c r="K14" s="62">
        <f t="shared" ref="K14:K25" si="1">+I14*J14</f>
        <v>0</v>
      </c>
      <c r="L14" s="98"/>
      <c r="M14" s="60"/>
      <c r="N14" s="61">
        <v>0</v>
      </c>
      <c r="O14" s="62">
        <f t="shared" ref="O14:O25" si="2">+M14*N14</f>
        <v>0</v>
      </c>
      <c r="P14" s="98"/>
      <c r="Q14" s="60"/>
      <c r="R14" s="61">
        <v>0</v>
      </c>
      <c r="S14" s="62">
        <f t="shared" ref="S14:S25" si="3">+Q14*R14</f>
        <v>0</v>
      </c>
    </row>
    <row r="15" spans="1:19" x14ac:dyDescent="0.25">
      <c r="A15" s="38"/>
      <c r="B15" s="59" t="s">
        <v>186</v>
      </c>
      <c r="C15" s="60"/>
      <c r="D15" s="61">
        <v>0</v>
      </c>
      <c r="E15" s="62">
        <f t="shared" si="0"/>
        <v>0</v>
      </c>
      <c r="F15" s="98"/>
      <c r="G15" s="98"/>
      <c r="H15" s="59" t="s">
        <v>186</v>
      </c>
      <c r="I15" s="60"/>
      <c r="J15" s="61">
        <v>0</v>
      </c>
      <c r="K15" s="62">
        <f t="shared" si="1"/>
        <v>0</v>
      </c>
      <c r="L15" s="98"/>
      <c r="M15" s="60"/>
      <c r="N15" s="61">
        <v>0</v>
      </c>
      <c r="O15" s="62">
        <f t="shared" si="2"/>
        <v>0</v>
      </c>
      <c r="P15" s="98"/>
      <c r="Q15" s="60"/>
      <c r="R15" s="61">
        <v>0</v>
      </c>
      <c r="S15" s="62">
        <f t="shared" si="3"/>
        <v>0</v>
      </c>
    </row>
    <row r="16" spans="1:19" x14ac:dyDescent="0.25">
      <c r="A16" s="38"/>
      <c r="B16" s="59" t="s">
        <v>187</v>
      </c>
      <c r="C16" s="60"/>
      <c r="D16" s="61">
        <v>0</v>
      </c>
      <c r="E16" s="62">
        <f t="shared" si="0"/>
        <v>0</v>
      </c>
      <c r="F16" s="98"/>
      <c r="G16" s="98"/>
      <c r="H16" s="59" t="s">
        <v>187</v>
      </c>
      <c r="I16" s="60"/>
      <c r="J16" s="61">
        <v>0</v>
      </c>
      <c r="K16" s="62">
        <f t="shared" si="1"/>
        <v>0</v>
      </c>
      <c r="L16" s="98"/>
      <c r="M16" s="60"/>
      <c r="N16" s="61">
        <v>0</v>
      </c>
      <c r="O16" s="62">
        <f t="shared" si="2"/>
        <v>0</v>
      </c>
      <c r="P16" s="98"/>
      <c r="Q16" s="60"/>
      <c r="R16" s="61">
        <v>0</v>
      </c>
      <c r="S16" s="62">
        <f t="shared" si="3"/>
        <v>0</v>
      </c>
    </row>
    <row r="17" spans="1:19" x14ac:dyDescent="0.25">
      <c r="A17" s="38"/>
      <c r="B17" s="59" t="s">
        <v>188</v>
      </c>
      <c r="C17" s="60"/>
      <c r="D17" s="61">
        <v>0</v>
      </c>
      <c r="E17" s="62">
        <f t="shared" si="0"/>
        <v>0</v>
      </c>
      <c r="F17" s="98"/>
      <c r="G17" s="98"/>
      <c r="H17" s="59" t="s">
        <v>188</v>
      </c>
      <c r="I17" s="60"/>
      <c r="J17" s="61">
        <v>0</v>
      </c>
      <c r="K17" s="62">
        <f t="shared" si="1"/>
        <v>0</v>
      </c>
      <c r="L17" s="98"/>
      <c r="M17" s="60"/>
      <c r="N17" s="61">
        <v>0</v>
      </c>
      <c r="O17" s="62">
        <f t="shared" si="2"/>
        <v>0</v>
      </c>
      <c r="P17" s="98"/>
      <c r="Q17" s="60"/>
      <c r="R17" s="61">
        <v>0</v>
      </c>
      <c r="S17" s="62">
        <f t="shared" si="3"/>
        <v>0</v>
      </c>
    </row>
    <row r="18" spans="1:19" x14ac:dyDescent="0.25">
      <c r="A18" s="38"/>
      <c r="B18" s="59" t="s">
        <v>189</v>
      </c>
      <c r="C18" s="60"/>
      <c r="D18" s="61">
        <v>0</v>
      </c>
      <c r="E18" s="62">
        <f t="shared" si="0"/>
        <v>0</v>
      </c>
      <c r="F18" s="98"/>
      <c r="G18" s="98"/>
      <c r="H18" s="59" t="s">
        <v>189</v>
      </c>
      <c r="I18" s="60"/>
      <c r="J18" s="61">
        <v>0</v>
      </c>
      <c r="K18" s="62">
        <f t="shared" si="1"/>
        <v>0</v>
      </c>
      <c r="L18" s="98"/>
      <c r="M18" s="60"/>
      <c r="N18" s="61">
        <v>0</v>
      </c>
      <c r="O18" s="62">
        <f t="shared" si="2"/>
        <v>0</v>
      </c>
      <c r="P18" s="98"/>
      <c r="Q18" s="60"/>
      <c r="R18" s="61">
        <v>0</v>
      </c>
      <c r="S18" s="62">
        <f t="shared" si="3"/>
        <v>0</v>
      </c>
    </row>
    <row r="19" spans="1:19" x14ac:dyDescent="0.25">
      <c r="A19" s="38"/>
      <c r="B19" s="59" t="s">
        <v>190</v>
      </c>
      <c r="C19" s="60"/>
      <c r="D19" s="61">
        <v>0</v>
      </c>
      <c r="E19" s="62">
        <f t="shared" si="0"/>
        <v>0</v>
      </c>
      <c r="F19" s="98"/>
      <c r="G19" s="98"/>
      <c r="H19" s="59" t="s">
        <v>190</v>
      </c>
      <c r="I19" s="60"/>
      <c r="J19" s="61">
        <v>0</v>
      </c>
      <c r="K19" s="62">
        <f t="shared" si="1"/>
        <v>0</v>
      </c>
      <c r="L19" s="98"/>
      <c r="M19" s="60"/>
      <c r="N19" s="61">
        <v>0</v>
      </c>
      <c r="O19" s="62">
        <f t="shared" si="2"/>
        <v>0</v>
      </c>
      <c r="P19" s="98"/>
      <c r="Q19" s="60"/>
      <c r="R19" s="61">
        <v>0</v>
      </c>
      <c r="S19" s="62">
        <f t="shared" si="3"/>
        <v>0</v>
      </c>
    </row>
    <row r="20" spans="1:19" x14ac:dyDescent="0.25">
      <c r="A20" s="38"/>
      <c r="B20" s="59" t="s">
        <v>191</v>
      </c>
      <c r="C20" s="60"/>
      <c r="D20" s="61">
        <v>0</v>
      </c>
      <c r="E20" s="62">
        <f t="shared" si="0"/>
        <v>0</v>
      </c>
      <c r="F20" s="98"/>
      <c r="G20" s="98"/>
      <c r="H20" s="59" t="s">
        <v>191</v>
      </c>
      <c r="I20" s="60"/>
      <c r="J20" s="61">
        <v>0</v>
      </c>
      <c r="K20" s="62">
        <f t="shared" si="1"/>
        <v>0</v>
      </c>
      <c r="L20" s="98"/>
      <c r="M20" s="60"/>
      <c r="N20" s="61">
        <v>0</v>
      </c>
      <c r="O20" s="62">
        <f t="shared" si="2"/>
        <v>0</v>
      </c>
      <c r="P20" s="98"/>
      <c r="Q20" s="60"/>
      <c r="R20" s="61">
        <v>0</v>
      </c>
      <c r="S20" s="62">
        <f t="shared" si="3"/>
        <v>0</v>
      </c>
    </row>
    <row r="21" spans="1:19" x14ac:dyDescent="0.25">
      <c r="A21" s="38"/>
      <c r="B21" s="59" t="s">
        <v>192</v>
      </c>
      <c r="C21" s="60"/>
      <c r="D21" s="61">
        <v>0</v>
      </c>
      <c r="E21" s="62">
        <f t="shared" si="0"/>
        <v>0</v>
      </c>
      <c r="F21" s="98"/>
      <c r="G21" s="98"/>
      <c r="H21" s="59" t="s">
        <v>192</v>
      </c>
      <c r="I21" s="60"/>
      <c r="J21" s="61">
        <v>0</v>
      </c>
      <c r="K21" s="62">
        <f t="shared" si="1"/>
        <v>0</v>
      </c>
      <c r="L21" s="98"/>
      <c r="M21" s="60"/>
      <c r="N21" s="61">
        <v>0</v>
      </c>
      <c r="O21" s="62">
        <f t="shared" si="2"/>
        <v>0</v>
      </c>
      <c r="P21" s="98"/>
      <c r="Q21" s="60"/>
      <c r="R21" s="61">
        <v>0</v>
      </c>
      <c r="S21" s="62">
        <f t="shared" si="3"/>
        <v>0</v>
      </c>
    </row>
    <row r="22" spans="1:19" ht="15" customHeight="1" x14ac:dyDescent="0.25">
      <c r="A22" s="38"/>
      <c r="B22" s="59" t="s">
        <v>193</v>
      </c>
      <c r="C22" s="60"/>
      <c r="D22" s="61">
        <v>0</v>
      </c>
      <c r="E22" s="62">
        <f t="shared" si="0"/>
        <v>0</v>
      </c>
      <c r="F22" s="98"/>
      <c r="G22" s="98"/>
      <c r="H22" s="59" t="s">
        <v>193</v>
      </c>
      <c r="I22" s="60"/>
      <c r="J22" s="61">
        <v>0</v>
      </c>
      <c r="K22" s="62">
        <f t="shared" si="1"/>
        <v>0</v>
      </c>
      <c r="L22" s="98"/>
      <c r="M22" s="60"/>
      <c r="N22" s="61">
        <v>0</v>
      </c>
      <c r="O22" s="62">
        <f t="shared" si="2"/>
        <v>0</v>
      </c>
      <c r="P22" s="98"/>
      <c r="Q22" s="60"/>
      <c r="R22" s="61">
        <v>0</v>
      </c>
      <c r="S22" s="62">
        <f t="shared" si="3"/>
        <v>0</v>
      </c>
    </row>
    <row r="23" spans="1:19" ht="15" customHeight="1" x14ac:dyDescent="0.25">
      <c r="A23" s="38"/>
      <c r="B23" s="59" t="s">
        <v>194</v>
      </c>
      <c r="C23" s="60"/>
      <c r="D23" s="61">
        <v>0</v>
      </c>
      <c r="E23" s="62">
        <f t="shared" si="0"/>
        <v>0</v>
      </c>
      <c r="F23" s="98"/>
      <c r="G23" s="98"/>
      <c r="H23" s="59" t="s">
        <v>194</v>
      </c>
      <c r="I23" s="60"/>
      <c r="J23" s="61">
        <v>0</v>
      </c>
      <c r="K23" s="62">
        <f t="shared" si="1"/>
        <v>0</v>
      </c>
      <c r="L23" s="98"/>
      <c r="M23" s="60"/>
      <c r="N23" s="61">
        <v>0</v>
      </c>
      <c r="O23" s="62">
        <f t="shared" si="2"/>
        <v>0</v>
      </c>
      <c r="P23" s="98"/>
      <c r="Q23" s="60"/>
      <c r="R23" s="61">
        <v>0</v>
      </c>
      <c r="S23" s="62">
        <f t="shared" si="3"/>
        <v>0</v>
      </c>
    </row>
    <row r="24" spans="1:19" ht="15" customHeight="1" x14ac:dyDescent="0.25">
      <c r="A24" s="38"/>
      <c r="B24" s="59" t="s">
        <v>195</v>
      </c>
      <c r="C24" s="60"/>
      <c r="D24" s="61">
        <v>0</v>
      </c>
      <c r="E24" s="62">
        <f t="shared" si="0"/>
        <v>0</v>
      </c>
      <c r="F24" s="98"/>
      <c r="G24" s="98"/>
      <c r="H24" s="59" t="s">
        <v>195</v>
      </c>
      <c r="I24" s="60"/>
      <c r="J24" s="61">
        <v>0</v>
      </c>
      <c r="K24" s="62">
        <f t="shared" si="1"/>
        <v>0</v>
      </c>
      <c r="L24" s="98"/>
      <c r="M24" s="60"/>
      <c r="N24" s="61">
        <v>0</v>
      </c>
      <c r="O24" s="62">
        <f t="shared" si="2"/>
        <v>0</v>
      </c>
      <c r="P24" s="98"/>
      <c r="Q24" s="60"/>
      <c r="R24" s="61">
        <v>0</v>
      </c>
      <c r="S24" s="62">
        <f t="shared" si="3"/>
        <v>0</v>
      </c>
    </row>
    <row r="25" spans="1:19" ht="15" customHeight="1" thickBot="1" x14ac:dyDescent="0.3">
      <c r="A25" s="38"/>
      <c r="B25" s="59" t="s">
        <v>196</v>
      </c>
      <c r="C25" s="63"/>
      <c r="D25" s="39">
        <v>0</v>
      </c>
      <c r="E25" s="64">
        <f t="shared" si="0"/>
        <v>0</v>
      </c>
      <c r="F25" s="99"/>
      <c r="G25" s="99"/>
      <c r="H25" s="59" t="s">
        <v>196</v>
      </c>
      <c r="I25" s="63"/>
      <c r="J25" s="39">
        <v>0</v>
      </c>
      <c r="K25" s="64">
        <f t="shared" si="1"/>
        <v>0</v>
      </c>
      <c r="L25" s="99"/>
      <c r="M25" s="63"/>
      <c r="N25" s="39">
        <v>0</v>
      </c>
      <c r="O25" s="64">
        <f t="shared" si="2"/>
        <v>0</v>
      </c>
      <c r="P25" s="99"/>
      <c r="Q25" s="63"/>
      <c r="R25" s="39">
        <v>0</v>
      </c>
      <c r="S25" s="64">
        <f t="shared" si="3"/>
        <v>0</v>
      </c>
    </row>
    <row r="26" spans="1:19" ht="16.5" thickBot="1" x14ac:dyDescent="0.3">
      <c r="A26" s="38"/>
      <c r="B26" s="113" t="s">
        <v>173</v>
      </c>
      <c r="C26" s="65">
        <f>SUM(C13:C25)</f>
        <v>0</v>
      </c>
      <c r="D26" s="66"/>
      <c r="E26" s="67">
        <f>SUM(E13:E25)</f>
        <v>0</v>
      </c>
      <c r="F26" s="100"/>
      <c r="G26" s="100"/>
      <c r="H26" s="113" t="s">
        <v>173</v>
      </c>
      <c r="I26" s="65">
        <f>SUM(I13:I25)</f>
        <v>0</v>
      </c>
      <c r="J26" s="66"/>
      <c r="K26" s="67">
        <f>SUM(K13:K25)</f>
        <v>0</v>
      </c>
      <c r="L26" s="100"/>
      <c r="M26" s="65">
        <f>SUM(M13:M25)</f>
        <v>0</v>
      </c>
      <c r="N26" s="66"/>
      <c r="O26" s="67">
        <f>SUM(O13:O25)</f>
        <v>0</v>
      </c>
      <c r="P26" s="100"/>
      <c r="Q26" s="65">
        <f>SUM(Q13:Q25)</f>
        <v>0</v>
      </c>
      <c r="R26" s="66"/>
      <c r="S26" s="67">
        <f>SUM(S13:S25)</f>
        <v>0</v>
      </c>
    </row>
    <row r="27" spans="1:19" x14ac:dyDescent="0.25">
      <c r="A27" s="38"/>
      <c r="B27" s="68"/>
      <c r="C27" s="56" t="s">
        <v>174</v>
      </c>
      <c r="D27" s="57" t="s">
        <v>172</v>
      </c>
      <c r="E27" s="58" t="s">
        <v>10</v>
      </c>
      <c r="F27" s="101"/>
      <c r="G27" s="101"/>
      <c r="H27" s="68"/>
      <c r="I27" s="56" t="s">
        <v>174</v>
      </c>
      <c r="J27" s="57" t="s">
        <v>172</v>
      </c>
      <c r="K27" s="58" t="s">
        <v>10</v>
      </c>
      <c r="L27" s="101"/>
      <c r="M27" s="56" t="s">
        <v>174</v>
      </c>
      <c r="N27" s="57" t="s">
        <v>172</v>
      </c>
      <c r="O27" s="58" t="s">
        <v>10</v>
      </c>
      <c r="P27" s="101"/>
      <c r="Q27" s="56" t="s">
        <v>174</v>
      </c>
      <c r="R27" s="57" t="s">
        <v>172</v>
      </c>
      <c r="S27" s="58" t="s">
        <v>10</v>
      </c>
    </row>
    <row r="28" spans="1:19" x14ac:dyDescent="0.25">
      <c r="A28" s="38"/>
      <c r="B28" s="51" t="s">
        <v>160</v>
      </c>
      <c r="C28" s="69">
        <f>+E26</f>
        <v>0</v>
      </c>
      <c r="D28" s="70">
        <v>0</v>
      </c>
      <c r="E28" s="71">
        <f>+C28*D28</f>
        <v>0</v>
      </c>
      <c r="F28" s="100"/>
      <c r="G28" s="100"/>
      <c r="H28" s="51" t="s">
        <v>269</v>
      </c>
      <c r="I28" s="69">
        <f>+K26</f>
        <v>0</v>
      </c>
      <c r="J28" s="70">
        <v>0</v>
      </c>
      <c r="K28" s="71">
        <f>+I28*J28</f>
        <v>0</v>
      </c>
      <c r="L28" s="100"/>
      <c r="M28" s="69">
        <f>+O26</f>
        <v>0</v>
      </c>
      <c r="N28" s="70">
        <v>0</v>
      </c>
      <c r="O28" s="71">
        <f>+M28*N28</f>
        <v>0</v>
      </c>
      <c r="P28" s="100"/>
      <c r="Q28" s="69">
        <f>+S26</f>
        <v>0</v>
      </c>
      <c r="R28" s="70">
        <v>0</v>
      </c>
      <c r="S28" s="71">
        <f>+Q28*R28</f>
        <v>0</v>
      </c>
    </row>
    <row r="29" spans="1:19" x14ac:dyDescent="0.25">
      <c r="A29" s="38"/>
      <c r="B29" s="51" t="s">
        <v>161</v>
      </c>
      <c r="C29" s="69">
        <f>+C28+E28</f>
        <v>0</v>
      </c>
      <c r="D29" s="70">
        <v>0</v>
      </c>
      <c r="E29" s="71">
        <f>+C29*D29</f>
        <v>0</v>
      </c>
      <c r="F29" s="100"/>
      <c r="G29" s="100"/>
      <c r="H29" s="51" t="s">
        <v>161</v>
      </c>
      <c r="I29" s="69">
        <f>+I28+K28</f>
        <v>0</v>
      </c>
      <c r="J29" s="70">
        <v>0</v>
      </c>
      <c r="K29" s="71">
        <f>+I29*J29</f>
        <v>0</v>
      </c>
      <c r="L29" s="100"/>
      <c r="M29" s="69">
        <f>+M28+O28</f>
        <v>0</v>
      </c>
      <c r="N29" s="70">
        <v>0</v>
      </c>
      <c r="O29" s="71">
        <f>+M29*N29</f>
        <v>0</v>
      </c>
      <c r="P29" s="100"/>
      <c r="Q29" s="69">
        <f>+Q28+S28</f>
        <v>0</v>
      </c>
      <c r="R29" s="70">
        <v>0</v>
      </c>
      <c r="S29" s="71">
        <f>+Q29*R29</f>
        <v>0</v>
      </c>
    </row>
    <row r="30" spans="1:19" x14ac:dyDescent="0.25">
      <c r="A30" s="38"/>
      <c r="B30" s="51" t="s">
        <v>162</v>
      </c>
      <c r="C30" s="69">
        <f>+C29+E29</f>
        <v>0</v>
      </c>
      <c r="D30" s="70">
        <v>0</v>
      </c>
      <c r="E30" s="71">
        <f>+C30*D30</f>
        <v>0</v>
      </c>
      <c r="F30" s="100"/>
      <c r="G30" s="100"/>
      <c r="H30" s="51" t="s">
        <v>162</v>
      </c>
      <c r="I30" s="69">
        <f>+I29+K29</f>
        <v>0</v>
      </c>
      <c r="J30" s="70">
        <v>0</v>
      </c>
      <c r="K30" s="71">
        <f>+I30*J30</f>
        <v>0</v>
      </c>
      <c r="L30" s="100"/>
      <c r="M30" s="69">
        <f>+M29+O29</f>
        <v>0</v>
      </c>
      <c r="N30" s="70">
        <v>0</v>
      </c>
      <c r="O30" s="71">
        <f>+M30*N30</f>
        <v>0</v>
      </c>
      <c r="P30" s="100"/>
      <c r="Q30" s="69">
        <f>+Q29+S29</f>
        <v>0</v>
      </c>
      <c r="R30" s="70">
        <v>0</v>
      </c>
      <c r="S30" s="71">
        <f>+Q30*R30</f>
        <v>0</v>
      </c>
    </row>
    <row r="31" spans="1:19" x14ac:dyDescent="0.25">
      <c r="A31" s="38"/>
      <c r="B31" s="51" t="s">
        <v>163</v>
      </c>
      <c r="C31" s="69">
        <f>+C28</f>
        <v>0</v>
      </c>
      <c r="D31" s="70">
        <v>0</v>
      </c>
      <c r="E31" s="71">
        <f>+C31*D31</f>
        <v>0</v>
      </c>
      <c r="F31" s="100"/>
      <c r="G31" s="100"/>
      <c r="H31" s="51" t="s">
        <v>163</v>
      </c>
      <c r="I31" s="69">
        <f>+I28</f>
        <v>0</v>
      </c>
      <c r="J31" s="70">
        <v>0</v>
      </c>
      <c r="K31" s="71">
        <f>+I31*J31</f>
        <v>0</v>
      </c>
      <c r="L31" s="100"/>
      <c r="M31" s="69">
        <f>+M28</f>
        <v>0</v>
      </c>
      <c r="N31" s="70">
        <v>0</v>
      </c>
      <c r="O31" s="71">
        <f>+M31*N31</f>
        <v>0</v>
      </c>
      <c r="P31" s="100"/>
      <c r="Q31" s="69">
        <f>+Q28</f>
        <v>0</v>
      </c>
      <c r="R31" s="70">
        <v>0</v>
      </c>
      <c r="S31" s="71">
        <f>+Q31*R31</f>
        <v>0</v>
      </c>
    </row>
    <row r="32" spans="1:19" x14ac:dyDescent="0.25">
      <c r="A32" s="38"/>
      <c r="B32" s="51" t="s">
        <v>164</v>
      </c>
      <c r="C32" s="69">
        <f>+C30+E30</f>
        <v>0</v>
      </c>
      <c r="D32" s="70">
        <v>0</v>
      </c>
      <c r="E32" s="71">
        <f>+C32*D32</f>
        <v>0</v>
      </c>
      <c r="F32" s="100"/>
      <c r="G32" s="100"/>
      <c r="H32" s="51" t="s">
        <v>164</v>
      </c>
      <c r="I32" s="69">
        <f>+I30+K30</f>
        <v>0</v>
      </c>
      <c r="J32" s="70">
        <v>0</v>
      </c>
      <c r="K32" s="71">
        <f>+I32*J32</f>
        <v>0</v>
      </c>
      <c r="L32" s="100"/>
      <c r="M32" s="69">
        <f>+M30+O30</f>
        <v>0</v>
      </c>
      <c r="N32" s="70">
        <v>0</v>
      </c>
      <c r="O32" s="71">
        <f>+M32*N32</f>
        <v>0</v>
      </c>
      <c r="P32" s="100"/>
      <c r="Q32" s="69">
        <f>+Q30+S30</f>
        <v>0</v>
      </c>
      <c r="R32" s="70">
        <v>0</v>
      </c>
      <c r="S32" s="71">
        <f>+Q32*R32</f>
        <v>0</v>
      </c>
    </row>
    <row r="33" spans="1:19" x14ac:dyDescent="0.25">
      <c r="A33" s="38"/>
      <c r="B33" s="51" t="s">
        <v>175</v>
      </c>
      <c r="C33" s="72"/>
      <c r="D33" s="73"/>
      <c r="E33" s="71">
        <f>+SUM(E26,E28,E29,E30)</f>
        <v>0</v>
      </c>
      <c r="F33" s="100"/>
      <c r="G33" s="100"/>
      <c r="H33" s="51" t="s">
        <v>270</v>
      </c>
      <c r="I33" s="72"/>
      <c r="J33" s="73"/>
      <c r="K33" s="71">
        <f>+SUM(K26,K28,K29,K30)</f>
        <v>0</v>
      </c>
      <c r="L33" s="100"/>
      <c r="M33" s="72"/>
      <c r="N33" s="73"/>
      <c r="O33" s="71">
        <f>+SUM(O26,O28,O29,O30)</f>
        <v>0</v>
      </c>
      <c r="P33" s="100"/>
      <c r="Q33" s="72"/>
      <c r="R33" s="73"/>
      <c r="S33" s="71">
        <f>+SUM(S26,S28,S29,S30)</f>
        <v>0</v>
      </c>
    </row>
    <row r="34" spans="1:19" x14ac:dyDescent="0.25">
      <c r="A34" s="38"/>
      <c r="B34" s="51" t="s">
        <v>176</v>
      </c>
      <c r="C34" s="72"/>
      <c r="D34" s="73"/>
      <c r="E34" s="71">
        <f>+E31</f>
        <v>0</v>
      </c>
      <c r="F34" s="100"/>
      <c r="G34" s="100"/>
      <c r="H34" s="51" t="s">
        <v>271</v>
      </c>
      <c r="I34" s="72"/>
      <c r="J34" s="73"/>
      <c r="K34" s="71">
        <f>+K31</f>
        <v>0</v>
      </c>
      <c r="L34" s="100"/>
      <c r="M34" s="72"/>
      <c r="N34" s="73"/>
      <c r="O34" s="71">
        <f>+O31</f>
        <v>0</v>
      </c>
      <c r="P34" s="100"/>
      <c r="Q34" s="72"/>
      <c r="R34" s="73"/>
      <c r="S34" s="71">
        <f>+S31</f>
        <v>0</v>
      </c>
    </row>
    <row r="35" spans="1:19" x14ac:dyDescent="0.25">
      <c r="A35" s="38"/>
      <c r="B35" s="51" t="s">
        <v>177</v>
      </c>
      <c r="C35" s="72"/>
      <c r="D35" s="73"/>
      <c r="E35" s="74">
        <f>+E32</f>
        <v>0</v>
      </c>
      <c r="F35" s="102"/>
      <c r="G35" s="102"/>
      <c r="H35" s="51" t="s">
        <v>272</v>
      </c>
      <c r="I35" s="72"/>
      <c r="J35" s="73"/>
      <c r="K35" s="74">
        <f>+K32</f>
        <v>0</v>
      </c>
      <c r="L35" s="102"/>
      <c r="M35" s="72"/>
      <c r="N35" s="73"/>
      <c r="O35" s="74">
        <f>+O32</f>
        <v>0</v>
      </c>
      <c r="P35" s="102"/>
      <c r="Q35" s="72"/>
      <c r="R35" s="73"/>
      <c r="S35" s="74">
        <f>+S32</f>
        <v>0</v>
      </c>
    </row>
    <row r="36" spans="1:19" ht="16.5" thickBot="1" x14ac:dyDescent="0.3">
      <c r="A36" s="38"/>
      <c r="B36" s="52" t="s">
        <v>178</v>
      </c>
      <c r="C36" s="75"/>
      <c r="D36" s="76"/>
      <c r="E36" s="77">
        <f>SUM(E33:E35)</f>
        <v>0</v>
      </c>
      <c r="F36" s="103"/>
      <c r="G36" s="103"/>
      <c r="H36" s="52" t="s">
        <v>273</v>
      </c>
      <c r="I36" s="75"/>
      <c r="J36" s="76"/>
      <c r="K36" s="77">
        <f>SUM(K33:K35)</f>
        <v>0</v>
      </c>
      <c r="L36" s="103"/>
      <c r="M36" s="75"/>
      <c r="N36" s="76"/>
      <c r="O36" s="77">
        <f>SUM(O33:O35)</f>
        <v>0</v>
      </c>
      <c r="P36" s="103"/>
      <c r="Q36" s="75"/>
      <c r="R36" s="76"/>
      <c r="S36" s="77">
        <f>SUM(S33:S35)</f>
        <v>0</v>
      </c>
    </row>
    <row r="37" spans="1:19" x14ac:dyDescent="0.25">
      <c r="A37" s="38"/>
      <c r="B37" s="41"/>
      <c r="C37" s="78"/>
      <c r="D37" s="78"/>
      <c r="E37" s="78"/>
      <c r="F37" s="104"/>
      <c r="G37" s="104"/>
      <c r="H37" s="41"/>
      <c r="I37" s="78"/>
      <c r="J37" s="78"/>
      <c r="K37" s="78"/>
      <c r="L37" s="104"/>
      <c r="M37" s="78"/>
      <c r="N37" s="78"/>
      <c r="O37" s="78"/>
      <c r="P37" s="104"/>
      <c r="Q37" s="78"/>
      <c r="R37" s="78"/>
      <c r="S37" s="78"/>
    </row>
    <row r="38" spans="1:19" ht="16.5" thickBot="1" x14ac:dyDescent="0.3">
      <c r="A38" s="38"/>
      <c r="C38" s="37"/>
      <c r="D38" s="37"/>
      <c r="E38" s="37"/>
      <c r="F38" s="105"/>
      <c r="G38" s="105"/>
      <c r="H38" s="37"/>
      <c r="I38" s="37"/>
      <c r="J38" s="37"/>
      <c r="K38" s="37"/>
      <c r="L38" s="105"/>
      <c r="M38" s="37"/>
      <c r="N38" s="37"/>
      <c r="O38" s="37"/>
      <c r="P38" s="105"/>
      <c r="Q38" s="37"/>
      <c r="R38" s="37"/>
      <c r="S38" s="37"/>
    </row>
    <row r="39" spans="1:19" ht="16.5" thickBot="1" x14ac:dyDescent="0.3">
      <c r="A39" s="38"/>
      <c r="B39" s="189" t="str">
        <f>B10</f>
        <v xml:space="preserve">CLIN 1011: CPFF </v>
      </c>
      <c r="C39" s="186" t="s">
        <v>179</v>
      </c>
      <c r="D39" s="187"/>
      <c r="E39" s="188"/>
      <c r="F39" s="106"/>
      <c r="G39" s="106"/>
      <c r="H39" s="149"/>
      <c r="I39" s="186" t="s">
        <v>179</v>
      </c>
      <c r="J39" s="187"/>
      <c r="K39" s="188"/>
      <c r="L39" s="106"/>
      <c r="M39" s="186" t="s">
        <v>179</v>
      </c>
      <c r="N39" s="187"/>
      <c r="O39" s="188"/>
      <c r="P39" s="106"/>
      <c r="Q39" s="186" t="s">
        <v>179</v>
      </c>
      <c r="R39" s="187"/>
      <c r="S39" s="188"/>
    </row>
    <row r="40" spans="1:19" ht="16.5" thickBot="1" x14ac:dyDescent="0.3">
      <c r="A40" s="38"/>
      <c r="B40" s="190"/>
      <c r="C40" s="132" t="str">
        <f>C11</f>
        <v>1011: Support Government Testing - Option Period 1</v>
      </c>
      <c r="D40" s="133"/>
      <c r="E40" s="134"/>
      <c r="F40" s="107"/>
      <c r="G40" s="107"/>
      <c r="H40" s="150"/>
      <c r="I40" s="132" t="str">
        <f>I11</f>
        <v>2013: Support Government Testing - Option Period 2</v>
      </c>
      <c r="J40" s="133"/>
      <c r="K40" s="134"/>
      <c r="L40" s="107"/>
      <c r="M40" s="132" t="str">
        <f>M11</f>
        <v>3012: Support Government Testing - Option Period 3</v>
      </c>
      <c r="N40" s="133"/>
      <c r="O40" s="134"/>
      <c r="P40" s="107"/>
      <c r="Q40" s="132" t="str">
        <f>Q11</f>
        <v>4008: Support Government Testing - Option Period 4</v>
      </c>
      <c r="R40" s="133"/>
      <c r="S40" s="134"/>
    </row>
    <row r="41" spans="1:19" x14ac:dyDescent="0.25">
      <c r="A41" s="38"/>
      <c r="B41" s="79"/>
      <c r="C41" s="56" t="s">
        <v>174</v>
      </c>
      <c r="D41" s="57" t="s">
        <v>172</v>
      </c>
      <c r="E41" s="58" t="s">
        <v>10</v>
      </c>
      <c r="F41" s="101"/>
      <c r="G41" s="101"/>
      <c r="H41" s="79"/>
      <c r="I41" s="56" t="s">
        <v>174</v>
      </c>
      <c r="J41" s="57" t="s">
        <v>172</v>
      </c>
      <c r="K41" s="58" t="s">
        <v>10</v>
      </c>
      <c r="L41" s="101"/>
      <c r="M41" s="56" t="s">
        <v>174</v>
      </c>
      <c r="N41" s="57" t="s">
        <v>172</v>
      </c>
      <c r="O41" s="58" t="s">
        <v>10</v>
      </c>
      <c r="P41" s="101"/>
      <c r="Q41" s="56" t="s">
        <v>174</v>
      </c>
      <c r="R41" s="57" t="s">
        <v>172</v>
      </c>
      <c r="S41" s="58" t="s">
        <v>10</v>
      </c>
    </row>
    <row r="42" spans="1:19" x14ac:dyDescent="0.25">
      <c r="A42" s="38"/>
      <c r="B42" s="80" t="s">
        <v>180</v>
      </c>
      <c r="C42" s="81"/>
      <c r="D42" s="82"/>
      <c r="E42" s="83"/>
      <c r="F42" s="100"/>
      <c r="G42" s="100"/>
      <c r="H42" s="80" t="s">
        <v>180</v>
      </c>
      <c r="I42" s="81"/>
      <c r="J42" s="82"/>
      <c r="K42" s="83"/>
      <c r="L42" s="100"/>
      <c r="M42" s="81"/>
      <c r="N42" s="82"/>
      <c r="O42" s="83"/>
      <c r="P42" s="100"/>
      <c r="Q42" s="81"/>
      <c r="R42" s="82"/>
      <c r="S42" s="83"/>
    </row>
    <row r="43" spans="1:19" x14ac:dyDescent="0.25">
      <c r="A43" s="38"/>
      <c r="B43" s="51" t="s">
        <v>161</v>
      </c>
      <c r="C43" s="69">
        <f>+E42</f>
        <v>0</v>
      </c>
      <c r="D43" s="70">
        <v>0</v>
      </c>
      <c r="E43" s="71">
        <f>+C43*D43</f>
        <v>0</v>
      </c>
      <c r="F43" s="108"/>
      <c r="G43" s="108"/>
      <c r="H43" s="51" t="s">
        <v>161</v>
      </c>
      <c r="I43" s="69">
        <f>+K42</f>
        <v>0</v>
      </c>
      <c r="J43" s="70">
        <v>0</v>
      </c>
      <c r="K43" s="71">
        <f>+I43*J43</f>
        <v>0</v>
      </c>
      <c r="L43" s="108"/>
      <c r="M43" s="69">
        <f>+O42</f>
        <v>0</v>
      </c>
      <c r="N43" s="70">
        <v>0</v>
      </c>
      <c r="O43" s="71">
        <f>+M43*N43</f>
        <v>0</v>
      </c>
      <c r="P43" s="108"/>
      <c r="Q43" s="69">
        <f>+S42</f>
        <v>0</v>
      </c>
      <c r="R43" s="70">
        <v>0</v>
      </c>
      <c r="S43" s="71">
        <f>+Q43*R43</f>
        <v>0</v>
      </c>
    </row>
    <row r="44" spans="1:19" x14ac:dyDescent="0.25">
      <c r="A44" s="38"/>
      <c r="B44" s="51" t="s">
        <v>162</v>
      </c>
      <c r="C44" s="69">
        <f>+C43+E43</f>
        <v>0</v>
      </c>
      <c r="D44" s="70">
        <v>0</v>
      </c>
      <c r="E44" s="71">
        <f>+C44*D44</f>
        <v>0</v>
      </c>
      <c r="F44" s="108"/>
      <c r="G44" s="108"/>
      <c r="H44" s="51" t="s">
        <v>162</v>
      </c>
      <c r="I44" s="69">
        <f>+I43+K43</f>
        <v>0</v>
      </c>
      <c r="J44" s="70">
        <v>0</v>
      </c>
      <c r="K44" s="71">
        <f>+I44*J44</f>
        <v>0</v>
      </c>
      <c r="L44" s="108"/>
      <c r="M44" s="69">
        <f>+M43+O43</f>
        <v>0</v>
      </c>
      <c r="N44" s="70">
        <v>0</v>
      </c>
      <c r="O44" s="71">
        <f>+M44*N44</f>
        <v>0</v>
      </c>
      <c r="P44" s="108"/>
      <c r="Q44" s="69">
        <f>+Q43+S43</f>
        <v>0</v>
      </c>
      <c r="R44" s="70">
        <v>0</v>
      </c>
      <c r="S44" s="71">
        <f>+Q44*R44</f>
        <v>0</v>
      </c>
    </row>
    <row r="45" spans="1:19" x14ac:dyDescent="0.25">
      <c r="A45" s="38"/>
      <c r="B45" s="51" t="s">
        <v>163</v>
      </c>
      <c r="C45" s="69">
        <f>+C43</f>
        <v>0</v>
      </c>
      <c r="D45" s="70">
        <v>0</v>
      </c>
      <c r="E45" s="71">
        <f>+C45*D45</f>
        <v>0</v>
      </c>
      <c r="F45" s="100"/>
      <c r="G45" s="100"/>
      <c r="H45" s="51" t="s">
        <v>163</v>
      </c>
      <c r="I45" s="69">
        <f>+I43</f>
        <v>0</v>
      </c>
      <c r="J45" s="70">
        <v>0</v>
      </c>
      <c r="K45" s="71">
        <f>+I45*J45</f>
        <v>0</v>
      </c>
      <c r="L45" s="100"/>
      <c r="M45" s="69">
        <f>+M43</f>
        <v>0</v>
      </c>
      <c r="N45" s="70">
        <v>0</v>
      </c>
      <c r="O45" s="71">
        <f>+M45*N45</f>
        <v>0</v>
      </c>
      <c r="P45" s="100"/>
      <c r="Q45" s="69">
        <f>+Q43</f>
        <v>0</v>
      </c>
      <c r="R45" s="70">
        <v>0</v>
      </c>
      <c r="S45" s="71">
        <f>+Q45*R45</f>
        <v>0</v>
      </c>
    </row>
    <row r="46" spans="1:19" x14ac:dyDescent="0.25">
      <c r="A46" s="38"/>
      <c r="B46" s="51" t="s">
        <v>164</v>
      </c>
      <c r="C46" s="69">
        <f>+C44+E44</f>
        <v>0</v>
      </c>
      <c r="D46" s="70">
        <v>0</v>
      </c>
      <c r="E46" s="71">
        <f>+C46*D46</f>
        <v>0</v>
      </c>
      <c r="F46" s="100"/>
      <c r="G46" s="100"/>
      <c r="H46" s="51" t="s">
        <v>164</v>
      </c>
      <c r="I46" s="69">
        <f>+I44+K44</f>
        <v>0</v>
      </c>
      <c r="J46" s="70">
        <v>0</v>
      </c>
      <c r="K46" s="71">
        <f>+I46*J46</f>
        <v>0</v>
      </c>
      <c r="L46" s="100"/>
      <c r="M46" s="69">
        <f>+M44+O44</f>
        <v>0</v>
      </c>
      <c r="N46" s="70">
        <v>0</v>
      </c>
      <c r="O46" s="71">
        <f>+M46*N46</f>
        <v>0</v>
      </c>
      <c r="P46" s="100"/>
      <c r="Q46" s="69">
        <f>+Q44+S44</f>
        <v>0</v>
      </c>
      <c r="R46" s="70">
        <v>0</v>
      </c>
      <c r="S46" s="71">
        <f>+Q46*R46</f>
        <v>0</v>
      </c>
    </row>
    <row r="47" spans="1:19" x14ac:dyDescent="0.25">
      <c r="A47" s="38"/>
      <c r="B47" s="51" t="s">
        <v>175</v>
      </c>
      <c r="C47" s="84"/>
      <c r="D47" s="85"/>
      <c r="E47" s="71">
        <f>+ROUND(SUM(E42:E44),0)</f>
        <v>0</v>
      </c>
      <c r="F47" s="100"/>
      <c r="G47" s="100"/>
      <c r="H47" s="51" t="s">
        <v>270</v>
      </c>
      <c r="I47" s="84"/>
      <c r="J47" s="85"/>
      <c r="K47" s="71">
        <f>+ROUND(SUM(K42:K44),0)</f>
        <v>0</v>
      </c>
      <c r="L47" s="100"/>
      <c r="M47" s="84"/>
      <c r="N47" s="85"/>
      <c r="O47" s="71">
        <f>+ROUND(SUM(O42:O44),0)</f>
        <v>0</v>
      </c>
      <c r="P47" s="100"/>
      <c r="Q47" s="84"/>
      <c r="R47" s="85"/>
      <c r="S47" s="71">
        <f>+ROUND(SUM(S42:S44),0)</f>
        <v>0</v>
      </c>
    </row>
    <row r="48" spans="1:19" x14ac:dyDescent="0.25">
      <c r="A48" s="38"/>
      <c r="B48" s="51" t="s">
        <v>176</v>
      </c>
      <c r="C48" s="81"/>
      <c r="D48" s="86"/>
      <c r="E48" s="71">
        <f>+ROUND(E45,0)</f>
        <v>0</v>
      </c>
      <c r="F48" s="100"/>
      <c r="G48" s="100"/>
      <c r="H48" s="51" t="s">
        <v>271</v>
      </c>
      <c r="I48" s="81"/>
      <c r="J48" s="86"/>
      <c r="K48" s="71">
        <f>+ROUND(K45,0)</f>
        <v>0</v>
      </c>
      <c r="L48" s="100"/>
      <c r="M48" s="81"/>
      <c r="N48" s="86"/>
      <c r="O48" s="71">
        <f>+ROUND(O45,0)</f>
        <v>0</v>
      </c>
      <c r="P48" s="100"/>
      <c r="Q48" s="81"/>
      <c r="R48" s="86"/>
      <c r="S48" s="71">
        <f>+ROUND(S45,0)</f>
        <v>0</v>
      </c>
    </row>
    <row r="49" spans="1:19" x14ac:dyDescent="0.25">
      <c r="B49" s="51" t="s">
        <v>177</v>
      </c>
      <c r="C49" s="81"/>
      <c r="D49" s="86"/>
      <c r="E49" s="87">
        <f>+ROUND(E46,0)</f>
        <v>0</v>
      </c>
      <c r="F49" s="109"/>
      <c r="G49" s="109"/>
      <c r="H49" s="51" t="s">
        <v>272</v>
      </c>
      <c r="I49" s="81"/>
      <c r="J49" s="86"/>
      <c r="K49" s="87">
        <f>+ROUND(K46,0)</f>
        <v>0</v>
      </c>
      <c r="L49" s="109"/>
      <c r="M49" s="81"/>
      <c r="N49" s="86"/>
      <c r="O49" s="87">
        <f>+ROUND(O46,0)</f>
        <v>0</v>
      </c>
      <c r="P49" s="109"/>
      <c r="Q49" s="81"/>
      <c r="R49" s="86"/>
      <c r="S49" s="87">
        <f>+ROUND(S46,0)</f>
        <v>0</v>
      </c>
    </row>
    <row r="50" spans="1:19" ht="16.5" thickBot="1" x14ac:dyDescent="0.3">
      <c r="B50" s="52" t="s">
        <v>178</v>
      </c>
      <c r="C50" s="112"/>
      <c r="D50" s="88"/>
      <c r="E50" s="64">
        <f t="shared" ref="E50" si="4">SUM(E47:E49)</f>
        <v>0</v>
      </c>
      <c r="F50" s="99"/>
      <c r="G50" s="99"/>
      <c r="H50" s="52" t="s">
        <v>273</v>
      </c>
      <c r="I50" s="112"/>
      <c r="J50" s="88"/>
      <c r="K50" s="64">
        <f t="shared" ref="K50" si="5">SUM(K47:K49)</f>
        <v>0</v>
      </c>
      <c r="L50" s="99"/>
      <c r="M50" s="112"/>
      <c r="N50" s="88"/>
      <c r="O50" s="64">
        <f t="shared" ref="O50" si="6">SUM(O47:O49)</f>
        <v>0</v>
      </c>
      <c r="P50" s="99"/>
      <c r="Q50" s="112"/>
      <c r="R50" s="88"/>
      <c r="S50" s="64">
        <f t="shared" ref="S50" si="7">SUM(S47:S49)</f>
        <v>0</v>
      </c>
    </row>
    <row r="51" spans="1:19" ht="16.5" thickBot="1" x14ac:dyDescent="0.3">
      <c r="B51" s="41"/>
      <c r="F51" s="110"/>
      <c r="G51" s="110"/>
      <c r="H51" s="41"/>
      <c r="L51" s="110"/>
      <c r="P51" s="110"/>
    </row>
    <row r="52" spans="1:19" ht="16.5" thickBot="1" x14ac:dyDescent="0.3">
      <c r="A52" s="38"/>
      <c r="B52" s="189" t="str">
        <f>B39</f>
        <v xml:space="preserve">CLIN 1011: CPFF </v>
      </c>
      <c r="C52" s="186" t="s">
        <v>181</v>
      </c>
      <c r="D52" s="187"/>
      <c r="E52" s="188"/>
      <c r="F52" s="106"/>
      <c r="G52" s="106"/>
      <c r="H52" s="149"/>
      <c r="I52" s="186" t="s">
        <v>181</v>
      </c>
      <c r="J52" s="187"/>
      <c r="K52" s="188"/>
      <c r="L52" s="106"/>
      <c r="M52" s="186" t="s">
        <v>181</v>
      </c>
      <c r="N52" s="187"/>
      <c r="O52" s="188"/>
      <c r="P52" s="106"/>
      <c r="Q52" s="186" t="s">
        <v>181</v>
      </c>
      <c r="R52" s="187"/>
      <c r="S52" s="188"/>
    </row>
    <row r="53" spans="1:19" ht="16.5" thickBot="1" x14ac:dyDescent="0.3">
      <c r="A53" s="38"/>
      <c r="B53" s="190"/>
      <c r="C53" s="132" t="str">
        <f>C40</f>
        <v>1011: Support Government Testing - Option Period 1</v>
      </c>
      <c r="D53" s="133"/>
      <c r="E53" s="134"/>
      <c r="F53" s="107"/>
      <c r="G53" s="107"/>
      <c r="H53" s="150"/>
      <c r="I53" s="132" t="str">
        <f>I40</f>
        <v>2013: Support Government Testing - Option Period 2</v>
      </c>
      <c r="J53" s="133"/>
      <c r="K53" s="134"/>
      <c r="L53" s="107"/>
      <c r="M53" s="132" t="str">
        <f>M40</f>
        <v>3012: Support Government Testing - Option Period 3</v>
      </c>
      <c r="N53" s="133"/>
      <c r="O53" s="134"/>
      <c r="P53" s="107"/>
      <c r="Q53" s="132" t="str">
        <f>Q40</f>
        <v>4008: Support Government Testing - Option Period 4</v>
      </c>
      <c r="R53" s="133"/>
      <c r="S53" s="134"/>
    </row>
    <row r="54" spans="1:19" x14ac:dyDescent="0.25">
      <c r="A54" s="38"/>
      <c r="B54" s="79"/>
      <c r="C54" s="56" t="s">
        <v>174</v>
      </c>
      <c r="D54" s="57" t="s">
        <v>172</v>
      </c>
      <c r="E54" s="58" t="s">
        <v>10</v>
      </c>
      <c r="F54" s="101"/>
      <c r="G54" s="101"/>
      <c r="H54" s="79"/>
      <c r="I54" s="56" t="s">
        <v>174</v>
      </c>
      <c r="J54" s="57" t="s">
        <v>172</v>
      </c>
      <c r="K54" s="58" t="s">
        <v>10</v>
      </c>
      <c r="L54" s="101"/>
      <c r="M54" s="56" t="s">
        <v>174</v>
      </c>
      <c r="N54" s="57" t="s">
        <v>172</v>
      </c>
      <c r="O54" s="58" t="s">
        <v>10</v>
      </c>
      <c r="P54" s="101"/>
      <c r="Q54" s="56" t="s">
        <v>174</v>
      </c>
      <c r="R54" s="57" t="s">
        <v>172</v>
      </c>
      <c r="S54" s="58" t="s">
        <v>10</v>
      </c>
    </row>
    <row r="55" spans="1:19" x14ac:dyDescent="0.25">
      <c r="A55" s="38"/>
      <c r="B55" s="80" t="s">
        <v>182</v>
      </c>
      <c r="C55" s="81"/>
      <c r="D55" s="82"/>
      <c r="E55" s="83"/>
      <c r="F55" s="100"/>
      <c r="G55" s="100"/>
      <c r="H55" s="80" t="s">
        <v>182</v>
      </c>
      <c r="I55" s="81"/>
      <c r="J55" s="82"/>
      <c r="K55" s="83"/>
      <c r="L55" s="100"/>
      <c r="M55" s="81"/>
      <c r="N55" s="82"/>
      <c r="O55" s="83"/>
      <c r="P55" s="100"/>
      <c r="Q55" s="81"/>
      <c r="R55" s="82"/>
      <c r="S55" s="83"/>
    </row>
    <row r="56" spans="1:19" x14ac:dyDescent="0.25">
      <c r="A56" s="38"/>
      <c r="B56" s="51" t="s">
        <v>161</v>
      </c>
      <c r="C56" s="69">
        <f>+E55</f>
        <v>0</v>
      </c>
      <c r="D56" s="70">
        <v>0</v>
      </c>
      <c r="E56" s="71">
        <f>+C56*D56</f>
        <v>0</v>
      </c>
      <c r="F56" s="108"/>
      <c r="G56" s="108"/>
      <c r="H56" s="51" t="s">
        <v>161</v>
      </c>
      <c r="I56" s="69">
        <f>+K55</f>
        <v>0</v>
      </c>
      <c r="J56" s="70">
        <v>0</v>
      </c>
      <c r="K56" s="71">
        <f>+I56*J56</f>
        <v>0</v>
      </c>
      <c r="L56" s="108"/>
      <c r="M56" s="69">
        <f>+O55</f>
        <v>0</v>
      </c>
      <c r="N56" s="70">
        <v>0</v>
      </c>
      <c r="O56" s="71">
        <f>+M56*N56</f>
        <v>0</v>
      </c>
      <c r="P56" s="108"/>
      <c r="Q56" s="69">
        <f>+S55</f>
        <v>0</v>
      </c>
      <c r="R56" s="70">
        <v>0</v>
      </c>
      <c r="S56" s="71">
        <f>+Q56*R56</f>
        <v>0</v>
      </c>
    </row>
    <row r="57" spans="1:19" x14ac:dyDescent="0.25">
      <c r="A57" s="38"/>
      <c r="B57" s="51" t="s">
        <v>162</v>
      </c>
      <c r="C57" s="69">
        <f>+C56+E56</f>
        <v>0</v>
      </c>
      <c r="D57" s="70">
        <v>0</v>
      </c>
      <c r="E57" s="71">
        <f>+C57*D57</f>
        <v>0</v>
      </c>
      <c r="F57" s="108"/>
      <c r="G57" s="108"/>
      <c r="H57" s="51" t="s">
        <v>162</v>
      </c>
      <c r="I57" s="69">
        <f>+I56+K56</f>
        <v>0</v>
      </c>
      <c r="J57" s="70">
        <v>0</v>
      </c>
      <c r="K57" s="71">
        <f>+I57*J57</f>
        <v>0</v>
      </c>
      <c r="L57" s="108"/>
      <c r="M57" s="69">
        <f>+M56+O56</f>
        <v>0</v>
      </c>
      <c r="N57" s="70">
        <v>0</v>
      </c>
      <c r="O57" s="71">
        <f>+M57*N57</f>
        <v>0</v>
      </c>
      <c r="P57" s="108"/>
      <c r="Q57" s="69">
        <f>+Q56+S56</f>
        <v>0</v>
      </c>
      <c r="R57" s="70">
        <v>0</v>
      </c>
      <c r="S57" s="71">
        <f>+Q57*R57</f>
        <v>0</v>
      </c>
    </row>
    <row r="58" spans="1:19" x14ac:dyDescent="0.25">
      <c r="A58" s="38"/>
      <c r="B58" s="51" t="s">
        <v>163</v>
      </c>
      <c r="C58" s="69">
        <f>+C56</f>
        <v>0</v>
      </c>
      <c r="D58" s="70">
        <v>0</v>
      </c>
      <c r="E58" s="71">
        <f>+C58*D58</f>
        <v>0</v>
      </c>
      <c r="F58" s="100"/>
      <c r="G58" s="100"/>
      <c r="H58" s="51" t="s">
        <v>163</v>
      </c>
      <c r="I58" s="69">
        <f>+I56</f>
        <v>0</v>
      </c>
      <c r="J58" s="70">
        <v>0</v>
      </c>
      <c r="K58" s="71">
        <f>+I58*J58</f>
        <v>0</v>
      </c>
      <c r="L58" s="100"/>
      <c r="M58" s="69">
        <f>+M56</f>
        <v>0</v>
      </c>
      <c r="N58" s="70">
        <v>0</v>
      </c>
      <c r="O58" s="71">
        <f>+M58*N58</f>
        <v>0</v>
      </c>
      <c r="P58" s="100"/>
      <c r="Q58" s="69">
        <f>+Q56</f>
        <v>0</v>
      </c>
      <c r="R58" s="70">
        <v>0</v>
      </c>
      <c r="S58" s="71">
        <f>+Q58*R58</f>
        <v>0</v>
      </c>
    </row>
    <row r="59" spans="1:19" x14ac:dyDescent="0.25">
      <c r="A59" s="38"/>
      <c r="B59" s="51" t="s">
        <v>164</v>
      </c>
      <c r="C59" s="69">
        <f>+C57+E57</f>
        <v>0</v>
      </c>
      <c r="D59" s="70">
        <v>0</v>
      </c>
      <c r="E59" s="71">
        <f>+C59*D59</f>
        <v>0</v>
      </c>
      <c r="F59" s="100"/>
      <c r="G59" s="100"/>
      <c r="H59" s="51" t="s">
        <v>164</v>
      </c>
      <c r="I59" s="69">
        <f>+I57+K57</f>
        <v>0</v>
      </c>
      <c r="J59" s="70">
        <v>0</v>
      </c>
      <c r="K59" s="71">
        <f>+I59*J59</f>
        <v>0</v>
      </c>
      <c r="L59" s="100"/>
      <c r="M59" s="69">
        <f>+M57+O57</f>
        <v>0</v>
      </c>
      <c r="N59" s="70">
        <v>0</v>
      </c>
      <c r="O59" s="71">
        <f>+M59*N59</f>
        <v>0</v>
      </c>
      <c r="P59" s="100"/>
      <c r="Q59" s="69">
        <f>+Q57+S57</f>
        <v>0</v>
      </c>
      <c r="R59" s="70">
        <v>0</v>
      </c>
      <c r="S59" s="71">
        <f>+Q59*R59</f>
        <v>0</v>
      </c>
    </row>
    <row r="60" spans="1:19" x14ac:dyDescent="0.25">
      <c r="A60" s="38"/>
      <c r="B60" s="51" t="s">
        <v>175</v>
      </c>
      <c r="C60" s="84"/>
      <c r="D60" s="85"/>
      <c r="E60" s="71">
        <f>+ROUND(SUM(E55:E57),0)</f>
        <v>0</v>
      </c>
      <c r="F60" s="100"/>
      <c r="G60" s="100"/>
      <c r="H60" s="51" t="s">
        <v>270</v>
      </c>
      <c r="I60" s="84"/>
      <c r="J60" s="85"/>
      <c r="K60" s="71">
        <f>+ROUND(SUM(K55:K57),0)</f>
        <v>0</v>
      </c>
      <c r="L60" s="100"/>
      <c r="M60" s="84"/>
      <c r="N60" s="85"/>
      <c r="O60" s="71">
        <f>+ROUND(SUM(O55:O57),0)</f>
        <v>0</v>
      </c>
      <c r="P60" s="100"/>
      <c r="Q60" s="84"/>
      <c r="R60" s="85"/>
      <c r="S60" s="71">
        <f>+ROUND(SUM(S55:S57),0)</f>
        <v>0</v>
      </c>
    </row>
    <row r="61" spans="1:19" x14ac:dyDescent="0.25">
      <c r="A61" s="38"/>
      <c r="B61" s="51" t="s">
        <v>176</v>
      </c>
      <c r="C61" s="81"/>
      <c r="D61" s="86"/>
      <c r="E61" s="71">
        <f>+ROUND(E58,0)</f>
        <v>0</v>
      </c>
      <c r="F61" s="100"/>
      <c r="G61" s="100"/>
      <c r="H61" s="51" t="s">
        <v>271</v>
      </c>
      <c r="I61" s="81"/>
      <c r="J61" s="86"/>
      <c r="K61" s="71">
        <f>+ROUND(K58,0)</f>
        <v>0</v>
      </c>
      <c r="L61" s="100"/>
      <c r="M61" s="81"/>
      <c r="N61" s="86"/>
      <c r="O61" s="71">
        <f>+ROUND(O58,0)</f>
        <v>0</v>
      </c>
      <c r="P61" s="100"/>
      <c r="Q61" s="81"/>
      <c r="R61" s="86"/>
      <c r="S61" s="71">
        <f>+ROUND(S58,0)</f>
        <v>0</v>
      </c>
    </row>
    <row r="62" spans="1:19" x14ac:dyDescent="0.25">
      <c r="B62" s="51" t="s">
        <v>177</v>
      </c>
      <c r="C62" s="81"/>
      <c r="D62" s="86"/>
      <c r="E62" s="87">
        <f>+ROUND(E59,0)</f>
        <v>0</v>
      </c>
      <c r="F62" s="109"/>
      <c r="G62" s="109"/>
      <c r="H62" s="51" t="s">
        <v>272</v>
      </c>
      <c r="I62" s="81"/>
      <c r="J62" s="86"/>
      <c r="K62" s="87">
        <f>+ROUND(K59,0)</f>
        <v>0</v>
      </c>
      <c r="L62" s="109"/>
      <c r="M62" s="81"/>
      <c r="N62" s="86"/>
      <c r="O62" s="87">
        <f>+ROUND(O59,0)</f>
        <v>0</v>
      </c>
      <c r="P62" s="109"/>
      <c r="Q62" s="81"/>
      <c r="R62" s="86"/>
      <c r="S62" s="87">
        <f>+ROUND(S59,0)</f>
        <v>0</v>
      </c>
    </row>
    <row r="63" spans="1:19" ht="16.5" thickBot="1" x14ac:dyDescent="0.3">
      <c r="B63" s="52" t="s">
        <v>178</v>
      </c>
      <c r="C63" s="112"/>
      <c r="D63" s="88"/>
      <c r="E63" s="64">
        <f t="shared" ref="E63" si="8">SUM(E60:E62)</f>
        <v>0</v>
      </c>
      <c r="F63" s="99"/>
      <c r="G63" s="99"/>
      <c r="H63" s="52" t="s">
        <v>273</v>
      </c>
      <c r="I63" s="112"/>
      <c r="J63" s="88"/>
      <c r="K63" s="64">
        <f t="shared" ref="K63" si="9">SUM(K60:K62)</f>
        <v>0</v>
      </c>
      <c r="L63" s="99"/>
      <c r="M63" s="112"/>
      <c r="N63" s="88"/>
      <c r="O63" s="64">
        <f t="shared" ref="O63" si="10">SUM(O60:O62)</f>
        <v>0</v>
      </c>
      <c r="P63" s="99"/>
      <c r="Q63" s="112"/>
      <c r="R63" s="88"/>
      <c r="S63" s="64">
        <f t="shared" ref="S63" si="11">SUM(S60:S62)</f>
        <v>0</v>
      </c>
    </row>
    <row r="64" spans="1:19" x14ac:dyDescent="0.25">
      <c r="B64" s="41"/>
      <c r="F64" s="110"/>
      <c r="G64" s="110"/>
      <c r="H64" s="41"/>
      <c r="L64" s="110"/>
      <c r="P64" s="110"/>
    </row>
    <row r="65" spans="2:19" ht="16.5" thickBot="1" x14ac:dyDescent="0.3">
      <c r="F65" s="110"/>
      <c r="G65" s="110"/>
      <c r="H65" s="37"/>
      <c r="L65" s="110"/>
      <c r="P65" s="110"/>
    </row>
    <row r="66" spans="2:19" ht="16.5" thickBot="1" x14ac:dyDescent="0.3">
      <c r="B66" s="189" t="str">
        <f>B52</f>
        <v xml:space="preserve">CLIN 1011: CPFF </v>
      </c>
      <c r="C66" s="186" t="s">
        <v>183</v>
      </c>
      <c r="D66" s="187"/>
      <c r="E66" s="188"/>
      <c r="F66" s="106"/>
      <c r="G66" s="106"/>
      <c r="H66" s="149"/>
      <c r="I66" s="186" t="s">
        <v>183</v>
      </c>
      <c r="J66" s="187"/>
      <c r="K66" s="188"/>
      <c r="L66" s="106"/>
      <c r="M66" s="186" t="s">
        <v>183</v>
      </c>
      <c r="N66" s="187"/>
      <c r="O66" s="188"/>
      <c r="P66" s="106"/>
      <c r="Q66" s="186" t="s">
        <v>183</v>
      </c>
      <c r="R66" s="187"/>
      <c r="S66" s="188"/>
    </row>
    <row r="67" spans="2:19" ht="16.5" thickBot="1" x14ac:dyDescent="0.3">
      <c r="B67" s="190"/>
      <c r="C67" s="89"/>
      <c r="D67" s="55"/>
      <c r="E67" s="90" t="s">
        <v>339</v>
      </c>
      <c r="F67" s="111"/>
      <c r="G67" s="111"/>
      <c r="H67" s="150"/>
      <c r="I67" s="89"/>
      <c r="J67" s="55"/>
      <c r="K67" s="90" t="s">
        <v>344</v>
      </c>
      <c r="L67" s="111"/>
      <c r="M67" s="89"/>
      <c r="N67" s="55"/>
      <c r="O67" s="90" t="s">
        <v>345</v>
      </c>
      <c r="P67" s="111"/>
      <c r="Q67" s="89"/>
      <c r="R67" s="55"/>
      <c r="S67" s="90" t="s">
        <v>346</v>
      </c>
    </row>
    <row r="68" spans="2:19" x14ac:dyDescent="0.25">
      <c r="B68" s="51" t="s">
        <v>175</v>
      </c>
      <c r="C68" s="91"/>
      <c r="D68" s="91"/>
      <c r="E68" s="92">
        <f>+ROUND(E33+E47+E60,0)</f>
        <v>0</v>
      </c>
      <c r="F68" s="100"/>
      <c r="G68" s="100"/>
      <c r="H68" s="51" t="s">
        <v>270</v>
      </c>
      <c r="I68" s="91"/>
      <c r="J68" s="91"/>
      <c r="K68" s="92">
        <f>+ROUND(K33+K47+K60,0)</f>
        <v>0</v>
      </c>
      <c r="L68" s="100"/>
      <c r="M68" s="91"/>
      <c r="N68" s="91"/>
      <c r="O68" s="92">
        <f>+ROUND(O33+O47+O60,0)</f>
        <v>0</v>
      </c>
      <c r="P68" s="100"/>
      <c r="Q68" s="91"/>
      <c r="R68" s="91"/>
      <c r="S68" s="92">
        <f>+ROUND(S33+S47+S60,0)</f>
        <v>0</v>
      </c>
    </row>
    <row r="69" spans="2:19" x14ac:dyDescent="0.25">
      <c r="B69" s="51" t="s">
        <v>176</v>
      </c>
      <c r="C69" s="91"/>
      <c r="D69" s="91"/>
      <c r="E69" s="71">
        <f>+ROUND(E34+E48+E61,0)</f>
        <v>0</v>
      </c>
      <c r="F69" s="100"/>
      <c r="G69" s="100"/>
      <c r="H69" s="51" t="s">
        <v>271</v>
      </c>
      <c r="I69" s="91"/>
      <c r="J69" s="91"/>
      <c r="K69" s="71">
        <f>+ROUND(K34+K48+K61,0)</f>
        <v>0</v>
      </c>
      <c r="L69" s="100"/>
      <c r="M69" s="91"/>
      <c r="N69" s="91"/>
      <c r="O69" s="71">
        <f>+ROUND(O34+O48+O61,0)</f>
        <v>0</v>
      </c>
      <c r="P69" s="100"/>
      <c r="Q69" s="91"/>
      <c r="R69" s="91"/>
      <c r="S69" s="71">
        <f>+ROUND(S34+S48+S61,0)</f>
        <v>0</v>
      </c>
    </row>
    <row r="70" spans="2:19" x14ac:dyDescent="0.25">
      <c r="B70" s="51" t="s">
        <v>177</v>
      </c>
      <c r="C70" s="91"/>
      <c r="D70" s="91"/>
      <c r="E70" s="74">
        <f>+ROUND(E35+E49+E62,0)</f>
        <v>0</v>
      </c>
      <c r="F70" s="102"/>
      <c r="G70" s="102"/>
      <c r="H70" s="51" t="s">
        <v>272</v>
      </c>
      <c r="I70" s="91"/>
      <c r="J70" s="91"/>
      <c r="K70" s="74">
        <f>+ROUND(K35+K49+K62,0)</f>
        <v>0</v>
      </c>
      <c r="L70" s="102"/>
      <c r="M70" s="91"/>
      <c r="N70" s="91"/>
      <c r="O70" s="74">
        <f>+ROUND(O35+O49+O62,0)</f>
        <v>0</v>
      </c>
      <c r="P70" s="102"/>
      <c r="Q70" s="91"/>
      <c r="R70" s="91"/>
      <c r="S70" s="74">
        <f>+ROUND(S35+S49+S62,0)</f>
        <v>0</v>
      </c>
    </row>
    <row r="71" spans="2:19" ht="16.5" thickBot="1" x14ac:dyDescent="0.3">
      <c r="B71" s="52" t="s">
        <v>178</v>
      </c>
      <c r="C71" s="93"/>
      <c r="D71" s="93"/>
      <c r="E71" s="77">
        <f>SUM(E68:E70)</f>
        <v>0</v>
      </c>
      <c r="F71" s="103"/>
      <c r="G71" s="103"/>
      <c r="H71" s="52" t="s">
        <v>273</v>
      </c>
      <c r="I71" s="93"/>
      <c r="J71" s="93"/>
      <c r="K71" s="77">
        <f>SUM(K68:K70)</f>
        <v>0</v>
      </c>
      <c r="L71" s="103"/>
      <c r="M71" s="93"/>
      <c r="N71" s="93"/>
      <c r="O71" s="77">
        <f>SUM(O68:O70)</f>
        <v>0</v>
      </c>
      <c r="P71" s="103"/>
      <c r="Q71" s="93"/>
      <c r="R71" s="93"/>
      <c r="S71" s="77">
        <f>SUM(S68:S70)</f>
        <v>0</v>
      </c>
    </row>
  </sheetData>
  <mergeCells count="21">
    <mergeCell ref="B66:B67"/>
    <mergeCell ref="C66:E66"/>
    <mergeCell ref="I66:K66"/>
    <mergeCell ref="M66:O66"/>
    <mergeCell ref="Q66:S66"/>
    <mergeCell ref="B39:B40"/>
    <mergeCell ref="C39:E39"/>
    <mergeCell ref="I39:K39"/>
    <mergeCell ref="M39:O39"/>
    <mergeCell ref="Q39:S39"/>
    <mergeCell ref="B52:B53"/>
    <mergeCell ref="C52:E52"/>
    <mergeCell ref="I52:K52"/>
    <mergeCell ref="M52:O52"/>
    <mergeCell ref="Q52:S52"/>
    <mergeCell ref="Q10:S10"/>
    <mergeCell ref="B10:B11"/>
    <mergeCell ref="C10:E10"/>
    <mergeCell ref="H10:H11"/>
    <mergeCell ref="I10:K10"/>
    <mergeCell ref="M10:O10"/>
  </mergeCells>
  <pageMargins left="0.7" right="0.7" top="0.75" bottom="0.75" header="0.3" footer="0.3"/>
  <pageSetup orientation="portrait" horizontalDpi="1200" verticalDpi="12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D74B9-7D63-4628-9128-B75789A42689}">
  <sheetPr>
    <tabColor theme="7" tint="0.79998168889431442"/>
  </sheetPr>
  <dimension ref="A1:G50"/>
  <sheetViews>
    <sheetView workbookViewId="0">
      <selection activeCell="O30" sqref="O30"/>
    </sheetView>
  </sheetViews>
  <sheetFormatPr defaultColWidth="8.7109375" defaultRowHeight="12.75" x14ac:dyDescent="0.2"/>
  <cols>
    <col min="1" max="1" width="2.42578125" style="43" customWidth="1"/>
    <col min="2" max="2" width="45.42578125" style="43" customWidth="1"/>
    <col min="3" max="8" width="14.28515625" style="43" customWidth="1"/>
    <col min="9" max="16384" width="8.7109375" style="43"/>
  </cols>
  <sheetData>
    <row r="1" spans="1:7" s="35" customFormat="1" ht="15.75" x14ac:dyDescent="0.2">
      <c r="A1" s="33"/>
      <c r="B1" s="34" t="s">
        <v>147</v>
      </c>
    </row>
    <row r="2" spans="1:7" s="35" customFormat="1" ht="15.75" x14ac:dyDescent="0.25">
      <c r="A2" s="36"/>
      <c r="B2" s="36" t="s">
        <v>226</v>
      </c>
      <c r="C2" s="36"/>
      <c r="D2" s="36"/>
    </row>
    <row r="3" spans="1:7" s="35" customFormat="1" ht="15.75" x14ac:dyDescent="0.25">
      <c r="A3" s="36"/>
      <c r="B3" s="36" t="s">
        <v>227</v>
      </c>
    </row>
    <row r="4" spans="1:7" s="35" customFormat="1" ht="15.75" x14ac:dyDescent="0.25">
      <c r="A4" s="36"/>
      <c r="B4" s="36" t="s">
        <v>350</v>
      </c>
    </row>
    <row r="5" spans="1:7" s="35" customFormat="1" ht="15.75" x14ac:dyDescent="0.25">
      <c r="A5" s="36"/>
      <c r="B5" s="36" t="s">
        <v>351</v>
      </c>
    </row>
    <row r="6" spans="1:7" s="35" customFormat="1" ht="15.75" x14ac:dyDescent="0.25">
      <c r="A6" s="33"/>
      <c r="B6" s="37"/>
    </row>
    <row r="7" spans="1:7" s="35" customFormat="1" ht="15.75" x14ac:dyDescent="0.25">
      <c r="A7" s="33"/>
      <c r="B7" s="139" t="s">
        <v>228</v>
      </c>
      <c r="C7" s="140"/>
      <c r="D7" s="140"/>
      <c r="E7" s="140"/>
    </row>
    <row r="8" spans="1:7" s="35" customFormat="1" ht="15.75" x14ac:dyDescent="0.25">
      <c r="A8" s="33"/>
      <c r="B8" s="139" t="s">
        <v>229</v>
      </c>
      <c r="C8" s="140"/>
      <c r="D8" s="140"/>
      <c r="E8" s="140"/>
    </row>
    <row r="9" spans="1:7" s="35" customFormat="1" ht="15.75" x14ac:dyDescent="0.25">
      <c r="A9" s="33"/>
      <c r="B9" s="139" t="s">
        <v>230</v>
      </c>
      <c r="C9" s="140"/>
      <c r="D9" s="140"/>
      <c r="E9" s="140"/>
    </row>
    <row r="10" spans="1:7" s="35" customFormat="1" ht="16.5" thickBot="1" x14ac:dyDescent="0.3">
      <c r="A10" s="33"/>
      <c r="B10" s="37"/>
    </row>
    <row r="11" spans="1:7" s="35" customFormat="1" ht="16.5" thickBot="1" x14ac:dyDescent="0.3">
      <c r="A11" s="33"/>
      <c r="B11" s="189"/>
      <c r="C11" s="186" t="s">
        <v>151</v>
      </c>
      <c r="D11" s="187"/>
      <c r="E11" s="187"/>
      <c r="F11" s="187"/>
      <c r="G11" s="188"/>
    </row>
    <row r="12" spans="1:7" ht="16.5" thickBot="1" x14ac:dyDescent="0.25">
      <c r="B12" s="190"/>
      <c r="C12" s="44" t="s">
        <v>152</v>
      </c>
      <c r="D12" s="44" t="s">
        <v>153</v>
      </c>
      <c r="E12" s="44" t="s">
        <v>154</v>
      </c>
      <c r="F12" s="44" t="s">
        <v>155</v>
      </c>
      <c r="G12" s="44" t="s">
        <v>156</v>
      </c>
    </row>
    <row r="13" spans="1:7" ht="15.75" x14ac:dyDescent="0.2">
      <c r="B13" s="45" t="s">
        <v>157</v>
      </c>
      <c r="C13" s="46" t="s">
        <v>158</v>
      </c>
      <c r="D13" s="46" t="s">
        <v>158</v>
      </c>
      <c r="E13" s="46" t="s">
        <v>158</v>
      </c>
      <c r="F13" s="46" t="s">
        <v>158</v>
      </c>
      <c r="G13" s="46" t="s">
        <v>158</v>
      </c>
    </row>
    <row r="14" spans="1:7" ht="13.5" x14ac:dyDescent="0.2">
      <c r="B14" s="127" t="s">
        <v>184</v>
      </c>
      <c r="C14" s="47">
        <v>0</v>
      </c>
      <c r="D14" s="47">
        <v>0</v>
      </c>
      <c r="E14" s="47">
        <v>0</v>
      </c>
      <c r="F14" s="47">
        <v>0</v>
      </c>
      <c r="G14" s="47">
        <v>0</v>
      </c>
    </row>
    <row r="15" spans="1:7" ht="13.5" x14ac:dyDescent="0.2">
      <c r="B15" s="127" t="s">
        <v>185</v>
      </c>
      <c r="C15" s="47">
        <v>0</v>
      </c>
      <c r="D15" s="47">
        <v>0</v>
      </c>
      <c r="E15" s="47">
        <v>0</v>
      </c>
      <c r="F15" s="47">
        <v>0</v>
      </c>
      <c r="G15" s="47">
        <v>0</v>
      </c>
    </row>
    <row r="16" spans="1:7" ht="13.5" x14ac:dyDescent="0.2">
      <c r="B16" s="127" t="s">
        <v>186</v>
      </c>
      <c r="C16" s="47">
        <v>0</v>
      </c>
      <c r="D16" s="47">
        <v>0</v>
      </c>
      <c r="E16" s="47">
        <v>0</v>
      </c>
      <c r="F16" s="47">
        <v>0</v>
      </c>
      <c r="G16" s="47">
        <v>0</v>
      </c>
    </row>
    <row r="17" spans="2:7" ht="13.5" x14ac:dyDescent="0.2">
      <c r="B17" s="127" t="s">
        <v>187</v>
      </c>
      <c r="C17" s="47">
        <v>0</v>
      </c>
      <c r="D17" s="47">
        <v>0</v>
      </c>
      <c r="E17" s="47">
        <v>0</v>
      </c>
      <c r="F17" s="47">
        <v>0</v>
      </c>
      <c r="G17" s="47">
        <v>0</v>
      </c>
    </row>
    <row r="18" spans="2:7" ht="13.5" x14ac:dyDescent="0.2">
      <c r="B18" s="127" t="s">
        <v>188</v>
      </c>
      <c r="C18" s="47">
        <v>0</v>
      </c>
      <c r="D18" s="47">
        <v>0</v>
      </c>
      <c r="E18" s="47">
        <v>0</v>
      </c>
      <c r="F18" s="47">
        <v>0</v>
      </c>
      <c r="G18" s="47">
        <v>0</v>
      </c>
    </row>
    <row r="19" spans="2:7" ht="13.5" x14ac:dyDescent="0.2">
      <c r="B19" s="127" t="s">
        <v>189</v>
      </c>
      <c r="C19" s="47">
        <v>0</v>
      </c>
      <c r="D19" s="47">
        <v>0</v>
      </c>
      <c r="E19" s="47">
        <v>0</v>
      </c>
      <c r="F19" s="47">
        <v>0</v>
      </c>
      <c r="G19" s="47">
        <v>0</v>
      </c>
    </row>
    <row r="20" spans="2:7" ht="13.5" x14ac:dyDescent="0.2">
      <c r="B20" s="127" t="s">
        <v>190</v>
      </c>
      <c r="C20" s="47">
        <v>0</v>
      </c>
      <c r="D20" s="47">
        <v>0</v>
      </c>
      <c r="E20" s="47">
        <v>0</v>
      </c>
      <c r="F20" s="47">
        <v>0</v>
      </c>
      <c r="G20" s="47">
        <v>0</v>
      </c>
    </row>
    <row r="21" spans="2:7" ht="13.5" x14ac:dyDescent="0.2">
      <c r="B21" s="127" t="s">
        <v>191</v>
      </c>
      <c r="C21" s="47">
        <v>0</v>
      </c>
      <c r="D21" s="47">
        <v>0</v>
      </c>
      <c r="E21" s="47">
        <v>0</v>
      </c>
      <c r="F21" s="47">
        <v>0</v>
      </c>
      <c r="G21" s="47">
        <v>0</v>
      </c>
    </row>
    <row r="22" spans="2:7" ht="13.5" x14ac:dyDescent="0.2">
      <c r="B22" s="127" t="s">
        <v>192</v>
      </c>
      <c r="C22" s="47">
        <v>0</v>
      </c>
      <c r="D22" s="47">
        <v>0</v>
      </c>
      <c r="E22" s="47">
        <v>0</v>
      </c>
      <c r="F22" s="47">
        <v>0</v>
      </c>
      <c r="G22" s="47">
        <v>0</v>
      </c>
    </row>
    <row r="23" spans="2:7" ht="13.5" x14ac:dyDescent="0.2">
      <c r="B23" s="127" t="s">
        <v>193</v>
      </c>
      <c r="C23" s="47">
        <v>0</v>
      </c>
      <c r="D23" s="47">
        <v>0</v>
      </c>
      <c r="E23" s="47">
        <v>0</v>
      </c>
      <c r="F23" s="47">
        <v>0</v>
      </c>
      <c r="G23" s="47">
        <v>0</v>
      </c>
    </row>
    <row r="24" spans="2:7" ht="13.5" x14ac:dyDescent="0.2">
      <c r="B24" s="127" t="s">
        <v>194</v>
      </c>
      <c r="C24" s="47">
        <v>0</v>
      </c>
      <c r="D24" s="47">
        <v>0</v>
      </c>
      <c r="E24" s="47">
        <v>0</v>
      </c>
      <c r="F24" s="47">
        <v>0</v>
      </c>
      <c r="G24" s="47">
        <v>0</v>
      </c>
    </row>
    <row r="25" spans="2:7" ht="13.5" x14ac:dyDescent="0.2">
      <c r="B25" s="127" t="s">
        <v>195</v>
      </c>
      <c r="C25" s="47">
        <v>0</v>
      </c>
      <c r="D25" s="47">
        <v>0</v>
      </c>
      <c r="E25" s="47">
        <v>0</v>
      </c>
      <c r="F25" s="47">
        <v>0</v>
      </c>
      <c r="G25" s="47">
        <v>0</v>
      </c>
    </row>
    <row r="26" spans="2:7" ht="14.25" thickBot="1" x14ac:dyDescent="0.25">
      <c r="B26" s="128" t="s">
        <v>196</v>
      </c>
      <c r="C26" s="48">
        <v>0</v>
      </c>
      <c r="D26" s="48">
        <v>0</v>
      </c>
      <c r="E26" s="48">
        <v>0</v>
      </c>
      <c r="F26" s="48">
        <v>0</v>
      </c>
      <c r="G26" s="48">
        <v>0</v>
      </c>
    </row>
    <row r="28" spans="2:7" ht="13.5" thickBot="1" x14ac:dyDescent="0.25"/>
    <row r="29" spans="2:7" ht="16.5" thickBot="1" x14ac:dyDescent="0.25">
      <c r="B29" s="189"/>
      <c r="C29" s="186" t="s">
        <v>159</v>
      </c>
      <c r="D29" s="187"/>
      <c r="E29" s="187"/>
      <c r="F29" s="187"/>
      <c r="G29" s="188"/>
    </row>
    <row r="30" spans="2:7" ht="16.5" thickBot="1" x14ac:dyDescent="0.25">
      <c r="B30" s="190"/>
      <c r="C30" s="44" t="s">
        <v>152</v>
      </c>
      <c r="D30" s="44" t="s">
        <v>153</v>
      </c>
      <c r="E30" s="44" t="s">
        <v>154</v>
      </c>
      <c r="F30" s="44" t="s">
        <v>155</v>
      </c>
      <c r="G30" s="44" t="s">
        <v>156</v>
      </c>
    </row>
    <row r="31" spans="2:7" ht="13.5" x14ac:dyDescent="0.25">
      <c r="B31" s="49" t="s">
        <v>160</v>
      </c>
      <c r="C31" s="50"/>
      <c r="D31" s="50"/>
      <c r="E31" s="50"/>
      <c r="F31" s="50"/>
      <c r="G31" s="50"/>
    </row>
    <row r="32" spans="2:7" ht="13.5" x14ac:dyDescent="0.25">
      <c r="B32" s="49" t="s">
        <v>161</v>
      </c>
      <c r="C32" s="50"/>
      <c r="D32" s="50"/>
      <c r="E32" s="50"/>
      <c r="F32" s="50"/>
      <c r="G32" s="50"/>
    </row>
    <row r="33" spans="2:7" ht="13.5" x14ac:dyDescent="0.25">
      <c r="B33" s="49" t="s">
        <v>162</v>
      </c>
      <c r="C33" s="50"/>
      <c r="D33" s="50"/>
      <c r="E33" s="50"/>
      <c r="F33" s="50"/>
      <c r="G33" s="50"/>
    </row>
    <row r="34" spans="2:7" ht="13.5" x14ac:dyDescent="0.25">
      <c r="B34" s="51" t="s">
        <v>163</v>
      </c>
      <c r="C34" s="50"/>
      <c r="D34" s="50"/>
      <c r="E34" s="50"/>
      <c r="F34" s="50"/>
      <c r="G34" s="50"/>
    </row>
    <row r="35" spans="2:7" ht="14.25" thickBot="1" x14ac:dyDescent="0.3">
      <c r="B35" s="52" t="s">
        <v>164</v>
      </c>
      <c r="C35" s="53"/>
      <c r="D35" s="53"/>
      <c r="E35" s="53"/>
      <c r="F35" s="53"/>
      <c r="G35" s="53"/>
    </row>
    <row r="37" spans="2:7" ht="13.5" thickBot="1" x14ac:dyDescent="0.25"/>
    <row r="38" spans="2:7" ht="16.5" thickBot="1" x14ac:dyDescent="0.25">
      <c r="B38" s="189"/>
      <c r="C38" s="186" t="s">
        <v>165</v>
      </c>
      <c r="D38" s="187"/>
      <c r="E38" s="187"/>
      <c r="F38" s="187"/>
      <c r="G38" s="188"/>
    </row>
    <row r="39" spans="2:7" ht="16.5" thickBot="1" x14ac:dyDescent="0.25">
      <c r="B39" s="190"/>
      <c r="C39" s="44" t="s">
        <v>152</v>
      </c>
      <c r="D39" s="44" t="s">
        <v>153</v>
      </c>
      <c r="E39" s="44" t="s">
        <v>154</v>
      </c>
      <c r="F39" s="44" t="s">
        <v>155</v>
      </c>
      <c r="G39" s="44" t="s">
        <v>156</v>
      </c>
    </row>
    <row r="40" spans="2:7" ht="13.5" x14ac:dyDescent="0.25">
      <c r="B40" s="49" t="s">
        <v>161</v>
      </c>
      <c r="C40" s="50"/>
      <c r="D40" s="50"/>
      <c r="E40" s="50"/>
      <c r="F40" s="50"/>
      <c r="G40" s="50"/>
    </row>
    <row r="41" spans="2:7" ht="13.5" x14ac:dyDescent="0.25">
      <c r="B41" s="49" t="s">
        <v>162</v>
      </c>
      <c r="C41" s="50"/>
      <c r="D41" s="50"/>
      <c r="E41" s="50"/>
      <c r="F41" s="50"/>
      <c r="G41" s="50"/>
    </row>
    <row r="42" spans="2:7" ht="13.5" x14ac:dyDescent="0.25">
      <c r="B42" s="49" t="s">
        <v>163</v>
      </c>
      <c r="C42" s="50"/>
      <c r="D42" s="50"/>
      <c r="E42" s="50"/>
      <c r="F42" s="50"/>
      <c r="G42" s="50"/>
    </row>
    <row r="43" spans="2:7" ht="14.25" thickBot="1" x14ac:dyDescent="0.3">
      <c r="B43" s="52" t="s">
        <v>164</v>
      </c>
      <c r="C43" s="53"/>
      <c r="D43" s="53"/>
      <c r="E43" s="53"/>
      <c r="F43" s="53"/>
      <c r="G43" s="53"/>
    </row>
    <row r="45" spans="2:7" ht="13.5" thickBot="1" x14ac:dyDescent="0.25"/>
    <row r="46" spans="2:7" ht="16.5" thickBot="1" x14ac:dyDescent="0.25">
      <c r="B46" s="189"/>
      <c r="C46" s="186" t="s">
        <v>166</v>
      </c>
      <c r="D46" s="187"/>
      <c r="E46" s="187"/>
      <c r="F46" s="187"/>
      <c r="G46" s="188"/>
    </row>
    <row r="47" spans="2:7" ht="16.5" thickBot="1" x14ac:dyDescent="0.25">
      <c r="B47" s="190"/>
      <c r="C47" s="44" t="s">
        <v>152</v>
      </c>
      <c r="D47" s="44" t="s">
        <v>153</v>
      </c>
      <c r="E47" s="44" t="s">
        <v>154</v>
      </c>
      <c r="F47" s="44" t="s">
        <v>155</v>
      </c>
      <c r="G47" s="44" t="s">
        <v>156</v>
      </c>
    </row>
    <row r="48" spans="2:7" ht="13.5" x14ac:dyDescent="0.25">
      <c r="B48" s="49" t="s">
        <v>161</v>
      </c>
      <c r="C48" s="50"/>
      <c r="D48" s="50"/>
      <c r="E48" s="50"/>
      <c r="F48" s="50"/>
      <c r="G48" s="50"/>
    </row>
    <row r="49" spans="2:7" ht="13.5" x14ac:dyDescent="0.25">
      <c r="B49" s="49" t="s">
        <v>162</v>
      </c>
      <c r="C49" s="50"/>
      <c r="D49" s="50"/>
      <c r="E49" s="50"/>
      <c r="F49" s="50"/>
      <c r="G49" s="50"/>
    </row>
    <row r="50" spans="2:7" ht="14.25" thickBot="1" x14ac:dyDescent="0.3">
      <c r="B50" s="54" t="s">
        <v>163</v>
      </c>
      <c r="C50" s="53"/>
      <c r="D50" s="53"/>
      <c r="E50" s="53"/>
      <c r="F50" s="53"/>
      <c r="G50" s="53"/>
    </row>
  </sheetData>
  <mergeCells count="8">
    <mergeCell ref="B46:B47"/>
    <mergeCell ref="C46:G46"/>
    <mergeCell ref="B11:B12"/>
    <mergeCell ref="C11:G11"/>
    <mergeCell ref="B29:B30"/>
    <mergeCell ref="C29:G29"/>
    <mergeCell ref="B38:B39"/>
    <mergeCell ref="C38:G38"/>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DB8D0-7A99-4E20-819F-904BEE403DC2}">
  <sheetPr>
    <tabColor theme="7" tint="0.79998168889431442"/>
  </sheetPr>
  <dimension ref="A1:E27"/>
  <sheetViews>
    <sheetView workbookViewId="0">
      <selection activeCell="C30" sqref="C30"/>
    </sheetView>
  </sheetViews>
  <sheetFormatPr defaultColWidth="8.7109375" defaultRowHeight="12.75" x14ac:dyDescent="0.2"/>
  <cols>
    <col min="1" max="1" width="2.42578125" style="43" customWidth="1"/>
    <col min="2" max="2" width="49.7109375" style="43" customWidth="1"/>
    <col min="3" max="3" width="104.7109375" style="43" customWidth="1"/>
    <col min="4" max="4" width="42" style="43" customWidth="1"/>
    <col min="5" max="5" width="56.140625" style="43" customWidth="1"/>
    <col min="6" max="16384" width="8.7109375" style="43"/>
  </cols>
  <sheetData>
    <row r="1" spans="1:5" s="35" customFormat="1" ht="15.75" x14ac:dyDescent="0.2">
      <c r="A1" s="33"/>
      <c r="B1" s="34" t="s">
        <v>147</v>
      </c>
    </row>
    <row r="2" spans="1:5" s="35" customFormat="1" ht="15.75" x14ac:dyDescent="0.25">
      <c r="A2" s="36"/>
      <c r="B2" s="36" t="s">
        <v>241</v>
      </c>
      <c r="C2" s="36"/>
    </row>
    <row r="3" spans="1:5" s="35" customFormat="1" ht="15.75" x14ac:dyDescent="0.25">
      <c r="A3" s="36"/>
      <c r="B3" s="36" t="s">
        <v>242</v>
      </c>
    </row>
    <row r="4" spans="1:5" s="35" customFormat="1" ht="15.75" x14ac:dyDescent="0.25">
      <c r="A4" s="36"/>
      <c r="B4" s="36" t="s">
        <v>243</v>
      </c>
    </row>
    <row r="5" spans="1:5" s="35" customFormat="1" ht="15.75" x14ac:dyDescent="0.25">
      <c r="A5" s="36"/>
      <c r="B5" s="36" t="s">
        <v>352</v>
      </c>
    </row>
    <row r="6" spans="1:5" s="35" customFormat="1" ht="15.75" x14ac:dyDescent="0.25">
      <c r="A6" s="33"/>
      <c r="B6" s="154" t="s">
        <v>354</v>
      </c>
    </row>
    <row r="7" spans="1:5" s="35" customFormat="1" ht="15.75" x14ac:dyDescent="0.25">
      <c r="A7" s="33"/>
      <c r="B7" s="37"/>
    </row>
    <row r="8" spans="1:5" s="35" customFormat="1" ht="15.75" x14ac:dyDescent="0.25">
      <c r="A8" s="33"/>
      <c r="B8" s="139" t="s">
        <v>228</v>
      </c>
      <c r="C8" s="140"/>
      <c r="D8" s="94"/>
      <c r="E8" s="94"/>
    </row>
    <row r="9" spans="1:5" s="35" customFormat="1" ht="15.75" x14ac:dyDescent="0.25">
      <c r="A9" s="33"/>
      <c r="B9" s="139" t="s">
        <v>229</v>
      </c>
      <c r="C9" s="140"/>
      <c r="D9" s="94"/>
      <c r="E9" s="94"/>
    </row>
    <row r="10" spans="1:5" s="35" customFormat="1" ht="15.75" x14ac:dyDescent="0.25">
      <c r="A10" s="33"/>
      <c r="B10" s="139" t="s">
        <v>230</v>
      </c>
      <c r="C10" s="140"/>
      <c r="D10" s="94"/>
      <c r="E10" s="94"/>
    </row>
    <row r="11" spans="1:5" s="35" customFormat="1" ht="16.5" thickBot="1" x14ac:dyDescent="0.3">
      <c r="A11" s="33"/>
      <c r="B11" s="37"/>
      <c r="C11" s="141"/>
    </row>
    <row r="12" spans="1:5" s="35" customFormat="1" ht="15.75" x14ac:dyDescent="0.25">
      <c r="A12" s="33"/>
      <c r="B12" s="189"/>
      <c r="C12" s="189" t="s">
        <v>235</v>
      </c>
      <c r="D12" s="191" t="s">
        <v>237</v>
      </c>
      <c r="E12" s="191" t="s">
        <v>236</v>
      </c>
    </row>
    <row r="13" spans="1:5" ht="13.5" thickBot="1" x14ac:dyDescent="0.25">
      <c r="B13" s="190"/>
      <c r="C13" s="190"/>
      <c r="D13" s="192"/>
      <c r="E13" s="192"/>
    </row>
    <row r="14" spans="1:5" ht="16.5" thickBot="1" x14ac:dyDescent="0.3">
      <c r="B14" s="45" t="s">
        <v>157</v>
      </c>
      <c r="C14" s="142" t="s">
        <v>7</v>
      </c>
    </row>
    <row r="15" spans="1:5" ht="94.5" x14ac:dyDescent="0.2">
      <c r="B15" s="127" t="s">
        <v>184</v>
      </c>
      <c r="C15" s="145"/>
      <c r="D15" s="144" t="s">
        <v>238</v>
      </c>
      <c r="E15" s="143" t="s">
        <v>239</v>
      </c>
    </row>
    <row r="16" spans="1:5" ht="13.5" x14ac:dyDescent="0.2">
      <c r="B16" s="127" t="s">
        <v>185</v>
      </c>
      <c r="C16" s="146"/>
    </row>
    <row r="17" spans="2:3" ht="13.5" x14ac:dyDescent="0.2">
      <c r="B17" s="127" t="s">
        <v>186</v>
      </c>
      <c r="C17" s="145"/>
    </row>
    <row r="18" spans="2:3" ht="13.5" x14ac:dyDescent="0.2">
      <c r="B18" s="127" t="s">
        <v>187</v>
      </c>
      <c r="C18" s="146"/>
    </row>
    <row r="19" spans="2:3" ht="13.5" x14ac:dyDescent="0.2">
      <c r="B19" s="127" t="s">
        <v>188</v>
      </c>
      <c r="C19" s="146"/>
    </row>
    <row r="20" spans="2:3" ht="13.5" x14ac:dyDescent="0.2">
      <c r="B20" s="127" t="s">
        <v>189</v>
      </c>
      <c r="C20" s="146"/>
    </row>
    <row r="21" spans="2:3" ht="13.5" x14ac:dyDescent="0.2">
      <c r="B21" s="127" t="s">
        <v>190</v>
      </c>
      <c r="C21" s="145"/>
    </row>
    <row r="22" spans="2:3" ht="13.5" x14ac:dyDescent="0.2">
      <c r="B22" s="127" t="s">
        <v>191</v>
      </c>
      <c r="C22" s="146"/>
    </row>
    <row r="23" spans="2:3" ht="13.5" x14ac:dyDescent="0.2">
      <c r="B23" s="127" t="s">
        <v>192</v>
      </c>
      <c r="C23" s="146"/>
    </row>
    <row r="24" spans="2:3" ht="13.5" x14ac:dyDescent="0.2">
      <c r="B24" s="127" t="s">
        <v>193</v>
      </c>
      <c r="C24" s="146"/>
    </row>
    <row r="25" spans="2:3" ht="13.5" x14ac:dyDescent="0.2">
      <c r="B25" s="127" t="s">
        <v>194</v>
      </c>
      <c r="C25" s="147"/>
    </row>
    <row r="26" spans="2:3" ht="13.5" x14ac:dyDescent="0.2">
      <c r="B26" s="127" t="s">
        <v>195</v>
      </c>
      <c r="C26" s="146"/>
    </row>
    <row r="27" spans="2:3" ht="14.25" thickBot="1" x14ac:dyDescent="0.25">
      <c r="B27" s="128" t="s">
        <v>196</v>
      </c>
      <c r="C27" s="146"/>
    </row>
  </sheetData>
  <mergeCells count="4">
    <mergeCell ref="B12:B13"/>
    <mergeCell ref="C12:C13"/>
    <mergeCell ref="D12:D13"/>
    <mergeCell ref="E12:E13"/>
  </mergeCells>
  <pageMargins left="0.7" right="0.7" top="0.75" bottom="0.75" header="0.3" footer="0.3"/>
</worksheet>
</file>

<file path=docMetadata/LabelInfo.xml><?xml version="1.0" encoding="utf-8"?>
<clbl:labelList xmlns:clbl="http://schemas.microsoft.com/office/2020/mipLabelMetadata">
  <clbl:label id="{8331b18d-2d87-48ef-a35f-ac8818ebf9b4}" enabled="0" method="" siteId="{8331b18d-2d87-48ef-a35f-ac8818ebf9b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Cost Format C_CLIN Summary</vt:lpstr>
      <vt:lpstr>FFP CLINs</vt:lpstr>
      <vt:lpstr>Cost Format A_CLIN X001</vt:lpstr>
      <vt:lpstr>Cost Format A_CLIN X002</vt:lpstr>
      <vt:lpstr>Cost Format A_CLIN X003</vt:lpstr>
      <vt:lpstr>Cost Format A_CLIN X004</vt:lpstr>
      <vt:lpstr>Cost Format A_CLIN X005</vt:lpstr>
      <vt:lpstr>Cost Format A_CLIN X006</vt:lpstr>
      <vt:lpstr>Cost Format A_Travel CLINs</vt:lpstr>
      <vt:lpstr>Cost Format A_CLIN 1014</vt:lpstr>
      <vt:lpstr>Cost Format A_Gov Testing CLINs</vt:lpstr>
      <vt:lpstr>Cost Format B_PRIME Rates</vt:lpstr>
      <vt:lpstr>Cost Format B_PRIME Rate Desc</vt:lpstr>
      <vt:lpstr>Cost Format D_CLIN X001 SUB</vt:lpstr>
      <vt:lpstr>Cost Format D_CLIN X002 SUB</vt:lpstr>
      <vt:lpstr>Cost Format D_CLIN X003 SUB</vt:lpstr>
      <vt:lpstr>Cost Format D_CLIN X004 SUB</vt:lpstr>
      <vt:lpstr>Cost Format D_CLIN X005 SUB</vt:lpstr>
      <vt:lpstr>Cost Format D_CLIN X006 SUB</vt:lpstr>
      <vt:lpstr>Cost Format D_CLIN 1014 SUB</vt:lpstr>
      <vt:lpstr>Cost Format D_Gov Testing SUB</vt:lpstr>
      <vt:lpstr>Cost Format B_SUB Rates</vt:lpstr>
      <vt:lpstr>Cost Format B_SUB Rate Desc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WADE, DANIELLE B CIV USAF AFMC AFSC/PZCF</dc:creator>
  <cp:lastModifiedBy>WADE, DANIELLE B CIV USAF AFMC AFSC/PZCF</cp:lastModifiedBy>
  <dcterms:created xsi:type="dcterms:W3CDTF">2024-11-05T20:25:32Z</dcterms:created>
  <dcterms:modified xsi:type="dcterms:W3CDTF">2025-01-10T14:10:44Z</dcterms:modified>
</cp:coreProperties>
</file>