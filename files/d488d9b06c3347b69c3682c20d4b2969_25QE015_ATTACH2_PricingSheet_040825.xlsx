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https://dodea.sharepoint.com/sites/ProcurementDivision/Shared Documents/General/Contract Files/Education/FY25/FY25 D/25QE015 College Board/A__PREAWARD/A4__SYN_SOL_SSP/"/>
    </mc:Choice>
  </mc:AlternateContent>
  <xr:revisionPtr revIDLastSave="0" documentId="8_{C2128929-FF1D-431B-8061-3EC5FFE339AF}" xr6:coauthVersionLast="47" xr6:coauthVersionMax="47" xr10:uidLastSave="{00000000-0000-0000-0000-000000000000}"/>
  <bookViews>
    <workbookView xWindow="28680" yWindow="-120" windowWidth="29040" windowHeight="15720" xr2:uid="{8467CCA6-FCDE-49F7-858B-F388DB4A68E4}"/>
  </bookViews>
  <sheets>
    <sheet name="IGCE" sheetId="1" r:id="rId1"/>
  </sheets>
  <definedNames>
    <definedName name="_xlnm.Print_Area" localSheetId="0">IGCE!$B$1:$J$7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6" i="1"/>
  <c r="D13" i="1"/>
  <c r="F31" i="1"/>
  <c r="F30" i="1"/>
  <c r="F29" i="1"/>
  <c r="F28" i="1"/>
  <c r="F27" i="1"/>
  <c r="F33" i="1" l="1"/>
  <c r="F34" i="1"/>
  <c r="C5" i="1" l="1"/>
</calcChain>
</file>

<file path=xl/sharedStrings.xml><?xml version="1.0" encoding="utf-8"?>
<sst xmlns="http://schemas.openxmlformats.org/spreadsheetml/2006/main" count="229" uniqueCount="190">
  <si>
    <t xml:space="preserve">                                                  </t>
  </si>
  <si>
    <t>ATTCH #2 Pricing Sheet</t>
  </si>
  <si>
    <t>Title</t>
  </si>
  <si>
    <t>Nationally Recognized Assessments for Postsecondary Preparation</t>
  </si>
  <si>
    <t>Author</t>
  </si>
  <si>
    <t>Date</t>
  </si>
  <si>
    <t>Grand Total</t>
  </si>
  <si>
    <t>CLINS</t>
  </si>
  <si>
    <t>Category</t>
  </si>
  <si>
    <t>Type</t>
  </si>
  <si>
    <t>Base Year</t>
  </si>
  <si>
    <t xml:space="preserve">OY1 </t>
  </si>
  <si>
    <t>OY2</t>
  </si>
  <si>
    <t>OY3</t>
  </si>
  <si>
    <t>OY4</t>
  </si>
  <si>
    <t>Grand                  Total</t>
  </si>
  <si>
    <t>Units</t>
  </si>
  <si>
    <t>$/Unit</t>
  </si>
  <si>
    <t>Total</t>
  </si>
  <si>
    <t>0001</t>
  </si>
  <si>
    <t>PSAT 8/9- Grade 8</t>
  </si>
  <si>
    <t>Each</t>
  </si>
  <si>
    <t>1001</t>
  </si>
  <si>
    <t>2001</t>
  </si>
  <si>
    <t>3001</t>
  </si>
  <si>
    <t>4001</t>
  </si>
  <si>
    <t>0002</t>
  </si>
  <si>
    <t>PSAT 8/9 - Grade 9</t>
  </si>
  <si>
    <t>1002</t>
  </si>
  <si>
    <t>2002</t>
  </si>
  <si>
    <t>3002</t>
  </si>
  <si>
    <t>4002</t>
  </si>
  <si>
    <t>0003</t>
  </si>
  <si>
    <t>PSAT/NMSQT - Grade 10</t>
  </si>
  <si>
    <t>1003</t>
  </si>
  <si>
    <t>2003</t>
  </si>
  <si>
    <t>3003</t>
  </si>
  <si>
    <t>4003</t>
  </si>
  <si>
    <t>0004</t>
  </si>
  <si>
    <t>PSAT/NMSQT - Grade 11</t>
  </si>
  <si>
    <t>1004</t>
  </si>
  <si>
    <t>2004</t>
  </si>
  <si>
    <t>3004</t>
  </si>
  <si>
    <t>4004</t>
  </si>
  <si>
    <t>0005</t>
  </si>
  <si>
    <t>SAT School Day w/Essay - Grade 11 (Spring)</t>
  </si>
  <si>
    <t>1005</t>
  </si>
  <si>
    <t>2005</t>
  </si>
  <si>
    <t>3005</t>
  </si>
  <si>
    <t>4005</t>
  </si>
  <si>
    <t>0006</t>
  </si>
  <si>
    <t>SAT School Day - Grade 12 (Fall)</t>
  </si>
  <si>
    <t>1006</t>
  </si>
  <si>
    <t>2006</t>
  </si>
  <si>
    <t>3006</t>
  </si>
  <si>
    <t>4006</t>
  </si>
  <si>
    <t>0022</t>
  </si>
  <si>
    <t>SAT School Day Weekend Vouchers</t>
  </si>
  <si>
    <t>1022</t>
  </si>
  <si>
    <t>2022</t>
  </si>
  <si>
    <t>3022</t>
  </si>
  <si>
    <t>4022</t>
  </si>
  <si>
    <t>0007</t>
  </si>
  <si>
    <t>AP® Exams</t>
  </si>
  <si>
    <t>1007</t>
  </si>
  <si>
    <t>2007</t>
  </si>
  <si>
    <t>3007</t>
  </si>
  <si>
    <t>4007</t>
  </si>
  <si>
    <t>0008</t>
  </si>
  <si>
    <t>F/R AP® Exams</t>
  </si>
  <si>
    <t>1008</t>
  </si>
  <si>
    <t>2008</t>
  </si>
  <si>
    <t>3008</t>
  </si>
  <si>
    <t>4008</t>
  </si>
  <si>
    <t>0009</t>
  </si>
  <si>
    <t>AP® Capstone Exams</t>
  </si>
  <si>
    <t>1009</t>
  </si>
  <si>
    <t>2009</t>
  </si>
  <si>
    <t>3009</t>
  </si>
  <si>
    <t>4009</t>
  </si>
  <si>
    <t>0010</t>
  </si>
  <si>
    <t>F/R AP® Capstone Exams</t>
  </si>
  <si>
    <t>1010</t>
  </si>
  <si>
    <t>2010</t>
  </si>
  <si>
    <t>3010</t>
  </si>
  <si>
    <t>4010</t>
  </si>
  <si>
    <t>0011</t>
  </si>
  <si>
    <t>Surcharges and Other Miscellaneous Fees</t>
  </si>
  <si>
    <t>Lot</t>
  </si>
  <si>
    <t>1011</t>
  </si>
  <si>
    <t>2011</t>
  </si>
  <si>
    <t>3011</t>
  </si>
  <si>
    <t>4011</t>
  </si>
  <si>
    <t>0012</t>
  </si>
  <si>
    <t>Technology Services</t>
  </si>
  <si>
    <t>Month</t>
  </si>
  <si>
    <t>1012</t>
  </si>
  <si>
    <t>2012</t>
  </si>
  <si>
    <t>3012</t>
  </si>
  <si>
    <t>4012</t>
  </si>
  <si>
    <t>0013</t>
  </si>
  <si>
    <t>Program Services Support</t>
  </si>
  <si>
    <t>1013</t>
  </si>
  <si>
    <t>2013</t>
  </si>
  <si>
    <t>3013</t>
  </si>
  <si>
    <t>4013</t>
  </si>
  <si>
    <t>0014</t>
  </si>
  <si>
    <t>Dedicated Resources Site</t>
  </si>
  <si>
    <t>1014</t>
  </si>
  <si>
    <t>2014</t>
  </si>
  <si>
    <t>3014</t>
  </si>
  <si>
    <t>4014</t>
  </si>
  <si>
    <t>0015</t>
  </si>
  <si>
    <t>Assessment Universal Tools, Accommodations, and Supports</t>
  </si>
  <si>
    <t>1015</t>
  </si>
  <si>
    <t>2015</t>
  </si>
  <si>
    <t>3015</t>
  </si>
  <si>
    <t>4015</t>
  </si>
  <si>
    <t>0016</t>
  </si>
  <si>
    <t>Assessment Administration</t>
  </si>
  <si>
    <t>1016</t>
  </si>
  <si>
    <t>2016</t>
  </si>
  <si>
    <t>3016</t>
  </si>
  <si>
    <t>4016</t>
  </si>
  <si>
    <t>0017</t>
  </si>
  <si>
    <t>Professional Learning (PL) an Related Resources</t>
  </si>
  <si>
    <t>1017</t>
  </si>
  <si>
    <t>2017</t>
  </si>
  <si>
    <t>3017</t>
  </si>
  <si>
    <t>4017</t>
  </si>
  <si>
    <t>0017AA</t>
  </si>
  <si>
    <t>Face-to-Face PL</t>
  </si>
  <si>
    <t>1017AA</t>
  </si>
  <si>
    <t>2017AA</t>
  </si>
  <si>
    <t>3017AA</t>
  </si>
  <si>
    <t>4017AA</t>
  </si>
  <si>
    <t>0017AB</t>
  </si>
  <si>
    <t>Synchronous Webinars</t>
  </si>
  <si>
    <t>1017AB</t>
  </si>
  <si>
    <t>2017AB</t>
  </si>
  <si>
    <t>3017AB</t>
  </si>
  <si>
    <t>4017AB</t>
  </si>
  <si>
    <t>0017AC</t>
  </si>
  <si>
    <t>Asychronous Webinars and Online Resources</t>
  </si>
  <si>
    <t>1017AC</t>
  </si>
  <si>
    <t>2017AC</t>
  </si>
  <si>
    <t>3017AC</t>
  </si>
  <si>
    <t>4017AC</t>
  </si>
  <si>
    <t>0018</t>
  </si>
  <si>
    <t>Scoring and Results Analysis</t>
  </si>
  <si>
    <t>1018</t>
  </si>
  <si>
    <t>2018</t>
  </si>
  <si>
    <t>3018</t>
  </si>
  <si>
    <t>4018</t>
  </si>
  <si>
    <t>0019</t>
  </si>
  <si>
    <t>Reporting Scores</t>
  </si>
  <si>
    <t>1019</t>
  </si>
  <si>
    <t>2019</t>
  </si>
  <si>
    <t>3019</t>
  </si>
  <si>
    <t>4019</t>
  </si>
  <si>
    <t>0020</t>
  </si>
  <si>
    <t>Print Materials and Shipping</t>
  </si>
  <si>
    <t>1020</t>
  </si>
  <si>
    <t>2020</t>
  </si>
  <si>
    <t>3020</t>
  </si>
  <si>
    <t>4020</t>
  </si>
  <si>
    <t>0020AA</t>
  </si>
  <si>
    <t>SAT Suite of Assessments</t>
  </si>
  <si>
    <t>1020AA</t>
  </si>
  <si>
    <t>2020AA</t>
  </si>
  <si>
    <t>3020AA</t>
  </si>
  <si>
    <t>4020AA</t>
  </si>
  <si>
    <t>0020AB</t>
  </si>
  <si>
    <t>AP Exams</t>
  </si>
  <si>
    <t>1020AB</t>
  </si>
  <si>
    <t>2020AB</t>
  </si>
  <si>
    <t>3020AB</t>
  </si>
  <si>
    <t>4020AB</t>
  </si>
  <si>
    <t>0021</t>
  </si>
  <si>
    <t>Shipping</t>
  </si>
  <si>
    <t>1021</t>
  </si>
  <si>
    <t>2021</t>
  </si>
  <si>
    <t>3021</t>
  </si>
  <si>
    <t>4021</t>
  </si>
  <si>
    <t>Base Total</t>
  </si>
  <si>
    <t>OY1 Total</t>
  </si>
  <si>
    <t>OY2 Total</t>
  </si>
  <si>
    <t>OY3 Total</t>
  </si>
  <si>
    <t>OY4 Total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</si>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</sst>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&quot;$&quot;#,##0.00"/>
  </numFmts>
  <fonts count="11">
    <font>
      <sz val="10"/>
      <name val="Arial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vertical="center"/>
    </xf>
    <xf numFmtId="165" fontId="6" fillId="2" borderId="3" xfId="0" applyNumberFormat="1" applyFont="1" applyFill="1" applyBorder="1" applyAlignment="1">
      <alignment vertical="center"/>
    </xf>
    <xf numFmtId="9" fontId="6" fillId="2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vertical="center"/>
    </xf>
    <xf numFmtId="165" fontId="7" fillId="4" borderId="2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9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165" fontId="4" fillId="5" borderId="5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right" vertical="center"/>
    </xf>
    <xf numFmtId="165" fontId="6" fillId="0" borderId="2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3" fillId="4" borderId="11" xfId="0" applyNumberFormat="1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5" fontId="5" fillId="7" borderId="14" xfId="0" applyNumberFormat="1" applyFont="1" applyFill="1" applyBorder="1" applyAlignment="1">
      <alignment horizontal="center" vertical="center"/>
    </xf>
    <xf numFmtId="165" fontId="5" fillId="7" borderId="6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right" vertical="center"/>
    </xf>
    <xf numFmtId="165" fontId="4" fillId="3" borderId="6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12F8-2CD0-4956-836E-5B8C90A09332}">
  <sheetPr>
    <tabColor rgb="FFCCFFCC"/>
  </sheetPr>
  <dimension ref="A1:W42"/>
  <sheetViews>
    <sheetView tabSelected="1" topLeftCell="A4" zoomScale="120" zoomScaleNormal="120" workbookViewId="0">
      <selection activeCell="O17" sqref="O17"/>
    </sheetView>
  </sheetViews>
  <sheetFormatPr defaultColWidth="8.7109375" defaultRowHeight="12.75" customHeight="1"/>
  <cols>
    <col min="1" max="1" width="8.7109375" style="2"/>
    <col min="2" max="2" width="42.140625" style="2" customWidth="1"/>
    <col min="3" max="3" width="6.7109375" style="2" customWidth="1"/>
    <col min="4" max="4" width="7.28515625" style="19" customWidth="1"/>
    <col min="5" max="5" width="15.28515625" style="19" customWidth="1"/>
    <col min="6" max="7" width="14" style="2" customWidth="1"/>
    <col min="8" max="8" width="7" style="2" customWidth="1"/>
    <col min="9" max="9" width="16.85546875" style="2" customWidth="1"/>
    <col min="10" max="11" width="15.28515625" style="2" customWidth="1"/>
    <col min="12" max="12" width="4.85546875" style="2" bestFit="1" customWidth="1"/>
    <col min="13" max="13" width="9.140625" style="2" bestFit="1" customWidth="1"/>
    <col min="14" max="14" width="11.42578125" style="2" bestFit="1" customWidth="1"/>
    <col min="15" max="15" width="11.42578125" style="2" customWidth="1"/>
    <col min="16" max="16" width="6.5703125" style="2" customWidth="1"/>
    <col min="17" max="17" width="13.7109375" style="2" customWidth="1"/>
    <col min="18" max="18" width="11.42578125" style="2" bestFit="1" customWidth="1"/>
    <col min="19" max="19" width="11.42578125" style="2" customWidth="1"/>
    <col min="20" max="20" width="4.85546875" style="2" bestFit="1" customWidth="1"/>
    <col min="21" max="21" width="15.7109375" style="2" customWidth="1"/>
    <col min="22" max="22" width="11.42578125" style="2" bestFit="1" customWidth="1"/>
    <col min="23" max="23" width="12.7109375" style="2" customWidth="1"/>
    <col min="24" max="16384" width="8.7109375" style="2"/>
  </cols>
  <sheetData>
    <row r="1" spans="1:23" ht="31.15" customHeight="1">
      <c r="B1" s="1" t="s">
        <v>0</v>
      </c>
      <c r="C1" s="74" t="s">
        <v>1</v>
      </c>
      <c r="D1" s="74"/>
      <c r="E1" s="74"/>
      <c r="F1" s="74"/>
      <c r="G1" s="74"/>
      <c r="H1" s="74"/>
      <c r="I1" s="74"/>
      <c r="J1" s="74"/>
      <c r="K1" s="51"/>
    </row>
    <row r="2" spans="1:23" ht="18.399999999999999" customHeight="1">
      <c r="B2" s="3" t="s">
        <v>2</v>
      </c>
      <c r="C2" s="75" t="s">
        <v>3</v>
      </c>
      <c r="D2" s="75"/>
      <c r="E2" s="75"/>
      <c r="F2" s="75"/>
      <c r="G2" s="75"/>
      <c r="H2" s="75"/>
      <c r="I2" s="75"/>
      <c r="J2" s="75"/>
      <c r="K2" s="6"/>
    </row>
    <row r="3" spans="1:23" ht="18.399999999999999" customHeight="1">
      <c r="B3" s="3" t="s">
        <v>4</v>
      </c>
      <c r="C3" s="75"/>
      <c r="D3" s="75"/>
      <c r="E3" s="75"/>
      <c r="F3" s="75"/>
      <c r="G3" s="75"/>
      <c r="H3" s="75"/>
      <c r="I3" s="75"/>
      <c r="J3" s="75"/>
      <c r="K3" s="6"/>
    </row>
    <row r="4" spans="1:23" ht="18.399999999999999" customHeight="1">
      <c r="B4" s="3" t="s">
        <v>5</v>
      </c>
      <c r="C4" s="76"/>
      <c r="D4" s="76"/>
      <c r="E4" s="76"/>
      <c r="F4" s="76"/>
      <c r="G4" s="76"/>
      <c r="H4" s="76"/>
      <c r="I4" s="76"/>
      <c r="J4" s="76"/>
      <c r="K4" s="52"/>
    </row>
    <row r="5" spans="1:23" ht="18.399999999999999" customHeight="1">
      <c r="B5" s="3" t="s">
        <v>6</v>
      </c>
      <c r="C5" s="77">
        <f>W36</f>
        <v>0</v>
      </c>
      <c r="D5" s="77"/>
      <c r="E5" s="77"/>
      <c r="F5" s="77"/>
      <c r="G5" s="77"/>
      <c r="H5" s="77"/>
      <c r="I5" s="77"/>
      <c r="J5" s="77"/>
      <c r="K5" s="53"/>
    </row>
    <row r="6" spans="1:23">
      <c r="B6" s="4"/>
      <c r="C6" s="4"/>
      <c r="D6" s="5"/>
      <c r="E6" s="6"/>
      <c r="F6" s="4"/>
      <c r="G6" s="4"/>
    </row>
    <row r="7" spans="1:23" s="7" customFormat="1" ht="12.75" customHeight="1">
      <c r="A7" s="54" t="s">
        <v>7</v>
      </c>
      <c r="B7" s="78" t="s">
        <v>8</v>
      </c>
      <c r="C7" s="31" t="s">
        <v>9</v>
      </c>
      <c r="D7" s="33" t="s">
        <v>10</v>
      </c>
      <c r="E7" s="34"/>
      <c r="F7" s="35"/>
      <c r="G7" s="58" t="s">
        <v>7</v>
      </c>
      <c r="H7" s="36" t="s">
        <v>11</v>
      </c>
      <c r="I7" s="37"/>
      <c r="J7" s="38"/>
      <c r="K7" s="58" t="s">
        <v>7</v>
      </c>
      <c r="L7" s="28" t="s">
        <v>12</v>
      </c>
      <c r="M7" s="29"/>
      <c r="N7" s="30"/>
      <c r="O7" s="58" t="s">
        <v>7</v>
      </c>
      <c r="P7" s="28" t="s">
        <v>13</v>
      </c>
      <c r="Q7" s="29"/>
      <c r="R7" s="30"/>
      <c r="S7" s="58" t="s">
        <v>7</v>
      </c>
      <c r="T7" s="28" t="s">
        <v>14</v>
      </c>
      <c r="U7" s="29"/>
      <c r="V7" s="30"/>
      <c r="W7" s="47" t="s">
        <v>15</v>
      </c>
    </row>
    <row r="8" spans="1:23" s="7" customFormat="1">
      <c r="A8" s="55"/>
      <c r="B8" s="79"/>
      <c r="C8" s="32"/>
      <c r="D8" s="8" t="s">
        <v>16</v>
      </c>
      <c r="E8" s="9" t="s">
        <v>17</v>
      </c>
      <c r="F8" s="9" t="s">
        <v>18</v>
      </c>
      <c r="G8" s="59"/>
      <c r="H8" s="8" t="s">
        <v>16</v>
      </c>
      <c r="I8" s="9" t="s">
        <v>17</v>
      </c>
      <c r="J8" s="9" t="s">
        <v>18</v>
      </c>
      <c r="K8" s="59"/>
      <c r="L8" s="8" t="s">
        <v>16</v>
      </c>
      <c r="M8" s="9" t="s">
        <v>17</v>
      </c>
      <c r="N8" s="9" t="s">
        <v>18</v>
      </c>
      <c r="O8" s="59"/>
      <c r="P8" s="8" t="s">
        <v>16</v>
      </c>
      <c r="Q8" s="9" t="s">
        <v>17</v>
      </c>
      <c r="R8" s="9" t="s">
        <v>18</v>
      </c>
      <c r="S8" s="59"/>
      <c r="T8" s="8" t="s">
        <v>16</v>
      </c>
      <c r="U8" s="9" t="s">
        <v>17</v>
      </c>
      <c r="V8" s="9" t="s">
        <v>18</v>
      </c>
      <c r="W8" s="48"/>
    </row>
    <row r="9" spans="1:23" s="7" customFormat="1">
      <c r="A9" s="49" t="s">
        <v>19</v>
      </c>
      <c r="B9" s="40" t="s">
        <v>20</v>
      </c>
      <c r="C9" s="10" t="s">
        <v>21</v>
      </c>
      <c r="D9" s="10">
        <v>4155</v>
      </c>
      <c r="E9" s="11">
        <v>0</v>
      </c>
      <c r="F9" s="11">
        <v>0</v>
      </c>
      <c r="G9" s="49" t="s">
        <v>22</v>
      </c>
      <c r="H9" s="10">
        <v>4113</v>
      </c>
      <c r="I9" s="11">
        <v>0</v>
      </c>
      <c r="J9" s="11">
        <v>0</v>
      </c>
      <c r="K9" s="49" t="s">
        <v>23</v>
      </c>
      <c r="L9" s="10">
        <v>4072</v>
      </c>
      <c r="M9" s="11">
        <v>0</v>
      </c>
      <c r="N9" s="11">
        <v>0</v>
      </c>
      <c r="O9" s="49" t="s">
        <v>24</v>
      </c>
      <c r="P9" s="10">
        <v>4031</v>
      </c>
      <c r="Q9" s="11">
        <v>0</v>
      </c>
      <c r="R9" s="11">
        <v>0</v>
      </c>
      <c r="S9" s="49" t="s">
        <v>25</v>
      </c>
      <c r="T9" s="10">
        <v>3991</v>
      </c>
      <c r="U9" s="11">
        <v>0</v>
      </c>
      <c r="V9" s="11">
        <v>0</v>
      </c>
      <c r="W9" s="11">
        <v>0</v>
      </c>
    </row>
    <row r="10" spans="1:23" s="7" customFormat="1">
      <c r="A10" s="49" t="s">
        <v>26</v>
      </c>
      <c r="B10" s="40" t="s">
        <v>27</v>
      </c>
      <c r="C10" s="10" t="s">
        <v>21</v>
      </c>
      <c r="D10" s="10">
        <v>3637</v>
      </c>
      <c r="E10" s="11">
        <v>0</v>
      </c>
      <c r="F10" s="11">
        <v>0</v>
      </c>
      <c r="G10" s="49" t="s">
        <v>28</v>
      </c>
      <c r="H10" s="10">
        <v>3601</v>
      </c>
      <c r="I10" s="11">
        <v>0</v>
      </c>
      <c r="J10" s="11">
        <v>0</v>
      </c>
      <c r="K10" s="49" t="s">
        <v>29</v>
      </c>
      <c r="L10" s="10">
        <v>3565</v>
      </c>
      <c r="M10" s="11">
        <v>0</v>
      </c>
      <c r="N10" s="11">
        <v>0</v>
      </c>
      <c r="O10" s="49" t="s">
        <v>30</v>
      </c>
      <c r="P10" s="10">
        <v>3529</v>
      </c>
      <c r="Q10" s="11">
        <v>0</v>
      </c>
      <c r="R10" s="11">
        <v>0</v>
      </c>
      <c r="S10" s="49" t="s">
        <v>31</v>
      </c>
      <c r="T10" s="22">
        <v>3494</v>
      </c>
      <c r="U10" s="11">
        <v>0</v>
      </c>
      <c r="V10" s="11">
        <v>0</v>
      </c>
      <c r="W10" s="11">
        <v>0</v>
      </c>
    </row>
    <row r="11" spans="1:23" s="7" customFormat="1">
      <c r="A11" s="49" t="s">
        <v>32</v>
      </c>
      <c r="B11" s="40" t="s">
        <v>33</v>
      </c>
      <c r="C11" s="10" t="s">
        <v>21</v>
      </c>
      <c r="D11" s="10">
        <v>3313</v>
      </c>
      <c r="E11" s="11">
        <v>0</v>
      </c>
      <c r="F11" s="11">
        <v>0</v>
      </c>
      <c r="G11" s="49" t="s">
        <v>34</v>
      </c>
      <c r="H11" s="10">
        <v>3280</v>
      </c>
      <c r="I11" s="11">
        <v>0</v>
      </c>
      <c r="J11" s="11">
        <v>0</v>
      </c>
      <c r="K11" s="49" t="s">
        <v>35</v>
      </c>
      <c r="L11" s="10">
        <v>3247</v>
      </c>
      <c r="M11" s="11">
        <v>0</v>
      </c>
      <c r="N11" s="11">
        <v>0</v>
      </c>
      <c r="O11" s="49" t="s">
        <v>36</v>
      </c>
      <c r="P11" s="10">
        <v>3215</v>
      </c>
      <c r="Q11" s="11">
        <v>0</v>
      </c>
      <c r="R11" s="11">
        <v>0</v>
      </c>
      <c r="S11" s="49" t="s">
        <v>37</v>
      </c>
      <c r="T11" s="22">
        <v>3183</v>
      </c>
      <c r="U11" s="11">
        <v>0</v>
      </c>
      <c r="V11" s="11">
        <v>0</v>
      </c>
      <c r="W11" s="11">
        <v>0</v>
      </c>
    </row>
    <row r="12" spans="1:23" s="7" customFormat="1">
      <c r="A12" s="49" t="s">
        <v>38</v>
      </c>
      <c r="B12" s="40" t="s">
        <v>39</v>
      </c>
      <c r="C12" s="10" t="s">
        <v>21</v>
      </c>
      <c r="D12" s="10">
        <v>3010</v>
      </c>
      <c r="E12" s="11">
        <v>0</v>
      </c>
      <c r="F12" s="11">
        <v>0</v>
      </c>
      <c r="G12" s="49" t="s">
        <v>40</v>
      </c>
      <c r="H12" s="10">
        <v>2980</v>
      </c>
      <c r="I12" s="11">
        <v>0</v>
      </c>
      <c r="J12" s="11">
        <v>0</v>
      </c>
      <c r="K12" s="49" t="s">
        <v>41</v>
      </c>
      <c r="L12" s="10">
        <v>2950</v>
      </c>
      <c r="M12" s="11">
        <v>0</v>
      </c>
      <c r="N12" s="11">
        <v>0</v>
      </c>
      <c r="O12" s="49" t="s">
        <v>42</v>
      </c>
      <c r="P12" s="10">
        <v>2921</v>
      </c>
      <c r="Q12" s="11">
        <v>0</v>
      </c>
      <c r="R12" s="11">
        <v>0</v>
      </c>
      <c r="S12" s="49" t="s">
        <v>43</v>
      </c>
      <c r="T12" s="22">
        <v>2892</v>
      </c>
      <c r="U12" s="11">
        <v>0</v>
      </c>
      <c r="V12" s="11">
        <v>0</v>
      </c>
      <c r="W12" s="11">
        <v>0</v>
      </c>
    </row>
    <row r="13" spans="1:23" s="7" customFormat="1">
      <c r="A13" s="49" t="s">
        <v>44</v>
      </c>
      <c r="B13" s="41" t="s">
        <v>45</v>
      </c>
      <c r="C13" s="10" t="s">
        <v>21</v>
      </c>
      <c r="D13" s="23">
        <f>D12</f>
        <v>3010</v>
      </c>
      <c r="E13" s="11">
        <v>0</v>
      </c>
      <c r="F13" s="11">
        <v>0</v>
      </c>
      <c r="G13" s="49" t="s">
        <v>46</v>
      </c>
      <c r="H13" s="10">
        <v>2980</v>
      </c>
      <c r="I13" s="11">
        <v>0</v>
      </c>
      <c r="J13" s="11">
        <v>0</v>
      </c>
      <c r="K13" s="49" t="s">
        <v>47</v>
      </c>
      <c r="L13" s="10">
        <v>2950</v>
      </c>
      <c r="M13" s="11">
        <v>0</v>
      </c>
      <c r="N13" s="11">
        <v>0</v>
      </c>
      <c r="O13" s="49" t="s">
        <v>48</v>
      </c>
      <c r="P13" s="10">
        <v>2921</v>
      </c>
      <c r="Q13" s="11">
        <v>0</v>
      </c>
      <c r="R13" s="11">
        <v>0</v>
      </c>
      <c r="S13" s="49" t="s">
        <v>49</v>
      </c>
      <c r="T13" s="22">
        <v>2892</v>
      </c>
      <c r="U13" s="11">
        <v>0</v>
      </c>
      <c r="V13" s="11">
        <v>0</v>
      </c>
      <c r="W13" s="11">
        <v>0</v>
      </c>
    </row>
    <row r="14" spans="1:23" s="7" customFormat="1">
      <c r="A14" s="49" t="s">
        <v>50</v>
      </c>
      <c r="B14" s="42" t="s">
        <v>51</v>
      </c>
      <c r="C14" s="10" t="s">
        <v>21</v>
      </c>
      <c r="D14" s="24">
        <v>250</v>
      </c>
      <c r="E14" s="11">
        <v>0</v>
      </c>
      <c r="F14" s="11">
        <v>0</v>
      </c>
      <c r="G14" s="49" t="s">
        <v>52</v>
      </c>
      <c r="H14" s="10">
        <v>248</v>
      </c>
      <c r="I14" s="11">
        <v>0</v>
      </c>
      <c r="J14" s="11">
        <v>0</v>
      </c>
      <c r="K14" s="49" t="s">
        <v>53</v>
      </c>
      <c r="L14" s="10">
        <v>246</v>
      </c>
      <c r="M14" s="11">
        <v>0</v>
      </c>
      <c r="N14" s="11">
        <v>0</v>
      </c>
      <c r="O14" s="49" t="s">
        <v>54</v>
      </c>
      <c r="P14" s="10">
        <v>244</v>
      </c>
      <c r="Q14" s="11">
        <v>0</v>
      </c>
      <c r="R14" s="11">
        <v>0</v>
      </c>
      <c r="S14" s="49" t="s">
        <v>55</v>
      </c>
      <c r="T14" s="22">
        <v>242</v>
      </c>
      <c r="U14" s="11">
        <v>0</v>
      </c>
      <c r="V14" s="11">
        <v>0</v>
      </c>
      <c r="W14" s="11">
        <v>0</v>
      </c>
    </row>
    <row r="15" spans="1:23" s="7" customFormat="1">
      <c r="A15" s="49" t="s">
        <v>56</v>
      </c>
      <c r="B15" s="42" t="s">
        <v>57</v>
      </c>
      <c r="C15" s="10" t="s">
        <v>21</v>
      </c>
      <c r="D15" s="24">
        <v>25</v>
      </c>
      <c r="E15" s="11">
        <v>0</v>
      </c>
      <c r="F15" s="11">
        <v>0</v>
      </c>
      <c r="G15" s="49" t="s">
        <v>58</v>
      </c>
      <c r="H15" s="10">
        <v>25</v>
      </c>
      <c r="I15" s="11">
        <v>0</v>
      </c>
      <c r="J15" s="11">
        <v>0</v>
      </c>
      <c r="K15" s="49" t="s">
        <v>59</v>
      </c>
      <c r="L15" s="10">
        <v>25</v>
      </c>
      <c r="M15" s="11">
        <v>0</v>
      </c>
      <c r="N15" s="11">
        <v>0</v>
      </c>
      <c r="O15" s="49" t="s">
        <v>60</v>
      </c>
      <c r="P15" s="10">
        <v>25</v>
      </c>
      <c r="Q15" s="11">
        <v>0</v>
      </c>
      <c r="R15" s="11">
        <v>0</v>
      </c>
      <c r="S15" s="49" t="s">
        <v>61</v>
      </c>
      <c r="T15" s="22">
        <v>25</v>
      </c>
      <c r="U15" s="11">
        <v>0</v>
      </c>
      <c r="V15" s="11">
        <v>0</v>
      </c>
      <c r="W15" s="11">
        <v>0</v>
      </c>
    </row>
    <row r="16" spans="1:23" s="7" customFormat="1">
      <c r="A16" s="49" t="s">
        <v>62</v>
      </c>
      <c r="B16" s="40" t="s">
        <v>63</v>
      </c>
      <c r="C16" s="10" t="s">
        <v>21</v>
      </c>
      <c r="D16" s="10">
        <f>ROUND(9680*0.99,0)</f>
        <v>9583</v>
      </c>
      <c r="E16" s="11">
        <v>0</v>
      </c>
      <c r="F16" s="11">
        <v>0</v>
      </c>
      <c r="G16" s="49" t="s">
        <v>64</v>
      </c>
      <c r="H16" s="10">
        <v>9679</v>
      </c>
      <c r="I16" s="11">
        <v>0</v>
      </c>
      <c r="J16" s="11">
        <v>0</v>
      </c>
      <c r="K16" s="49" t="s">
        <v>65</v>
      </c>
      <c r="L16" s="10">
        <v>9776</v>
      </c>
      <c r="M16" s="11">
        <v>0</v>
      </c>
      <c r="N16" s="11">
        <v>0</v>
      </c>
      <c r="O16" s="49" t="s">
        <v>66</v>
      </c>
      <c r="P16" s="10">
        <v>9874</v>
      </c>
      <c r="Q16" s="11">
        <v>0</v>
      </c>
      <c r="R16" s="11">
        <v>0</v>
      </c>
      <c r="S16" s="49" t="s">
        <v>67</v>
      </c>
      <c r="T16" s="22">
        <v>9973</v>
      </c>
      <c r="U16" s="11">
        <v>0</v>
      </c>
      <c r="V16" s="11">
        <v>0</v>
      </c>
      <c r="W16" s="11">
        <v>0</v>
      </c>
    </row>
    <row r="17" spans="1:23" s="7" customFormat="1">
      <c r="A17" s="49" t="s">
        <v>68</v>
      </c>
      <c r="B17" s="40" t="s">
        <v>69</v>
      </c>
      <c r="C17" s="10" t="s">
        <v>21</v>
      </c>
      <c r="D17" s="10">
        <f>ROUND(480*0.99,0)</f>
        <v>475</v>
      </c>
      <c r="E17" s="11">
        <v>0</v>
      </c>
      <c r="F17" s="11">
        <v>0</v>
      </c>
      <c r="G17" s="49" t="s">
        <v>70</v>
      </c>
      <c r="H17" s="10">
        <v>480</v>
      </c>
      <c r="I17" s="11">
        <v>0</v>
      </c>
      <c r="J17" s="11">
        <v>0</v>
      </c>
      <c r="K17" s="49" t="s">
        <v>71</v>
      </c>
      <c r="L17" s="10">
        <v>485</v>
      </c>
      <c r="M17" s="11">
        <v>0</v>
      </c>
      <c r="N17" s="11">
        <v>0</v>
      </c>
      <c r="O17" s="49" t="s">
        <v>72</v>
      </c>
      <c r="P17" s="10">
        <v>490</v>
      </c>
      <c r="Q17" s="11">
        <v>0</v>
      </c>
      <c r="R17" s="11">
        <v>0</v>
      </c>
      <c r="S17" s="49" t="s">
        <v>73</v>
      </c>
      <c r="T17" s="22">
        <v>495</v>
      </c>
      <c r="U17" s="11">
        <v>0</v>
      </c>
      <c r="V17" s="11">
        <v>0</v>
      </c>
      <c r="W17" s="11">
        <v>0</v>
      </c>
    </row>
    <row r="18" spans="1:23" s="7" customFormat="1">
      <c r="A18" s="49" t="s">
        <v>74</v>
      </c>
      <c r="B18" s="43" t="s">
        <v>75</v>
      </c>
      <c r="C18" s="10" t="s">
        <v>21</v>
      </c>
      <c r="D18" s="22">
        <v>180</v>
      </c>
      <c r="E18" s="46">
        <v>0</v>
      </c>
      <c r="F18" s="46">
        <v>0</v>
      </c>
      <c r="G18" s="49" t="s">
        <v>76</v>
      </c>
      <c r="H18" s="22">
        <v>185</v>
      </c>
      <c r="I18" s="46">
        <v>0</v>
      </c>
      <c r="J18" s="46">
        <v>0</v>
      </c>
      <c r="K18" s="49" t="s">
        <v>77</v>
      </c>
      <c r="L18" s="22">
        <v>190</v>
      </c>
      <c r="M18" s="46">
        <v>0</v>
      </c>
      <c r="N18" s="46">
        <v>0</v>
      </c>
      <c r="O18" s="49" t="s">
        <v>78</v>
      </c>
      <c r="P18" s="22">
        <v>195</v>
      </c>
      <c r="Q18" s="46">
        <v>0</v>
      </c>
      <c r="R18" s="46">
        <v>0</v>
      </c>
      <c r="S18" s="49" t="s">
        <v>79</v>
      </c>
      <c r="T18" s="22">
        <v>200</v>
      </c>
      <c r="U18" s="46">
        <v>0</v>
      </c>
      <c r="V18" s="46">
        <v>0</v>
      </c>
      <c r="W18" s="46">
        <v>0</v>
      </c>
    </row>
    <row r="19" spans="1:23" s="7" customFormat="1">
      <c r="A19" s="49" t="s">
        <v>80</v>
      </c>
      <c r="B19" s="43" t="s">
        <v>81</v>
      </c>
      <c r="C19" s="10" t="s">
        <v>21</v>
      </c>
      <c r="D19" s="10">
        <f>ROUND(60*0.99,0)</f>
        <v>59</v>
      </c>
      <c r="E19" s="11">
        <v>0</v>
      </c>
      <c r="F19" s="11">
        <v>0</v>
      </c>
      <c r="G19" s="49" t="s">
        <v>82</v>
      </c>
      <c r="H19" s="10">
        <v>60</v>
      </c>
      <c r="I19" s="11">
        <v>0</v>
      </c>
      <c r="J19" s="11">
        <v>0</v>
      </c>
      <c r="K19" s="49" t="s">
        <v>83</v>
      </c>
      <c r="L19" s="10">
        <v>61</v>
      </c>
      <c r="M19" s="11">
        <v>0</v>
      </c>
      <c r="N19" s="11">
        <v>0</v>
      </c>
      <c r="O19" s="49" t="s">
        <v>84</v>
      </c>
      <c r="P19" s="10">
        <v>62</v>
      </c>
      <c r="Q19" s="11">
        <v>0</v>
      </c>
      <c r="R19" s="11">
        <v>0</v>
      </c>
      <c r="S19" s="49" t="s">
        <v>85</v>
      </c>
      <c r="T19" s="22">
        <v>63</v>
      </c>
      <c r="U19" s="11">
        <v>0</v>
      </c>
      <c r="V19" s="11">
        <v>0</v>
      </c>
      <c r="W19" s="11">
        <v>0</v>
      </c>
    </row>
    <row r="20" spans="1:23" s="7" customFormat="1">
      <c r="A20" s="49" t="s">
        <v>86</v>
      </c>
      <c r="B20" s="40" t="s">
        <v>87</v>
      </c>
      <c r="C20" s="10" t="s">
        <v>88</v>
      </c>
      <c r="D20" s="10">
        <v>1</v>
      </c>
      <c r="E20" s="11">
        <v>0</v>
      </c>
      <c r="F20" s="11">
        <v>0</v>
      </c>
      <c r="G20" s="49" t="s">
        <v>89</v>
      </c>
      <c r="H20" s="10">
        <v>1</v>
      </c>
      <c r="I20" s="11">
        <v>0</v>
      </c>
      <c r="J20" s="11">
        <v>0</v>
      </c>
      <c r="K20" s="49" t="s">
        <v>90</v>
      </c>
      <c r="L20" s="10">
        <v>1</v>
      </c>
      <c r="M20" s="11">
        <v>0</v>
      </c>
      <c r="N20" s="11">
        <v>0</v>
      </c>
      <c r="O20" s="49" t="s">
        <v>91</v>
      </c>
      <c r="P20" s="10">
        <v>1</v>
      </c>
      <c r="Q20" s="11">
        <v>0</v>
      </c>
      <c r="R20" s="11">
        <v>0</v>
      </c>
      <c r="S20" s="49" t="s">
        <v>92</v>
      </c>
      <c r="T20" s="10">
        <v>1</v>
      </c>
      <c r="U20" s="11">
        <v>0</v>
      </c>
      <c r="V20" s="11">
        <v>0</v>
      </c>
      <c r="W20" s="11">
        <v>0</v>
      </c>
    </row>
    <row r="21" spans="1:23" s="7" customFormat="1">
      <c r="A21" s="49" t="s">
        <v>93</v>
      </c>
      <c r="B21" s="40" t="s">
        <v>94</v>
      </c>
      <c r="C21" s="10" t="s">
        <v>95</v>
      </c>
      <c r="D21" s="10">
        <v>12</v>
      </c>
      <c r="E21" s="11">
        <v>0</v>
      </c>
      <c r="F21" s="11">
        <v>0</v>
      </c>
      <c r="G21" s="49" t="s">
        <v>96</v>
      </c>
      <c r="H21" s="10">
        <v>12</v>
      </c>
      <c r="I21" s="11">
        <v>0</v>
      </c>
      <c r="J21" s="11">
        <v>0</v>
      </c>
      <c r="K21" s="49" t="s">
        <v>97</v>
      </c>
      <c r="L21" s="10">
        <v>12</v>
      </c>
      <c r="M21" s="11">
        <v>0</v>
      </c>
      <c r="N21" s="11">
        <v>0</v>
      </c>
      <c r="O21" s="49" t="s">
        <v>98</v>
      </c>
      <c r="P21" s="10">
        <v>12</v>
      </c>
      <c r="Q21" s="11">
        <v>0</v>
      </c>
      <c r="R21" s="11">
        <v>0</v>
      </c>
      <c r="S21" s="49" t="s">
        <v>99</v>
      </c>
      <c r="T21" s="10">
        <v>12</v>
      </c>
      <c r="U21" s="11">
        <v>0</v>
      </c>
      <c r="V21" s="11">
        <v>0</v>
      </c>
      <c r="W21" s="11">
        <v>0</v>
      </c>
    </row>
    <row r="22" spans="1:23" s="7" customFormat="1">
      <c r="A22" s="49" t="s">
        <v>100</v>
      </c>
      <c r="B22" s="40" t="s">
        <v>101</v>
      </c>
      <c r="C22" s="10" t="s">
        <v>95</v>
      </c>
      <c r="D22" s="10">
        <v>12</v>
      </c>
      <c r="E22" s="11">
        <v>0</v>
      </c>
      <c r="F22" s="11">
        <v>0</v>
      </c>
      <c r="G22" s="49" t="s">
        <v>102</v>
      </c>
      <c r="H22" s="10">
        <v>12</v>
      </c>
      <c r="I22" s="11">
        <v>0</v>
      </c>
      <c r="J22" s="11">
        <v>0</v>
      </c>
      <c r="K22" s="49" t="s">
        <v>103</v>
      </c>
      <c r="L22" s="10">
        <v>12</v>
      </c>
      <c r="M22" s="11">
        <v>0</v>
      </c>
      <c r="N22" s="11">
        <v>0</v>
      </c>
      <c r="O22" s="49" t="s">
        <v>104</v>
      </c>
      <c r="P22" s="10">
        <v>12</v>
      </c>
      <c r="Q22" s="11">
        <v>0</v>
      </c>
      <c r="R22" s="11">
        <v>0</v>
      </c>
      <c r="S22" s="49" t="s">
        <v>105</v>
      </c>
      <c r="T22" s="10">
        <v>12</v>
      </c>
      <c r="U22" s="11">
        <v>0</v>
      </c>
      <c r="V22" s="11">
        <v>0</v>
      </c>
      <c r="W22" s="11">
        <v>0</v>
      </c>
    </row>
    <row r="23" spans="1:23" s="7" customFormat="1">
      <c r="A23" s="49" t="s">
        <v>106</v>
      </c>
      <c r="B23" s="40" t="s">
        <v>107</v>
      </c>
      <c r="C23" s="10" t="s">
        <v>95</v>
      </c>
      <c r="D23" s="10">
        <v>12</v>
      </c>
      <c r="E23" s="11">
        <v>0</v>
      </c>
      <c r="F23" s="11">
        <v>0</v>
      </c>
      <c r="G23" s="49" t="s">
        <v>108</v>
      </c>
      <c r="H23" s="10">
        <v>12</v>
      </c>
      <c r="I23" s="11">
        <v>0</v>
      </c>
      <c r="J23" s="11">
        <v>0</v>
      </c>
      <c r="K23" s="49" t="s">
        <v>109</v>
      </c>
      <c r="L23" s="10">
        <v>12</v>
      </c>
      <c r="M23" s="11">
        <v>0</v>
      </c>
      <c r="N23" s="11">
        <v>0</v>
      </c>
      <c r="O23" s="49" t="s">
        <v>110</v>
      </c>
      <c r="P23" s="10">
        <v>12</v>
      </c>
      <c r="Q23" s="11">
        <v>0</v>
      </c>
      <c r="R23" s="11">
        <v>0</v>
      </c>
      <c r="S23" s="49" t="s">
        <v>111</v>
      </c>
      <c r="T23" s="10">
        <v>12</v>
      </c>
      <c r="U23" s="11">
        <v>0</v>
      </c>
      <c r="V23" s="11">
        <v>0</v>
      </c>
      <c r="W23" s="11">
        <v>0</v>
      </c>
    </row>
    <row r="24" spans="1:23" s="7" customFormat="1" ht="24.75">
      <c r="A24" s="49" t="s">
        <v>112</v>
      </c>
      <c r="B24" s="44" t="s">
        <v>113</v>
      </c>
      <c r="C24" s="10" t="s">
        <v>95</v>
      </c>
      <c r="D24" s="10">
        <v>12</v>
      </c>
      <c r="E24" s="11">
        <v>0</v>
      </c>
      <c r="F24" s="11">
        <v>0</v>
      </c>
      <c r="G24" s="49" t="s">
        <v>114</v>
      </c>
      <c r="H24" s="10">
        <v>12</v>
      </c>
      <c r="I24" s="11">
        <v>0</v>
      </c>
      <c r="J24" s="11">
        <v>0</v>
      </c>
      <c r="K24" s="49" t="s">
        <v>115</v>
      </c>
      <c r="L24" s="10">
        <v>12</v>
      </c>
      <c r="M24" s="11">
        <v>0</v>
      </c>
      <c r="N24" s="11">
        <v>0</v>
      </c>
      <c r="O24" s="49" t="s">
        <v>116</v>
      </c>
      <c r="P24" s="10">
        <v>12</v>
      </c>
      <c r="Q24" s="11">
        <v>0</v>
      </c>
      <c r="R24" s="11">
        <v>0</v>
      </c>
      <c r="S24" s="49" t="s">
        <v>117</v>
      </c>
      <c r="T24" s="10">
        <v>12</v>
      </c>
      <c r="U24" s="11">
        <v>0</v>
      </c>
      <c r="V24" s="11">
        <v>0</v>
      </c>
      <c r="W24" s="11">
        <v>0</v>
      </c>
    </row>
    <row r="25" spans="1:23" s="7" customFormat="1">
      <c r="A25" s="49" t="s">
        <v>118</v>
      </c>
      <c r="B25" s="43" t="s">
        <v>119</v>
      </c>
      <c r="C25" s="10" t="s">
        <v>95</v>
      </c>
      <c r="D25" s="10">
        <v>12</v>
      </c>
      <c r="E25" s="11">
        <v>0</v>
      </c>
      <c r="F25" s="11">
        <v>0</v>
      </c>
      <c r="G25" s="49" t="s">
        <v>120</v>
      </c>
      <c r="H25" s="10">
        <v>12</v>
      </c>
      <c r="I25" s="11">
        <v>0</v>
      </c>
      <c r="J25" s="11">
        <v>0</v>
      </c>
      <c r="K25" s="49" t="s">
        <v>121</v>
      </c>
      <c r="L25" s="10">
        <v>12</v>
      </c>
      <c r="M25" s="11">
        <v>0</v>
      </c>
      <c r="N25" s="11">
        <v>0</v>
      </c>
      <c r="O25" s="49" t="s">
        <v>122</v>
      </c>
      <c r="P25" s="10">
        <v>12</v>
      </c>
      <c r="Q25" s="11">
        <v>0</v>
      </c>
      <c r="R25" s="11">
        <v>0</v>
      </c>
      <c r="S25" s="49" t="s">
        <v>123</v>
      </c>
      <c r="T25" s="10">
        <v>12</v>
      </c>
      <c r="U25" s="11">
        <v>0</v>
      </c>
      <c r="V25" s="11">
        <v>0</v>
      </c>
      <c r="W25" s="11">
        <v>0</v>
      </c>
    </row>
    <row r="26" spans="1:23" s="7" customFormat="1">
      <c r="A26" s="49" t="s">
        <v>124</v>
      </c>
      <c r="B26" s="43" t="s">
        <v>125</v>
      </c>
      <c r="C26" s="25"/>
      <c r="D26" s="26"/>
      <c r="E26" s="26"/>
      <c r="F26" s="26"/>
      <c r="G26" s="49" t="s">
        <v>126</v>
      </c>
      <c r="H26" s="26"/>
      <c r="I26" s="26"/>
      <c r="J26" s="26"/>
      <c r="K26" s="49" t="s">
        <v>127</v>
      </c>
      <c r="L26" s="26"/>
      <c r="M26" s="26"/>
      <c r="N26" s="26"/>
      <c r="O26" s="49" t="s">
        <v>128</v>
      </c>
      <c r="P26" s="26"/>
      <c r="Q26" s="26"/>
      <c r="R26" s="26"/>
      <c r="S26" s="49" t="s">
        <v>129</v>
      </c>
      <c r="T26" s="26"/>
      <c r="U26" s="26"/>
      <c r="V26" s="26"/>
      <c r="W26" s="27"/>
    </row>
    <row r="27" spans="1:23" s="7" customFormat="1">
      <c r="A27" s="50" t="s">
        <v>130</v>
      </c>
      <c r="B27" s="45" t="s">
        <v>131</v>
      </c>
      <c r="C27" s="10" t="s">
        <v>88</v>
      </c>
      <c r="D27" s="10">
        <v>1</v>
      </c>
      <c r="E27" s="11">
        <v>0</v>
      </c>
      <c r="F27" s="12">
        <f t="shared" ref="F27:F31" si="0">D27*E27</f>
        <v>0</v>
      </c>
      <c r="G27" s="50" t="s">
        <v>132</v>
      </c>
      <c r="H27" s="10">
        <v>1</v>
      </c>
      <c r="I27" s="11">
        <v>0</v>
      </c>
      <c r="J27" s="11">
        <v>0</v>
      </c>
      <c r="K27" s="50" t="s">
        <v>133</v>
      </c>
      <c r="L27" s="10">
        <v>1</v>
      </c>
      <c r="M27" s="11">
        <v>0</v>
      </c>
      <c r="N27" s="11">
        <v>0</v>
      </c>
      <c r="O27" s="50" t="s">
        <v>134</v>
      </c>
      <c r="P27" s="10">
        <v>1</v>
      </c>
      <c r="Q27" s="11">
        <v>0</v>
      </c>
      <c r="R27" s="11">
        <v>0</v>
      </c>
      <c r="S27" s="50" t="s">
        <v>135</v>
      </c>
      <c r="T27" s="10">
        <v>1</v>
      </c>
      <c r="U27" s="11">
        <v>0</v>
      </c>
      <c r="V27" s="11">
        <v>0</v>
      </c>
      <c r="W27" s="11">
        <v>0</v>
      </c>
    </row>
    <row r="28" spans="1:23" s="7" customFormat="1">
      <c r="A28" s="50" t="s">
        <v>136</v>
      </c>
      <c r="B28" s="45" t="s">
        <v>137</v>
      </c>
      <c r="C28" s="10" t="s">
        <v>88</v>
      </c>
      <c r="D28" s="10">
        <v>1</v>
      </c>
      <c r="E28" s="11">
        <v>0</v>
      </c>
      <c r="F28" s="12">
        <f t="shared" si="0"/>
        <v>0</v>
      </c>
      <c r="G28" s="50" t="s">
        <v>138</v>
      </c>
      <c r="H28" s="10">
        <v>1</v>
      </c>
      <c r="I28" s="11">
        <v>0</v>
      </c>
      <c r="J28" s="11">
        <v>0</v>
      </c>
      <c r="K28" s="50" t="s">
        <v>139</v>
      </c>
      <c r="L28" s="10">
        <v>1</v>
      </c>
      <c r="M28" s="11">
        <v>0</v>
      </c>
      <c r="N28" s="11">
        <v>0</v>
      </c>
      <c r="O28" s="50" t="s">
        <v>140</v>
      </c>
      <c r="P28" s="10">
        <v>1</v>
      </c>
      <c r="Q28" s="11">
        <v>0</v>
      </c>
      <c r="R28" s="11">
        <v>0</v>
      </c>
      <c r="S28" s="50" t="s">
        <v>141</v>
      </c>
      <c r="T28" s="10">
        <v>1</v>
      </c>
      <c r="U28" s="11">
        <v>0</v>
      </c>
      <c r="V28" s="11">
        <v>0</v>
      </c>
      <c r="W28" s="11">
        <v>0</v>
      </c>
    </row>
    <row r="29" spans="1:23" s="7" customFormat="1">
      <c r="A29" s="50" t="s">
        <v>142</v>
      </c>
      <c r="B29" s="45" t="s">
        <v>143</v>
      </c>
      <c r="C29" s="10" t="s">
        <v>88</v>
      </c>
      <c r="D29" s="10">
        <v>1</v>
      </c>
      <c r="E29" s="11">
        <v>0</v>
      </c>
      <c r="F29" s="12">
        <f t="shared" si="0"/>
        <v>0</v>
      </c>
      <c r="G29" s="50" t="s">
        <v>144</v>
      </c>
      <c r="H29" s="10">
        <v>1</v>
      </c>
      <c r="I29" s="11">
        <v>0</v>
      </c>
      <c r="J29" s="11">
        <v>0</v>
      </c>
      <c r="K29" s="50" t="s">
        <v>145</v>
      </c>
      <c r="L29" s="10">
        <v>1</v>
      </c>
      <c r="M29" s="11">
        <v>0</v>
      </c>
      <c r="N29" s="11">
        <v>0</v>
      </c>
      <c r="O29" s="50" t="s">
        <v>146</v>
      </c>
      <c r="P29" s="10">
        <v>1</v>
      </c>
      <c r="Q29" s="11">
        <v>0</v>
      </c>
      <c r="R29" s="11">
        <v>0</v>
      </c>
      <c r="S29" s="50" t="s">
        <v>147</v>
      </c>
      <c r="T29" s="10">
        <v>1</v>
      </c>
      <c r="U29" s="11">
        <v>0</v>
      </c>
      <c r="V29" s="11">
        <v>0</v>
      </c>
      <c r="W29" s="11">
        <v>0</v>
      </c>
    </row>
    <row r="30" spans="1:23" s="7" customFormat="1">
      <c r="A30" s="49" t="s">
        <v>148</v>
      </c>
      <c r="B30" s="43" t="s">
        <v>149</v>
      </c>
      <c r="C30" s="10" t="s">
        <v>95</v>
      </c>
      <c r="D30" s="10">
        <v>12</v>
      </c>
      <c r="E30" s="11">
        <v>0</v>
      </c>
      <c r="F30" s="12">
        <f t="shared" si="0"/>
        <v>0</v>
      </c>
      <c r="G30" s="49" t="s">
        <v>150</v>
      </c>
      <c r="H30" s="10">
        <v>12</v>
      </c>
      <c r="I30" s="11">
        <v>0</v>
      </c>
      <c r="J30" s="11">
        <v>0</v>
      </c>
      <c r="K30" s="49" t="s">
        <v>151</v>
      </c>
      <c r="L30" s="10">
        <v>12</v>
      </c>
      <c r="M30" s="11">
        <v>0</v>
      </c>
      <c r="N30" s="11">
        <v>0</v>
      </c>
      <c r="O30" s="49" t="s">
        <v>152</v>
      </c>
      <c r="P30" s="10">
        <v>12</v>
      </c>
      <c r="Q30" s="11">
        <v>0</v>
      </c>
      <c r="R30" s="11">
        <v>0</v>
      </c>
      <c r="S30" s="49" t="s">
        <v>153</v>
      </c>
      <c r="T30" s="10">
        <v>12</v>
      </c>
      <c r="U30" s="11">
        <v>0</v>
      </c>
      <c r="V30" s="11">
        <v>0</v>
      </c>
      <c r="W30" s="11">
        <v>0</v>
      </c>
    </row>
    <row r="31" spans="1:23" s="7" customFormat="1">
      <c r="A31" s="49" t="s">
        <v>154</v>
      </c>
      <c r="B31" s="43" t="s">
        <v>155</v>
      </c>
      <c r="C31" s="10" t="s">
        <v>95</v>
      </c>
      <c r="D31" s="10">
        <v>12</v>
      </c>
      <c r="E31" s="11">
        <v>0</v>
      </c>
      <c r="F31" s="12">
        <f t="shared" si="0"/>
        <v>0</v>
      </c>
      <c r="G31" s="49" t="s">
        <v>156</v>
      </c>
      <c r="H31" s="10">
        <v>12</v>
      </c>
      <c r="I31" s="11">
        <v>0</v>
      </c>
      <c r="J31" s="11">
        <v>0</v>
      </c>
      <c r="K31" s="49" t="s">
        <v>157</v>
      </c>
      <c r="L31" s="10">
        <v>12</v>
      </c>
      <c r="M31" s="11">
        <v>0</v>
      </c>
      <c r="N31" s="11">
        <v>0</v>
      </c>
      <c r="O31" s="49" t="s">
        <v>158</v>
      </c>
      <c r="P31" s="10">
        <v>12</v>
      </c>
      <c r="Q31" s="11">
        <v>0</v>
      </c>
      <c r="R31" s="11">
        <v>0</v>
      </c>
      <c r="S31" s="49" t="s">
        <v>159</v>
      </c>
      <c r="T31" s="10">
        <v>12</v>
      </c>
      <c r="U31" s="11">
        <v>0</v>
      </c>
      <c r="V31" s="11">
        <v>0</v>
      </c>
      <c r="W31" s="11">
        <v>0</v>
      </c>
    </row>
    <row r="32" spans="1:23" s="7" customFormat="1">
      <c r="A32" s="49" t="s">
        <v>160</v>
      </c>
      <c r="B32" s="43" t="s">
        <v>161</v>
      </c>
      <c r="C32" s="25"/>
      <c r="D32" s="26"/>
      <c r="E32" s="26"/>
      <c r="F32" s="26"/>
      <c r="G32" s="49" t="s">
        <v>162</v>
      </c>
      <c r="H32" s="26"/>
      <c r="I32" s="26"/>
      <c r="J32" s="26"/>
      <c r="K32" s="49" t="s">
        <v>163</v>
      </c>
      <c r="L32" s="26"/>
      <c r="M32" s="26"/>
      <c r="N32" s="26"/>
      <c r="O32" s="49" t="s">
        <v>164</v>
      </c>
      <c r="P32" s="26"/>
      <c r="Q32" s="26"/>
      <c r="R32" s="26"/>
      <c r="S32" s="49" t="s">
        <v>165</v>
      </c>
      <c r="T32" s="26"/>
      <c r="U32" s="26"/>
      <c r="V32" s="26"/>
      <c r="W32" s="27"/>
    </row>
    <row r="33" spans="1:23" s="7" customFormat="1">
      <c r="A33" s="49" t="s">
        <v>166</v>
      </c>
      <c r="B33" s="45" t="s">
        <v>167</v>
      </c>
      <c r="C33" s="10" t="s">
        <v>21</v>
      </c>
      <c r="D33" s="10">
        <v>174</v>
      </c>
      <c r="E33" s="11">
        <v>0</v>
      </c>
      <c r="F33" s="13">
        <f t="shared" ref="F33:F34" si="1">D33*E33</f>
        <v>0</v>
      </c>
      <c r="G33" s="49" t="s">
        <v>168</v>
      </c>
      <c r="H33" s="10">
        <v>172</v>
      </c>
      <c r="I33" s="11">
        <v>0</v>
      </c>
      <c r="J33" s="11">
        <v>0</v>
      </c>
      <c r="K33" s="49" t="s">
        <v>169</v>
      </c>
      <c r="L33" s="10">
        <v>170</v>
      </c>
      <c r="M33" s="11">
        <v>0</v>
      </c>
      <c r="N33" s="11">
        <v>0</v>
      </c>
      <c r="O33" s="49" t="s">
        <v>170</v>
      </c>
      <c r="P33" s="10">
        <v>169</v>
      </c>
      <c r="Q33" s="11">
        <v>0</v>
      </c>
      <c r="R33" s="11">
        <v>0</v>
      </c>
      <c r="S33" s="49" t="s">
        <v>171</v>
      </c>
      <c r="T33" s="10">
        <v>167</v>
      </c>
      <c r="U33" s="11">
        <v>0</v>
      </c>
      <c r="V33" s="11">
        <v>0</v>
      </c>
      <c r="W33" s="11">
        <v>0</v>
      </c>
    </row>
    <row r="34" spans="1:23" s="7" customFormat="1">
      <c r="A34" s="49" t="s">
        <v>172</v>
      </c>
      <c r="B34" s="45" t="s">
        <v>173</v>
      </c>
      <c r="C34" s="10" t="s">
        <v>21</v>
      </c>
      <c r="D34" s="10">
        <v>102</v>
      </c>
      <c r="E34" s="11">
        <v>0</v>
      </c>
      <c r="F34" s="13">
        <f t="shared" si="1"/>
        <v>0</v>
      </c>
      <c r="G34" s="49" t="s">
        <v>174</v>
      </c>
      <c r="H34" s="10">
        <v>103</v>
      </c>
      <c r="I34" s="11">
        <v>0</v>
      </c>
      <c r="J34" s="11">
        <v>0</v>
      </c>
      <c r="K34" s="49" t="s">
        <v>175</v>
      </c>
      <c r="L34" s="10">
        <v>104</v>
      </c>
      <c r="M34" s="11">
        <v>0</v>
      </c>
      <c r="N34" s="11">
        <v>0</v>
      </c>
      <c r="O34" s="49" t="s">
        <v>176</v>
      </c>
      <c r="P34" s="10">
        <v>105</v>
      </c>
      <c r="Q34" s="11">
        <v>0</v>
      </c>
      <c r="R34" s="11">
        <v>0</v>
      </c>
      <c r="S34" s="49" t="s">
        <v>177</v>
      </c>
      <c r="T34" s="10">
        <v>107</v>
      </c>
      <c r="U34" s="11">
        <v>0</v>
      </c>
      <c r="V34" s="11">
        <v>0</v>
      </c>
      <c r="W34" s="11">
        <v>0</v>
      </c>
    </row>
    <row r="35" spans="1:23" s="7" customFormat="1">
      <c r="A35" s="49" t="s">
        <v>178</v>
      </c>
      <c r="B35" s="43" t="s">
        <v>179</v>
      </c>
      <c r="C35" s="10" t="s">
        <v>88</v>
      </c>
      <c r="D35" s="14">
        <v>0</v>
      </c>
      <c r="E35" s="11">
        <v>0</v>
      </c>
      <c r="F35" s="13"/>
      <c r="G35" s="49" t="s">
        <v>180</v>
      </c>
      <c r="H35" s="14">
        <v>0</v>
      </c>
      <c r="I35" s="11">
        <v>0</v>
      </c>
      <c r="J35" s="11">
        <v>0</v>
      </c>
      <c r="K35" s="49" t="s">
        <v>181</v>
      </c>
      <c r="L35" s="14">
        <v>0</v>
      </c>
      <c r="M35" s="11">
        <v>0</v>
      </c>
      <c r="N35" s="11">
        <v>0</v>
      </c>
      <c r="O35" s="49" t="s">
        <v>182</v>
      </c>
      <c r="P35" s="14">
        <v>0</v>
      </c>
      <c r="Q35" s="11">
        <v>0</v>
      </c>
      <c r="R35" s="11">
        <v>0</v>
      </c>
      <c r="S35" s="49" t="s">
        <v>183</v>
      </c>
      <c r="T35" s="14">
        <v>0</v>
      </c>
      <c r="U35" s="11">
        <v>0</v>
      </c>
      <c r="V35" s="11">
        <v>0</v>
      </c>
      <c r="W35" s="11">
        <v>0</v>
      </c>
    </row>
    <row r="36" spans="1:23" s="7" customFormat="1" ht="18.75" customHeight="1">
      <c r="A36" s="39"/>
      <c r="B36" s="64" t="s">
        <v>18</v>
      </c>
      <c r="C36" s="65"/>
      <c r="D36" s="66" t="s">
        <v>184</v>
      </c>
      <c r="E36" s="67"/>
      <c r="F36" s="15"/>
      <c r="G36" s="56"/>
      <c r="H36" s="70" t="s">
        <v>185</v>
      </c>
      <c r="I36" s="71"/>
      <c r="J36" s="16"/>
      <c r="K36" s="56"/>
      <c r="L36" s="70" t="s">
        <v>186</v>
      </c>
      <c r="M36" s="71"/>
      <c r="N36" s="16"/>
      <c r="O36" s="56"/>
      <c r="P36" s="70" t="s">
        <v>187</v>
      </c>
      <c r="Q36" s="71"/>
      <c r="R36" s="16"/>
      <c r="S36" s="56"/>
      <c r="T36" s="70" t="s">
        <v>188</v>
      </c>
      <c r="U36" s="71"/>
      <c r="V36" s="16"/>
      <c r="W36" s="60"/>
    </row>
    <row r="37" spans="1:23" s="18" customFormat="1" ht="10.9" customHeight="1">
      <c r="A37" s="7"/>
      <c r="B37" s="62" t="s">
        <v>189</v>
      </c>
      <c r="C37" s="63"/>
      <c r="D37" s="68"/>
      <c r="E37" s="69"/>
      <c r="F37" s="17"/>
      <c r="G37" s="57"/>
      <c r="H37" s="72"/>
      <c r="I37" s="73"/>
      <c r="J37" s="17"/>
      <c r="K37" s="57"/>
      <c r="L37" s="72"/>
      <c r="M37" s="73"/>
      <c r="N37" s="17"/>
      <c r="O37" s="57"/>
      <c r="P37" s="72"/>
      <c r="Q37" s="73"/>
      <c r="R37" s="17"/>
      <c r="S37" s="57"/>
      <c r="T37" s="72"/>
      <c r="U37" s="73"/>
      <c r="V37" s="17"/>
      <c r="W37" s="61"/>
    </row>
    <row r="38" spans="1:23" s="18" customFormat="1">
      <c r="K38" s="20"/>
    </row>
    <row r="39" spans="1:23">
      <c r="A39" s="18"/>
      <c r="B39" s="4"/>
      <c r="C39" s="4"/>
      <c r="J39" s="20"/>
    </row>
    <row r="40" spans="1:23" ht="25.5" customHeight="1">
      <c r="B40" s="20"/>
      <c r="C40" s="20"/>
      <c r="D40" s="20"/>
      <c r="E40" s="20"/>
      <c r="F40" s="20"/>
      <c r="G40" s="20"/>
      <c r="H40" s="20"/>
      <c r="I40" s="20"/>
      <c r="K40" s="21"/>
    </row>
    <row r="41" spans="1:23">
      <c r="J41" s="21"/>
    </row>
    <row r="42" spans="1:23" ht="24.75" customHeight="1">
      <c r="B42" s="21"/>
      <c r="C42" s="21"/>
      <c r="D42" s="21"/>
      <c r="E42" s="21"/>
      <c r="F42" s="21"/>
      <c r="G42" s="21"/>
      <c r="H42" s="21"/>
      <c r="I42" s="21"/>
    </row>
  </sheetData>
  <mergeCells count="23">
    <mergeCell ref="S7:S8"/>
    <mergeCell ref="B7:B8"/>
    <mergeCell ref="C1:J1"/>
    <mergeCell ref="C2:J2"/>
    <mergeCell ref="C3:J3"/>
    <mergeCell ref="C4:J4"/>
    <mergeCell ref="C5:J5"/>
    <mergeCell ref="W36:W37"/>
    <mergeCell ref="B37:C37"/>
    <mergeCell ref="B36:C36"/>
    <mergeCell ref="D36:E37"/>
    <mergeCell ref="H36:I37"/>
    <mergeCell ref="L36:M37"/>
    <mergeCell ref="P36:Q37"/>
    <mergeCell ref="T36:U37"/>
    <mergeCell ref="S36:S37"/>
    <mergeCell ref="A7:A8"/>
    <mergeCell ref="G36:G37"/>
    <mergeCell ref="K7:K8"/>
    <mergeCell ref="K36:K37"/>
    <mergeCell ref="O7:O8"/>
    <mergeCell ref="O36:O37"/>
    <mergeCell ref="G7:G8"/>
  </mergeCells>
  <pageMargins left="0.25" right="0.25" top="0.25" bottom="0.25" header="0.25" footer="0.2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8FA2F4DBC7947AD140E0E7B457240" ma:contentTypeVersion="17" ma:contentTypeDescription="Create a new document." ma:contentTypeScope="" ma:versionID="8d4b8313171c4a7259d74885aad1706c">
  <xsd:schema xmlns:xsd="http://www.w3.org/2001/XMLSchema" xmlns:xs="http://www.w3.org/2001/XMLSchema" xmlns:p="http://schemas.microsoft.com/office/2006/metadata/properties" xmlns:ns1="http://schemas.microsoft.com/sharepoint/v3" xmlns:ns2="ea060dc6-3480-4c8e-809c-224405e03b9e" xmlns:ns3="ff559184-0d06-4629-a649-4481ff06bf8b" targetNamespace="http://schemas.microsoft.com/office/2006/metadata/properties" ma:root="true" ma:fieldsID="bbccabfd9923172ce58023bbe922639e" ns1:_="" ns2:_="" ns3:_="">
    <xsd:import namespace="http://schemas.microsoft.com/sharepoint/v3"/>
    <xsd:import namespace="ea060dc6-3480-4c8e-809c-224405e03b9e"/>
    <xsd:import namespace="ff559184-0d06-4629-a649-4481ff06bf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60dc6-3480-4c8e-809c-224405e03b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f072a5-769d-472a-8166-36f66dcee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59184-0d06-4629-a649-4481ff06bf8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81dc9e0-ff9d-4700-82ee-45ef04a8a585}" ma:internalName="TaxCatchAll" ma:showField="CatchAllData" ma:web="ff559184-0d06-4629-a649-4481ff06bf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f559184-0d06-4629-a649-4481ff06bf8b" xsi:nil="true"/>
    <_ip_UnifiedCompliancePolicyProperties xmlns="http://schemas.microsoft.com/sharepoint/v3" xsi:nil="true"/>
    <lcf76f155ced4ddcb4097134ff3c332f xmlns="ea060dc6-3480-4c8e-809c-224405e03b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352B2A-BCBF-471D-A02E-4C0709D5ACBA}"/>
</file>

<file path=customXml/itemProps2.xml><?xml version="1.0" encoding="utf-8"?>
<ds:datastoreItem xmlns:ds="http://schemas.openxmlformats.org/officeDocument/2006/customXml" ds:itemID="{D516E0C6-6F85-45D6-B0A8-BB505717F636}"/>
</file>

<file path=customXml/itemProps3.xml><?xml version="1.0" encoding="utf-8"?>
<ds:datastoreItem xmlns:ds="http://schemas.openxmlformats.org/officeDocument/2006/customXml" ds:itemID="{7FAE99D7-4D9F-4175-A314-4F5AF6BA4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DoDEA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Chamberlain, Krista M. Ms. CIV OSD/DoDEA-HQ</dc:creator>
  <cp:keywords/>
  <dc:description/>
  <cp:lastModifiedBy/>
  <cp:revision/>
  <dcterms:created xsi:type="dcterms:W3CDTF">2025-01-06T19:47:39Z</dcterms:created>
  <dcterms:modified xsi:type="dcterms:W3CDTF">2025-04-08T12:51:45Z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0x0101004798FA2F4DBC7947AD140E0E7B457240</vt:lpwstr>
  </property>
  <property fmtid="{D5CDD505-2E9C-101B-9397-08002B2CF9AE}" pid="3" name="MediaServiceImageTags">
    <vt:lpwstr/>
  </property>
</Properties>
</file>