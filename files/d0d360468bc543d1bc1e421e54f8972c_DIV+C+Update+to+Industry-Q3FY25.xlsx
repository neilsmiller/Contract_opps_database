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https://armyeitaas-my.sharepoint-mil.us/personal/kellie_n_lamar-reevey_civ_army_mil/Documents/Documents/00 SAM Quarterly Updates to Industry/Jan 2025/"/>
    </mc:Choice>
  </mc:AlternateContent>
  <xr:revisionPtr revIDLastSave="69" documentId="8_{39EC5236-C13E-4D09-A7D8-1D9D20948B85}" xr6:coauthVersionLast="47" xr6:coauthVersionMax="47" xr10:uidLastSave="{35506532-B635-43FD-B8F7-D7D3B19E6400}"/>
  <bookViews>
    <workbookView xWindow="44880" yWindow="8145" windowWidth="29040" windowHeight="15480" xr2:uid="{00000000-000D-0000-FFFF-FFFF00000000}"/>
  </bookViews>
  <sheets>
    <sheet name="Div C Opportunities Status" sheetId="2" r:id="rId1"/>
    <sheet name="Awarded_Canceled" sheetId="4" r:id="rId2"/>
    <sheet name="Legend" sheetId="3" r:id="rId3"/>
  </sheets>
  <definedNames>
    <definedName name="_xlnm._FilterDatabase" localSheetId="1" hidden="1">Awarded_Canceled!$A$3:$AED$18</definedName>
    <definedName name="_xlnm._FilterDatabase" localSheetId="0" hidden="1">'Div C Opportunities Status'!$A$3:$N$27</definedName>
    <definedName name="StatusCategories">Legend!$A$2:$A$7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<sst xmlns="http://schemas.openxmlformats.org/spreadsheetml/2006/main" count="660" uniqueCount="304">
  <si>
    <t>Status</t>
  </si>
  <si>
    <t>KO/KS</t>
  </si>
  <si>
    <t>Solicitation</t>
  </si>
  <si>
    <t>Evaluation</t>
  </si>
  <si>
    <t>Awarded</t>
  </si>
  <si>
    <t>Pre-Award/Package Development</t>
  </si>
  <si>
    <t>Requirement Value</t>
  </si>
  <si>
    <t>Package Received</t>
  </si>
  <si>
    <t>Definition</t>
  </si>
  <si>
    <t>TBD</t>
  </si>
  <si>
    <t>History</t>
  </si>
  <si>
    <t>Status (see legend)</t>
  </si>
  <si>
    <t>This status applies from the time the Contracting Officer accepts a complete, accurate, and actionable requirements package through the development and preparation of the solicitation.</t>
  </si>
  <si>
    <t>Sole Source or Competitive Acquisition</t>
  </si>
  <si>
    <t>Sole Source</t>
  </si>
  <si>
    <t>New Requirement</t>
  </si>
  <si>
    <t>There is no incumbent/current contract for this requirement.</t>
  </si>
  <si>
    <t>Contract Type</t>
  </si>
  <si>
    <t>RFP/TOR/Identifier #</t>
  </si>
  <si>
    <t>ACC-APG Division C - Opportunities</t>
  </si>
  <si>
    <t>Title and Short Description of Effort</t>
  </si>
  <si>
    <t>Estimated/Actual Solicitation Release</t>
  </si>
  <si>
    <t>Incumbent Contractor</t>
  </si>
  <si>
    <t>Estimated POP</t>
  </si>
  <si>
    <t>This status applies when the solicitation has been released to industry through to the receipt of proposals.</t>
  </si>
  <si>
    <t>This status applies from the time a mission partner/customer and ACC-APG begin talking about the requirement through the mission partner/customer submission of a complete and accurate acquisition requirements package.</t>
  </si>
  <si>
    <t>This status applies from the receipt of proposals through the development and preparation of award.</t>
  </si>
  <si>
    <t>The award has been made.</t>
  </si>
  <si>
    <t>The action/requirement has been cancelled.</t>
  </si>
  <si>
    <t>CPFF</t>
  </si>
  <si>
    <t>5 years</t>
  </si>
  <si>
    <t>PM SAI</t>
  </si>
  <si>
    <t>PM EW&amp;C</t>
  </si>
  <si>
    <t>N/A</t>
  </si>
  <si>
    <t>FFP</t>
  </si>
  <si>
    <t>Customer/Mission Partner</t>
  </si>
  <si>
    <t>Requirement</t>
  </si>
  <si>
    <t>Tentative Award Date</t>
  </si>
  <si>
    <t>Competitive</t>
  </si>
  <si>
    <t>The action/requirement has been protested.</t>
  </si>
  <si>
    <t>Post Award Protest</t>
  </si>
  <si>
    <t>Competitive TO under RS3</t>
  </si>
  <si>
    <t>PdD EA</t>
  </si>
  <si>
    <t>MFEW Production Contract</t>
  </si>
  <si>
    <t>$200M</t>
  </si>
  <si>
    <t>2nd Quarter FY24</t>
  </si>
  <si>
    <t>3rd Quarter FY23</t>
  </si>
  <si>
    <t>PM IS&amp;A</t>
  </si>
  <si>
    <t>Lockheed Martin</t>
  </si>
  <si>
    <t>Follow On to W56KGY-18-C-0008</t>
  </si>
  <si>
    <t>NavQSys</t>
  </si>
  <si>
    <t>FFP/CPFF/Cost</t>
  </si>
  <si>
    <t>PD Aerostats</t>
  </si>
  <si>
    <t>RS3-22-0045</t>
  </si>
  <si>
    <t>$100M-$150M</t>
  </si>
  <si>
    <t>60 months</t>
  </si>
  <si>
    <t>$25M-$35M</t>
  </si>
  <si>
    <t>CPFF/FFP</t>
  </si>
  <si>
    <t>PM IS&amp;A SETA</t>
  </si>
  <si>
    <t>Follow On to W15P7T-17-D-0125</t>
  </si>
  <si>
    <t>QED</t>
  </si>
  <si>
    <t>Program Management Support. Skills include systems engineering, systems acquisition, Agile SW development, RMF accreditation support, logistics, resource management reporting, human factors engineering, test/ evaluation, and operations.</t>
  </si>
  <si>
    <t>Intel Apps #3</t>
  </si>
  <si>
    <t>Procure and integrate Intel Apps into Command Post Computing Environment H/W – S/W infrastructure for Information Collection Management efforts</t>
  </si>
  <si>
    <t>Intel Apps #4</t>
  </si>
  <si>
    <t>Procure and integrate Intel Apps into Command Post Computing Environment H/W – S/W infrastructure for Weather Operational Effects</t>
  </si>
  <si>
    <t>$50M-$80M</t>
  </si>
  <si>
    <t xml:space="preserve">Competitive </t>
  </si>
  <si>
    <t>PD SAI</t>
  </si>
  <si>
    <t>Follow on W15P7T-17-D-0113/W56KGY-20-F-0026</t>
  </si>
  <si>
    <t>DHPC Technologies, Inc.</t>
  </si>
  <si>
    <t>1st Quarter FY25</t>
  </si>
  <si>
    <t>5 Years</t>
  </si>
  <si>
    <t>RS3-22-0024</t>
  </si>
  <si>
    <t>Follow-on to W56KGY-19-F-0022</t>
  </si>
  <si>
    <t>Sev1Tech</t>
  </si>
  <si>
    <t>FOFH provides Integrated Logistics Support (Training and Fielding), Storage Facilities Maintenance/Management, and associated Administrative Support to various unit locations worldwide.</t>
  </si>
  <si>
    <t>W56KGY-16-D-0006 - PSDS2 (Raytheon)
W56KGY-19-D-0020 - PSS-T (TCOM, L.P.)
W56KGY-21-C-0020 - FMS Case for KSA (TCOM, L.P.)</t>
  </si>
  <si>
    <t>$3B - $4B</t>
  </si>
  <si>
    <t>FFP/FPIF/CPFF/Cost (No Fee)</t>
  </si>
  <si>
    <t>$65M - $100M</t>
  </si>
  <si>
    <t>60 Months</t>
  </si>
  <si>
    <t>CPFF/Cost (No Fee)</t>
  </si>
  <si>
    <t>Data, Collection, Reduction, and Analysis (DCRA)</t>
  </si>
  <si>
    <t>n/a</t>
  </si>
  <si>
    <t>12-18 months</t>
  </si>
  <si>
    <t>Competitive Stand Alone OTA</t>
  </si>
  <si>
    <t>$85M-$90M</t>
  </si>
  <si>
    <t>$175M-$200M</t>
  </si>
  <si>
    <t>DCRA_RequestforWhitePapers</t>
  </si>
  <si>
    <t>Project Linchpin</t>
  </si>
  <si>
    <t>18 Months</t>
  </si>
  <si>
    <t>Project Linchpin is an effort to enable the Army to establish necessary environments and services for AI-enabled systems, provide a mechanism to create new industry partnerships, and fostering a competitive environment for third-party integration of Artificial Intelligence (AI) and Machine Learning (ML) solutions into Army modernization programs within PEO IEW&amp;S. PEO IEW&amp;S will use Project Linchpin to successfully deploy AI and ML capabilities to intelligence, cyber, and electronic warfare sensor systems. The goal is to create a complete and efficient AI and ML development and delivery operational pipeline (AI/MLOps) with supporting services for sensor programs within PEO IEW&amp;S while managing cost, schedule, risk, and performance</t>
  </si>
  <si>
    <t>W56KGY-R-0001</t>
  </si>
  <si>
    <t>120 months</t>
  </si>
  <si>
    <t>FFP,CPFF, CPIF, FPIF</t>
  </si>
  <si>
    <t>4th Quarter FY23</t>
  </si>
  <si>
    <t xml:space="preserve">PD SAI has a requirement to develop, acquire, field and provide life-cycle support to tactically relevant Aerial Intelligence, Surveillance, and Reconnaissance (AISR) sensors and integrated systems across a broad spectrum of Multiple Intelligence (MULTI-INT) capabilities, including but not limited to: Electro-Optical/Infra-Red (EO/IR), Synthetic Aperture Radar/Ground Moving Target Indicators (SAR/GMTI), Signals Intelligence (SIGINT), Geospatial Intelligence (GEOINT), and Measurement and Signature Intelligence (MASINT). </t>
  </si>
  <si>
    <t>$500M-$1B</t>
  </si>
  <si>
    <t>Field Office Fort Cavazos (Hood) Sustainment Follow-on</t>
  </si>
  <si>
    <t>4th Quarter FY23 - 14 July 2023</t>
  </si>
  <si>
    <t>DIABLO - Development, Integration, Acquisition, Bridging to Logistics &amp; Operations</t>
  </si>
  <si>
    <t xml:space="preserve">W15P7T-17-D-0100/W56KGY-19-F-0025 &amp; W15P7T-D-0103/W56KGY-19-F-0074 </t>
  </si>
  <si>
    <t xml:space="preserve">MAG Aerospace &amp; Leidos </t>
  </si>
  <si>
    <t>3rd Quarter FY24</t>
  </si>
  <si>
    <t>RS3-23-0019</t>
  </si>
  <si>
    <t>W56KGY-24-R-0003</t>
  </si>
  <si>
    <t>RS3-22-0073</t>
  </si>
  <si>
    <t>PM PNT</t>
  </si>
  <si>
    <t>Positioning, Navigation &amp; Timing (PNT) Product Services Support (PSS)</t>
  </si>
  <si>
    <t>W15P7T-17-D-0125/W56KGY-21-F-0069</t>
  </si>
  <si>
    <t>QED Systems LLC</t>
  </si>
  <si>
    <t>48 Months</t>
  </si>
  <si>
    <t>CPFF, Cost (No Fee), FFP</t>
  </si>
  <si>
    <t xml:space="preserve">TBD </t>
  </si>
  <si>
    <t>Assured Positioning, Navigation, Timing &amp; Space (APNT/S) Capability Demonstrations</t>
  </si>
  <si>
    <t>OTA</t>
  </si>
  <si>
    <t>RPP 2nd Quarter 2024</t>
  </si>
  <si>
    <t>RS3-23-0023</t>
  </si>
  <si>
    <t>CECOM  SEC</t>
  </si>
  <si>
    <t>Sensors System/Software Support</t>
  </si>
  <si>
    <t>Follow-on to W15P7T-12-D-E001/W56JSR19F0129</t>
  </si>
  <si>
    <t>Leidos</t>
  </si>
  <si>
    <t xml:space="preserve">Title - CECOM Software Engineering Center (SEC) Intelligence Electronic Warfare &amp; Surveillance (IEW&amp;S) Sensors and Software Support Description /  The objective of this effort is to provide system/software engineering support to U.S. Army Communications-Electronics Command (CECOM) Software Engineering Center (SEC), IEW&amp;S Directorate Sensors and Mission Division (SMED), software solutions and services within the Army Command, Control, Computers, Communications, Cyber, Intelligence, Surveillance, and Reconnaissance (C5ISR) community and across the Department of Defense (DoD) Enterprise                                                                                                                                                                                                                                                                                                                                                  </t>
  </si>
  <si>
    <t>SNTRE_RequestforWhitePapers</t>
  </si>
  <si>
    <t>PM EWC</t>
  </si>
  <si>
    <t>Spectrum Node Terrestrial Layer System (SNTRE)</t>
  </si>
  <si>
    <t>$14M</t>
  </si>
  <si>
    <t>2 Years</t>
  </si>
  <si>
    <t>The TLS EAB program requires a spectrum monitoring capability referred to as Spectrum Node TLS Remote Evaluation (SNTRE) to provide local situational understanding and to fill in RF detection gaps within the Division and Corps rear areas of operation. The SNTRE will be utilized as both a local self-protection capability for TLS EAB to “see itself”, as well as a remotely emplaced sensor capability that can provide spectrum data back to the TLS EAB system. SNTRE may also be used by the MDTF as a remotely emplaced, unmanned forward spectrum sensor.</t>
  </si>
  <si>
    <t>S2AS_RequestforWhitePapers</t>
  </si>
  <si>
    <t>Spectrum Situational Awareness System (S2AS)</t>
  </si>
  <si>
    <t>$70M</t>
  </si>
  <si>
    <t>2nd Quarter FY25</t>
  </si>
  <si>
    <t>3 Years</t>
  </si>
  <si>
    <t>S2AS supports CP survivability requirements by means of real-time monitoring of friendly force EMS signatures, and ensures Commanders’ have access to the EMS to effectively command and control their forces. Collected spectrum data from the technology solution will disseminate the collected emissions data to the Army’s Program of Record spectrum visualization tool – the EWPMT.</t>
  </si>
  <si>
    <t>RS3-23-0046</t>
  </si>
  <si>
    <t>SSW DevSecOps Software Support</t>
  </si>
  <si>
    <t>Follow-on-to W15P7T-19-D-0077 / W56KGY22F0003</t>
  </si>
  <si>
    <t xml:space="preserve"> Effort is to award to a software (SW) partner who will operate a continuous integration and continuous development (CI/CD) software pipeline through an established DoD cloud service provider. This CI/CD pipeline will be utilized for a Signals Intelligence (SIGINT), Cyber, and Electronic Warfare (EW) technologies and systems by utilizing commercial best practices for software development that centers on stakeholder involvement, Agile software development using the Scaled Agile Framework (SAFe) methodology, DevSecOps, and microservices architecture.</t>
  </si>
  <si>
    <t>W56KGY-24-R-0001</t>
  </si>
  <si>
    <t>W56KGY-24-R-0002</t>
  </si>
  <si>
    <t>1st Quarter FY24</t>
  </si>
  <si>
    <t>$400M to $500M</t>
  </si>
  <si>
    <t xml:space="preserve">Sole Source </t>
  </si>
  <si>
    <t xml:space="preserve">A single award Indefinite Delivery Indefinite Quantity to  provide engineering support, sustainment, production, and life-cycle contractor support required to deploy and maintain the readiness and operational capability of the ASARS-2B/C ARS onto Army platforms. </t>
  </si>
  <si>
    <t>SOCOM Tactical Airborne Multi-Sensor Platforms (STAMP)</t>
  </si>
  <si>
    <t>Follow On W15P7T-19-D-0174/W56KGY-20-F-0067</t>
  </si>
  <si>
    <t>$550M to $600M</t>
  </si>
  <si>
    <t>1st QTR of FY 25</t>
  </si>
  <si>
    <t xml:space="preserve">Provide operation and support (O&amp;S) of STAMP aircraft, to include mission planning, aircraft operations, Primary Mission Equipment (PME) operations, aircraft and PME maintenance and sustainment, training configuration management, system integration and installation, engineering services and system deployment, logistics support, and relocation and demobilization support. </t>
  </si>
  <si>
    <t>Army Reprogramming Analysis Team - Program Office (ARAT-PO)</t>
  </si>
  <si>
    <t>Follow On W15P7T-12-D-E010/W56JSR-19-F-0086</t>
  </si>
  <si>
    <t>CACI</t>
  </si>
  <si>
    <t>$100-$400M</t>
  </si>
  <si>
    <t xml:space="preserve">Provide rapid software reprogramming support of assigned terrestrial and airborne Electronic Warfare Systems (EWS) as part of the Army Reprogramming Analysis Team - Program Office (ARAT-PO) program for providing Post Deployment Software Support (PDSS) and Post Production Software Support (PPSS) pursuant to Army regulations. </t>
  </si>
  <si>
    <t>$20M</t>
  </si>
  <si>
    <t xml:space="preserve">Intel Apps #6 </t>
  </si>
  <si>
    <t>FY26</t>
  </si>
  <si>
    <t>$100M</t>
  </si>
  <si>
    <t>TBD RS3</t>
  </si>
  <si>
    <t>CECOM SEC</t>
  </si>
  <si>
    <t>Distributed Common Ground System-Army (DCGS-A) Family of System (FoS) Systems Engineering and Technical Maintenance </t>
  </si>
  <si>
    <t>4th Quarter FY24</t>
  </si>
  <si>
    <t>System Engineering, Software Integration and Build Services, Cybersecurity Services, Configuration Management (CM) Services, Verification and Validation Services, Infrastructure Services, and Logistics Services to support the SEC mission</t>
  </si>
  <si>
    <t xml:space="preserve">Intel Apps #5 </t>
  </si>
  <si>
    <t>Electronic Warfare Planning and Management Tool (EWPMT) Fielding</t>
  </si>
  <si>
    <t>Advanced Synthetic Aperture Radar System (ASARS)</t>
  </si>
  <si>
    <t>1st Quarter FY26</t>
  </si>
  <si>
    <t>Ricardo Rivera - ricardo.a.rivera50.civ@army.mil               Kristopher Tress - kristopher.b.tress.civ@army.mil</t>
  </si>
  <si>
    <t>Scott Butterfield - scott.d.butterfield2.civ@army.mil                        Michelle Hamann - michelle.a.hamann.civ@army.mil</t>
  </si>
  <si>
    <t>Charles Compton - charles.t.compton5.civ@army.mil          Christina Chesaldine - christina.r.chesaldine.civ@army.mil</t>
  </si>
  <si>
    <t>PNT PSS will provide a range of services necessary for the continued development, production, modernization, fielding and sustainment of a portfolio of PNT systems.  PSS will be needed in various contiguous United States (CONUS) and Outside Contiguous United States (OCONUS) locations.</t>
  </si>
  <si>
    <t>Aerostat production, engineering and support services for U.S. Army and Foreign Military Sales (FMS) requirements.  Includes follow-on efforts for Persistent Surveillance Dissemination System of Systems (PSDS2), Persistent Surveillance System - Tethered (PSS-T) and FMS Case for the Kingdom of Saudi Arabia (KSA)</t>
  </si>
  <si>
    <t>Acquisition management, systems engineering, technical support, logistic support, planning, and other management support services necessary to accomplish the missions and goals of Project Directorate Sensors.</t>
  </si>
  <si>
    <t>Far Based MFEW Production contract.  15 Sept - award date pushed due to testing.</t>
  </si>
  <si>
    <t>Eric Roberts - eric.j.roberts48.civ@army.mil
Raymond Tchoulakian - raymond.g.tchoulakian,civ@army.mil</t>
  </si>
  <si>
    <t xml:space="preserve">Chris Gaines - christopher.r.gaines4.civ@army.mil           David Kendrick - david.j.kendrick.civ@army.mil </t>
  </si>
  <si>
    <t>Dolrica Wright - dolrica.j.wright@army.mil                                     Patrick Cruickshank - patrick.r.cruickshank.civ@army.mil</t>
  </si>
  <si>
    <t>Scott Butterfield - scott.d.butterfield2.civ@army.mil                Rachel Moresi - rachel.l.moresi.civ@army.mil</t>
  </si>
  <si>
    <t>Oral Grant - oral.g.grant.civ@army.mil                                   Amber Lowe - amber.m.lowe.civ@army.mil</t>
  </si>
  <si>
    <t>PEO IEW&amp;S Digital Engineering Ecosystem (DEE)</t>
  </si>
  <si>
    <t>$10M</t>
  </si>
  <si>
    <t>PEO IEW&amp;S</t>
  </si>
  <si>
    <t>PEO IEWS  - Integration Directorate is seeking solutions for a DEE that will assist PEO IEW&amp;S in identifying the current, proven, supported capability level of tools and approaches that provide interoperable solutions relevant to identified digital threads. A Digital thread is an extensible and configurable analytical framework that seamlessly expedites the controlled interplay of technical data, software, information, and knowledge in the DE ecosystem, based on the established requirements, architectures, formats, and rules for building digital system models. It is used to inform decision makers throughout a system’s lifecycle by providing the capability to access, integrate, and transform data into actionable information.</t>
  </si>
  <si>
    <t>RS3-23-0017</t>
  </si>
  <si>
    <t>Duplicate Entry: Effort cancelled.  Acquisition being conducted out of ACC-RSA.</t>
  </si>
  <si>
    <t>Effort cancelled.  USG pursuing another strategy.</t>
  </si>
  <si>
    <t>4th Quarter FY25</t>
  </si>
  <si>
    <t>RS3-23-0022</t>
  </si>
  <si>
    <t>Follow-on to W15P7T-12-D-E005/W56JSR19F0084</t>
  </si>
  <si>
    <t>ManTech</t>
  </si>
  <si>
    <t>LufCo</t>
  </si>
  <si>
    <t>$45M</t>
  </si>
  <si>
    <t>CPFF Term and Completion/ Cost</t>
  </si>
  <si>
    <t>Canceled</t>
  </si>
  <si>
    <t>This will now be Phase 3 of the SNTRE OTA</t>
  </si>
  <si>
    <t>RS3-24-0049</t>
  </si>
  <si>
    <t>FFP/CPFF/T&amp;M</t>
  </si>
  <si>
    <t>David Clark - david.j.clark62.civ@army.mil                       Thomas Lueddeke - thomas.j.lueddeke.civ@army.mil</t>
  </si>
  <si>
    <t>Scott Butterfield - scott.d.butterfield2.civ@army.mil        Monica Holmes- monica.d.holmes2.civ@army.mil</t>
  </si>
  <si>
    <t>Scott Butterfield - scott.d.butterfield2.civ@army.mil
Rachel Moresi - rachel.l.moresi.civ@army.mil</t>
  </si>
  <si>
    <t>$210M</t>
  </si>
  <si>
    <r>
      <t>An  Imagery Intelligence (IMINT)  software capability that generates Operational Environment knowledge, supports situation awareness, and targeting (Decide, Detect, Assess).</t>
    </r>
    <r>
      <rPr>
        <b/>
        <sz val="11"/>
        <rFont val="Calibri"/>
        <family val="2"/>
        <scheme val="minor"/>
      </rPr>
      <t> </t>
    </r>
  </si>
  <si>
    <r>
      <t>DCRA is a solution to an on-going Army problem that as Army sensor and Intel system capabilities grow, to accommodate data at higher volume, variety, velocity, and veracity, there is an increasing need to develop automated tools to assist in the processes. The approach is to develop automated DCRA tools that strive to improve and automate the ability to stimulate TITAN and collect, reduce and analyze data resulting from stimulation of TITAN to improve understanding of system performance. The solution will integrate simulation, stimulation, scenario generation and scoring capabilities that align with TITAN needs. This solution must provide an analysis dashboard with the ability to assess the performance of the desired capabilities of TITAN system: Data Ingest and Egress; Data Fusion; Target Detection, Recognitions, and Identification; Target Solution and Message Creation; Technical Performance and Reliability; Data Integrity.</t>
    </r>
    <r>
      <rPr>
        <b/>
        <sz val="11"/>
        <rFont val="Arial"/>
        <family val="2"/>
      </rPr>
      <t xml:space="preserve"> </t>
    </r>
  </si>
  <si>
    <t>A Human Intelligence (HUMINT)/Counter Intelligence (CI) software capability that integrates HUMINT and CI aspects into the Operational Environment assessment and addresses the Commander's information needs.</t>
  </si>
  <si>
    <t>Awarded 8/6/2024</t>
  </si>
  <si>
    <t>On Hold</t>
  </si>
  <si>
    <t>The action/requirement is on hold pending funding or other mission partner/customer input</t>
  </si>
  <si>
    <t>3rd Quarter FY25</t>
  </si>
  <si>
    <t>PEO IEW&amp;S Artificial Intelligence and Software at Pace (AIS@P) MATOC</t>
  </si>
  <si>
    <t>$990M</t>
  </si>
  <si>
    <t>2nd Quarter Fy 25</t>
  </si>
  <si>
    <t>The PEO IEW&amp;S AIS@P contract vehicle includes two vendor pools supporting PEO IEW&amp;S focusing on the areas AI/ML and SW Development. The AI/ML pool will focus on supporting the Project Linchpin efforts.  The SW Development pool shall include design, development, fabrication, and testing of developmental systems covering the complete range of the PEO IEW&amp;S portfolio.  Example efforts may include signal detection and analysis, EMS effects, and signal exploitation.</t>
  </si>
  <si>
    <t>RS3-24-0012</t>
  </si>
  <si>
    <t>PM C&amp;S</t>
  </si>
  <si>
    <t>$150M-$200M</t>
  </si>
  <si>
    <t>C5-25-2007</t>
  </si>
  <si>
    <t>Joint Common Access Platform (JCAP) Federated Hyperconverged Infrastructure (FHCI) OTA</t>
  </si>
  <si>
    <t>Competitive Prototype Phase: (15 months),    Prototype Maturation Phase: (15 months)</t>
  </si>
  <si>
    <t>Competitive OTA under C5</t>
  </si>
  <si>
    <t>The FCHI prototype will simplify management of the compute, storage, and networking environment by presenting the equivalent of a single-vendor approach to accomplish system administration tasks across a distributed product baseline to: 1) provision or tear down resources; 2) automate failover to secondary sites, zones, or regions; 3) enable continuity of operations in Disconnected, Intermittent, or Limited environments with fallback to on-premises resources or local edge devices; 4) remotely patch or harden; and 5) dynamically monitor and adjust configurations for improved performance and cost optimization. FHCI supports a tiered storage architectures for stream or batch data processing that abstracts legacy Storage Area Network or Network-Attached Storage technologies.</t>
  </si>
  <si>
    <t>PM C&amp;S Systems Engineering and Technical Assistance (SETA) Support</t>
  </si>
  <si>
    <t>PD SAI Systems Engineering and Technical Assistance (SETA) Support</t>
  </si>
  <si>
    <t>PD Aerostats Science, Engineering and Technical Assistance (SETA) Support</t>
  </si>
  <si>
    <t>PM EW&amp;C Systems Engineering and Technical Assistance (SETA) Support</t>
  </si>
  <si>
    <t xml:space="preserve">Follow-on W15P7T-17-D­0100/ W56KGY22F0057 </t>
  </si>
  <si>
    <t>MAG</t>
  </si>
  <si>
    <t>$250M</t>
  </si>
  <si>
    <t>Comptetitve TO under RS3</t>
  </si>
  <si>
    <t>Chris Gaines - christopher.r.gaines4.civ@army.mil</t>
  </si>
  <si>
    <t>White Papers: Aug 24</t>
  </si>
  <si>
    <t xml:space="preserve">Provides services to include programmatic/business management services, engineering support services, and acquisition/administrative support services for the mission of PM EW&amp;C </t>
  </si>
  <si>
    <t>Oral Grant - oral.g.grant.civ@army.mil                                   Charlesworth Williams-Charlesworth.c.williams.civ@army.mil</t>
  </si>
  <si>
    <t>Jennifer Mattessino - jennifer.l.mattessino.civ@army.mil    Justina Dahler - justina.m.dahler.civ@army.mil</t>
  </si>
  <si>
    <t>Jennifer Mattessino - jennifer.l.mattessino.civ@army.mil Frankie Hunter - frankie.l.hunter2.civ@army.mil</t>
  </si>
  <si>
    <t>Eric Pyles - eric.c.pyles.civ@army.mil                                           Marcus Robinson - marcus.j.robinson35.civ@army.mil</t>
  </si>
  <si>
    <t>Ricardo Rivera - ricardo.a.rivera50.civ@army.mil                       Cesar Mencia - cecar.m.mencia.civ@army.mil</t>
  </si>
  <si>
    <t xml:space="preserve">Chris Gaines - christopher.r.gaines4.civ@army.mil                     Kellie Clavijo - kellie.r.clavijo.civ@army.mil </t>
  </si>
  <si>
    <t>Larry Holton - lawrence.j.holton.civ@army.mil                        Michelle Hamann - michelle.a.hamann.civ@army.mil</t>
  </si>
  <si>
    <t>Oral Grant - oral.g.grant.civ@army.mil                              Charlesworth Williams - Charlesworth.c.williams.civ@army.mil</t>
  </si>
  <si>
    <t>Scott Butterfield - scott.d.butterfield2.civ@army.mil             Monica Holmes- monica.d.holmes2.civ@army.mil</t>
  </si>
  <si>
    <t>Kristen Weiman- kristen.l.weiman.civ@army.mil                     Thomas Lueddeke- thomas.j.lueddeke.civ@army.mil</t>
  </si>
  <si>
    <t>Oral Grant- Oral.g.grant.civ@army.mil                                           Patrick Cruickshank- patrick.r.cruickshank.civ@army.mil</t>
  </si>
  <si>
    <t>Oral Grant- Oral.g.grant.civ@army.mil                                            Amber Lowe- Amber.m.lowe3.civ@army.mil</t>
  </si>
  <si>
    <t xml:space="preserve">   10 Years             </t>
  </si>
  <si>
    <r>
      <rPr>
        <b/>
        <sz val="11"/>
        <color rgb="FFFF0000"/>
        <rFont val="Arial"/>
        <family val="2"/>
      </rPr>
      <t>Now being procured under AIS@P requirement</t>
    </r>
    <r>
      <rPr>
        <sz val="11"/>
        <rFont val="Arial"/>
        <family val="2"/>
      </rPr>
      <t>. Project Linchpin is an effort to enable the Army to establish necessary environments and services for AI-enabled systems, provide a mechanism to create new industry partnerships, and fostering a competitive environment for third-party integration of Artificial Intelligence (AI) and Machine Learning (ML) solutions into Army modernization programs within PEO IEW&amp;S. PEO IEW&amp;S will use Project Linchpin to successfully deploy AI and ML capabilities to intelligence, cyber, and electronic warfare sensor systems. The goal is to create a complete and efficient AI and ML development and delivery operational pipeline (AI/MLOps) with supporting services for sensor programs within PEO IEW&amp;S while managing cost, schedule, risk, and performance</t>
    </r>
  </si>
  <si>
    <t>NAVWAR Electronic Attack System Overhead (NESO)</t>
  </si>
  <si>
    <t>See Cell D8</t>
  </si>
  <si>
    <t>Larry Holton - lawrence.j.holton.civ@army.mil                       Nicholas Mitrocsak - nicholas.m.mitrocsak.civ@army.mil</t>
  </si>
  <si>
    <t>Kendall Ruff - kendall.d.ruff.civ@army.mil                                  Jamillah Jonjo - jamillah.n.jonjo.civ@army.mil</t>
  </si>
  <si>
    <t>10 years at current (5 year base with 5 one year option periods)</t>
  </si>
  <si>
    <t xml:space="preserve">NESO is a lightweight and modular Navigation Warfare/Electronic Warfare system designed for carriage on a High-Altitude Platform. NESO will penetrate into Anti-Access/Area Denial (A2AD) bubbles in "Competition and Conflict" to sense, deny and manipulate adversary Positioning, Navigation and Timing (PNT), Command and Control (C2), Communications, and other Eletromagnetic Spectrum (EMS) enabled services.  </t>
  </si>
  <si>
    <t>Next Generation Mounted Assured Positioning, Navigation &amp; Timing (PNT) System - NorthStar</t>
  </si>
  <si>
    <t>Terrestrial Layer System - Echelons Above Brigade (TLS EAB) Division Signals Intelligence (SIGINT) and Electronic Warfare (EW) Integration Solution</t>
  </si>
  <si>
    <t>2nd Quarter FY26</t>
  </si>
  <si>
    <t>2nd Quarter FY27</t>
  </si>
  <si>
    <t>Oral Grant- Oral.g.grant.civ@army.mil</t>
  </si>
  <si>
    <t>This effort is to integgrate disaggregated and distributed hardware/software EW capability into/onto either a small-scale transit case or a large-scale C2 platform and/or shelter.</t>
  </si>
  <si>
    <t>$25M-35M</t>
  </si>
  <si>
    <t>$120M-150M</t>
  </si>
  <si>
    <t>$20M-30M</t>
  </si>
  <si>
    <t>C5ISR / EW Modular Open Suite of Standards (CMOSS) Mounted Form Factor (CMFF) Assured Positioning, Navigation, and Timing (APNT) Card – Block 2</t>
  </si>
  <si>
    <t>Charles Compton - charles.t.compton5.civ@army.mil             Tolulope Olojo - tolulope.o.olojo.civ@army.mil</t>
  </si>
  <si>
    <t>$25M-$50M</t>
  </si>
  <si>
    <t>$44M-$64M</t>
  </si>
  <si>
    <t>Prototype development phase will last up to 42 months</t>
  </si>
  <si>
    <t>PM PNT is pursuing the Next Generation of Mounted A-PNT systems in support of Army Mounted platforms. The desired system(s) will provide Assured PNT to the mounted warfighter in an increasingly signals and RF contested environment. NorthStar will have a Modular Open System Approach (MOSA) centered design and include non-RF and non-GPS capabilities. The Army is interested in pursuing a tiered approach from multiple vendors based on specific platform mission requirements. To streamline integration, the government anticipates defining a single platform A-kit. (RFI# W56KGY-24-PNTMOD-0001)</t>
  </si>
  <si>
    <t>3rd Quarter FY26</t>
  </si>
  <si>
    <t>Navigation Warfare Situational Awareness (NAVWAR SA)</t>
  </si>
  <si>
    <t>NAVWAR SA is a system of systems solution that ties together applications, systems and Soldiers necessary to sense areas of PNT denial, analyze mission impact, and communicate those impacts for mission planning and execution.  Fusion of sensors provide a comprehensive and in-depth common operation picture of electromagnetic spectrum access to PNT information across all and warfighting domains. (RFI # W56KGY-24-PNTMOD-0003)</t>
  </si>
  <si>
    <t>Charles Compton - charles.t.compton5.civ@army.mil             John Tatum - john-solomon.tatum.civ@army.mil</t>
  </si>
  <si>
    <t>$89M-109M</t>
  </si>
  <si>
    <t>PM PNT Systems Engineering and Technical Assistance Support (SETA)</t>
  </si>
  <si>
    <t>RS3-25-0009</t>
  </si>
  <si>
    <t>$160M-$200M</t>
  </si>
  <si>
    <t xml:space="preserve">Aaron Kazi - aaron.h.kazi.civ@army.mil                                       Rachel Polk - rachel.a.polk.civ@army.mil </t>
  </si>
  <si>
    <t>This effort is to provide support in the areas of administrative, business management, programmatic contracting, information technology, program management, engineering, logistics, test and evaluation, training, operations, security, technology protection, foreign military sales, and acquisition and strategic planning services for PM PNT</t>
  </si>
  <si>
    <t xml:space="preserve">PM PNT wants to understand concepts, technologies, capabilities, and cards offered by industry and the trade space between non-RF performance, cost, modularity, and openness. This dedicated card will consist of commercially developed circuit card that adhere to CMFF standards supporting the US Army. This card must also receive and intelligently filter and fuse multiple PNT sources to provide accurate and reliable PNT capabilities to ground platforms, their subsystems, and occupants. This capability will empower units to confidently operate and maneuver in the presence of electromagnetic interference or disruption and overcome the limitations and vulnerabilities of PNT devices that rely solely on GPS. (RFI# W56KGY-24-PNTMOD-0002) </t>
  </si>
  <si>
    <t>Artificial Intelligence Software at Pace (AIS@P) Indefinite Delivery Indefinite Quantity (IDIQ) Multiple Award Task Order Contract (MATOC) For PEO IEW&amp;S Requirements - Previously presented as Linchpin</t>
  </si>
  <si>
    <t>Aerostat Multiple Award Task Order Contract (MATOC) Indefinite Delivery Indefinite Quantity (IDIQ)</t>
  </si>
  <si>
    <t>A MATOC that will consist of two (2) vendor “Requirement Pools.” One (1) pool will be for Artificial Intelligence/Machine Learning (AI/ML) and one (1) pool for Software (SW) development.  The goal will be to award task orders &lt;$25M from this MATOC within 30 days and to on and off ramp vendors perpetually.</t>
  </si>
  <si>
    <t>$960M-$1B</t>
  </si>
  <si>
    <t>Kristin Weiman - kristen.l.weiman.civ@army.mil                    Thomas Lueddeke - thomas.j.lueddeke.civ@army.mil</t>
  </si>
  <si>
    <t>Estimated/Actual Award Date</t>
  </si>
  <si>
    <t xml:space="preserve"> 8/29/24</t>
  </si>
  <si>
    <t xml:space="preserve"> 7/31/2024</t>
  </si>
  <si>
    <t>As of:  1/23/2025</t>
  </si>
  <si>
    <t>As of:  4/18/2025</t>
  </si>
  <si>
    <r>
      <t>A task order to be competed under the Responsive Strategic Sources for Services (RS3) to provide professional services and support to PM C&amp;S. SETA contractors provide analysis and engineering services in a consulting capacity, working closely with government engineering staff. The supported offices execute integrated program management of research, development, production, life cycle acquisition, and sustainment activities</t>
    </r>
    <r>
      <rPr>
        <b/>
        <sz val="11"/>
        <rFont val="Calibri"/>
        <family val="2"/>
        <scheme val="minor"/>
      </rPr>
      <t>.. RFP was released 26 March 2025</t>
    </r>
  </si>
  <si>
    <t>AWARDED on 3/13/2025</t>
  </si>
  <si>
    <t>AWARDED on 2/22/2025</t>
  </si>
  <si>
    <t xml:space="preserve"> Follow-on Systems Engineering &amp; Technical Assistance (SETA) support services requirements for Product Director (PD) Aerostat.  The support services will include, but not limited to, engineering, technical, scientific, program support, business &amp; analytical, acquisition, logistics, administration, program &amp; integration , risk management and other acquisition requirements.</t>
  </si>
  <si>
    <t>Alpha Contracting</t>
  </si>
  <si>
    <t>4th Quarter FY 25</t>
  </si>
  <si>
    <r>
      <t xml:space="preserve">Aaron Kazi - aaron.h.kazi.civ@army.mil                                     </t>
    </r>
    <r>
      <rPr>
        <sz val="11"/>
        <color rgb="FFFF0000"/>
        <rFont val="Calibri"/>
        <family val="2"/>
        <scheme val="minor"/>
      </rPr>
      <t>Michael Mitchell -  michael.a.mitchell3.civ@army.mil</t>
    </r>
  </si>
  <si>
    <t>C5-25-1001</t>
  </si>
  <si>
    <t>PM Tactical Radios</t>
  </si>
  <si>
    <t>C5ISR / EW Modular Open Suite of Standards (CMOSS) Mounted Form Factor (CMFF) Tactical Radios Capabilities</t>
  </si>
  <si>
    <t>$8M-$14M</t>
  </si>
  <si>
    <t>Kellie Lamar-Reevey - kellie.n.lamar-reevey.civ@army.mil                                            LaShannon Taylor - lashannon.m.taylor.civ@army.mil</t>
  </si>
  <si>
    <t>Phase 1: Design and Build - 24 months                        Addditional phases: Follow-on Training and Experimentation -  12 months each. Total PoP up to 60 months</t>
  </si>
  <si>
    <t>Request for White Papers: 3/27/25               Request for Proposals: August 2025</t>
  </si>
  <si>
    <t>PM Tactical Radios has requirements for CMFF under Block II as the replacement of dual mounted Manpack radios on selected ground platforms, and radios on Aviation platforms. The Army requires a version of CMFF technology suitable for Lab and End-User testing (Soldier Touch Points). The focus is on the Communication Components, which are broken out into 4 Problem Areas (PAs) as detailed below:
PA 1) Digital SDR card(s) to support multiple channels of SINCGARS, WREN TSM, and ATC (VHF/UHF LOS AM/FM) waveform applications
PA 2) Cryptographic Subsystem (CSS) card
PA 3) Digital Radiohead(s) (DRHs) using digital inputs (with an optional analog interface)
PA 4) VICTORY Audio Adapter (VAX)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</si>
</sst>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6" x14ac:knownFonts="1">
    <font>
      <sz val="11"/>
      <color theme="1"/>
      <name val="Calibri"/>
      <family val="2"/>
      <scheme val="minor"/>
    </font>
    <font>
      <sz val="11"/>
      <name val="Calibri"/>
      <family val="2"/>
      <scheme val="minor"/>
    </font>
    <font>
      <sz val="11"/>
      <color theme="1"/>
      <name val="Calibri"/>
      <family val="2"/>
      <scheme val="minor"/>
    </font>
    <font>
      <sz val="12"/>
      <color theme="1"/>
      <name val="Arial"/>
      <family val="2"/>
    </font>
    <font>
      <b/>
      <sz val="16"/>
      <color theme="1"/>
      <name val="Arial"/>
      <family val="2"/>
    </font>
    <font>
      <sz val="11"/>
      <name val="Arial"/>
      <family val="2"/>
    </font>
    <font>
      <u/>
      <sz val="11"/>
      <color theme="10"/>
      <name val="Calibri"/>
      <family val="2"/>
      <scheme val="minor"/>
    </font>
    <font>
      <b/>
      <sz val="11"/>
      <name val="Calibri"/>
      <family val="2"/>
      <scheme val="minor"/>
    </font>
    <font>
      <b/>
      <sz val="12"/>
      <name val="Calibri"/>
      <family val="2"/>
      <scheme val="minor"/>
    </font>
    <font>
      <b/>
      <u/>
      <sz val="11"/>
      <name val="Calibri"/>
      <family val="2"/>
      <scheme val="minor"/>
    </font>
    <font>
      <b/>
      <sz val="11"/>
      <name val="Arial"/>
      <family val="2"/>
    </font>
    <font>
      <sz val="8"/>
      <name val="Calibri"/>
      <family val="2"/>
      <scheme val="minor"/>
    </font>
    <font>
      <sz val="11"/>
      <color rgb="FFFF0000"/>
      <name val="Calibri"/>
      <family val="2"/>
      <scheme val="minor"/>
    </font>
    <font>
      <sz val="11"/>
      <color rgb="FFFF0000"/>
      <name val="Arial"/>
      <family val="2"/>
    </font>
    <font>
      <b/>
      <sz val="11"/>
      <color rgb="FFFF0000"/>
      <name val="Arial"/>
      <family val="2"/>
    </font>
    <font>
      <sz val="12"/>
      <name val="Calibri"/>
      <family val="2"/>
      <scheme val="minor"/>
    </font>
  </fonts>
  <fills count="7">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0" tint="-0.249977111117893"/>
        <bgColor indexed="64"/>
      </patternFill>
    </fill>
  </fills>
  <borders count="19">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bottom style="medium">
        <color auto="1"/>
      </bottom>
      <diagonal/>
    </border>
    <border>
      <left/>
      <right/>
      <top/>
      <bottom style="medium">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auto="1"/>
      </left>
      <right/>
      <top style="medium">
        <color auto="1"/>
      </top>
      <bottom style="medium">
        <color auto="1"/>
      </bottom>
      <diagonal/>
    </border>
  </borders>
  <cellStyleXfs count="3">
    <xf numFmtId="0" fontId="0" fillId="0" borderId="0"/>
    <xf numFmtId="164" fontId="2" fillId="0" borderId="0"/>
    <xf numFmtId="0" fontId="6" fillId="0" borderId="0" applyNumberFormat="0" applyFill="0" applyBorder="0" applyAlignment="0" applyProtection="0"/>
  </cellStyleXfs>
  <cellXfs count="70">
    <xf numFmtId="0" fontId="0" fillId="0" borderId="0" xfId="0"/>
    <xf numFmtId="0" fontId="3" fillId="5" borderId="7" xfId="0" applyFont="1" applyFill="1" applyBorder="1"/>
    <xf numFmtId="0" fontId="3" fillId="3" borderId="9" xfId="0" applyFont="1" applyFill="1" applyBorder="1"/>
    <xf numFmtId="0" fontId="3" fillId="3" borderId="10" xfId="0" applyFont="1" applyFill="1" applyBorder="1" applyAlignment="1">
      <alignment wrapText="1"/>
    </xf>
    <xf numFmtId="0" fontId="3" fillId="5" borderId="9" xfId="0" applyFont="1" applyFill="1" applyBorder="1"/>
    <xf numFmtId="0" fontId="3" fillId="5" borderId="10" xfId="0" applyFont="1" applyFill="1" applyBorder="1"/>
    <xf numFmtId="0" fontId="3" fillId="3" borderId="14" xfId="0" applyFont="1" applyFill="1" applyBorder="1"/>
    <xf numFmtId="0" fontId="3" fillId="3" borderId="15" xfId="0" applyFont="1" applyFill="1" applyBorder="1"/>
    <xf numFmtId="0" fontId="4" fillId="4" borderId="12" xfId="0" applyFont="1" applyFill="1" applyBorder="1" applyAlignment="1">
      <alignment horizontal="center"/>
    </xf>
    <xf numFmtId="0" fontId="4" fillId="4" borderId="13" xfId="0" applyFont="1" applyFill="1" applyBorder="1" applyAlignment="1">
      <alignment horizontal="center"/>
    </xf>
    <xf numFmtId="0" fontId="3" fillId="5" borderId="8" xfId="0" applyFont="1" applyFill="1" applyBorder="1" applyAlignment="1">
      <alignment vertical="top" wrapText="1"/>
    </xf>
    <xf numFmtId="0" fontId="3" fillId="5" borderId="10" xfId="0" applyFont="1" applyFill="1" applyBorder="1" applyAlignment="1">
      <alignment vertical="top" wrapText="1"/>
    </xf>
    <xf numFmtId="0" fontId="3" fillId="3" borderId="10" xfId="0" applyFont="1" applyFill="1" applyBorder="1" applyAlignment="1">
      <alignment vertical="top" wrapText="1"/>
    </xf>
    <xf numFmtId="0" fontId="3" fillId="5" borderId="14" xfId="0" applyFont="1" applyFill="1" applyBorder="1"/>
    <xf numFmtId="0" fontId="3" fillId="5" borderId="15" xfId="0" applyFont="1" applyFill="1" applyBorder="1"/>
    <xf numFmtId="0" fontId="1" fillId="0" borderId="0" xfId="0" applyFont="1"/>
    <xf numFmtId="0" fontId="1" fillId="6" borderId="3" xfId="0" applyFont="1" applyFill="1" applyBorder="1" applyAlignment="1">
      <alignment horizontal="center"/>
    </xf>
    <xf numFmtId="0" fontId="1" fillId="6" borderId="3" xfId="0" applyFont="1" applyFill="1" applyBorder="1" applyAlignment="1">
      <alignment horizontal="center" wrapText="1"/>
    </xf>
    <xf numFmtId="14" fontId="1" fillId="6" borderId="3" xfId="0" applyNumberFormat="1" applyFont="1" applyFill="1" applyBorder="1" applyAlignment="1">
      <alignment horizontal="center"/>
    </xf>
    <xf numFmtId="0" fontId="1" fillId="6" borderId="3" xfId="0" applyFont="1" applyFill="1" applyBorder="1"/>
    <xf numFmtId="0" fontId="1" fillId="6" borderId="0" xfId="0" applyFont="1" applyFill="1"/>
    <xf numFmtId="0" fontId="5" fillId="6" borderId="3" xfId="0" applyFont="1" applyFill="1" applyBorder="1" applyAlignment="1">
      <alignment vertical="center" wrapText="1"/>
    </xf>
    <xf numFmtId="0" fontId="5" fillId="6" borderId="3" xfId="0" applyFont="1" applyFill="1" applyBorder="1" applyAlignment="1">
      <alignment horizontal="left" vertical="center" wrapText="1"/>
    </xf>
    <xf numFmtId="0" fontId="1" fillId="6" borderId="17" xfId="0" applyFont="1" applyFill="1" applyBorder="1" applyAlignment="1">
      <alignment horizontal="center"/>
    </xf>
    <xf numFmtId="0" fontId="1" fillId="6" borderId="17" xfId="0" applyFont="1" applyFill="1" applyBorder="1" applyAlignment="1">
      <alignment horizontal="center" wrapText="1"/>
    </xf>
    <xf numFmtId="0" fontId="1" fillId="6" borderId="11" xfId="0" applyFont="1" applyFill="1" applyBorder="1" applyAlignment="1">
      <alignment horizontal="center"/>
    </xf>
    <xf numFmtId="0" fontId="1" fillId="6" borderId="3" xfId="0" applyFont="1" applyFill="1" applyBorder="1" applyAlignment="1">
      <alignment horizontal="left" vertical="center" wrapText="1"/>
    </xf>
    <xf numFmtId="0" fontId="5" fillId="6" borderId="3" xfId="0" applyFont="1" applyFill="1" applyBorder="1" applyAlignment="1">
      <alignment horizontal="left" vertical="center" wrapText="1" readingOrder="1"/>
    </xf>
    <xf numFmtId="17" fontId="1" fillId="6" borderId="3" xfId="0" applyNumberFormat="1" applyFont="1" applyFill="1" applyBorder="1" applyAlignment="1">
      <alignment horizontal="center"/>
    </xf>
    <xf numFmtId="0" fontId="5" fillId="6" borderId="3" xfId="0" applyFont="1" applyFill="1" applyBorder="1" applyAlignment="1">
      <alignment horizontal="center" wrapText="1"/>
    </xf>
    <xf numFmtId="0" fontId="5" fillId="6" borderId="0" xfId="0" applyFont="1" applyFill="1" applyBorder="1" applyAlignment="1">
      <alignment horizontal="left" vertical="center" wrapText="1"/>
    </xf>
    <xf numFmtId="0" fontId="8" fillId="2" borderId="1" xfId="0" applyFont="1" applyFill="1" applyBorder="1"/>
    <xf numFmtId="0" fontId="8" fillId="2" borderId="2" xfId="0" applyFont="1" applyFill="1" applyBorder="1" applyAlignment="1">
      <alignment wrapText="1"/>
    </xf>
    <xf numFmtId="0" fontId="8" fillId="2" borderId="2" xfId="0" applyFont="1" applyFill="1" applyBorder="1"/>
    <xf numFmtId="0" fontId="8" fillId="2" borderId="2" xfId="0" applyFont="1" applyFill="1" applyBorder="1" applyAlignment="1">
      <alignment horizontal="center" wrapText="1"/>
    </xf>
    <xf numFmtId="14" fontId="8" fillId="0" borderId="5" xfId="0" applyNumberFormat="1" applyFont="1" applyBorder="1"/>
    <xf numFmtId="14" fontId="8" fillId="0" borderId="6" xfId="0" applyNumberFormat="1" applyFont="1" applyBorder="1" applyAlignment="1">
      <alignment wrapText="1"/>
    </xf>
    <xf numFmtId="14" fontId="8" fillId="0" borderId="6" xfId="0" applyNumberFormat="1" applyFont="1" applyBorder="1"/>
    <xf numFmtId="14" fontId="8" fillId="0" borderId="6" xfId="0" applyNumberFormat="1" applyFont="1" applyBorder="1" applyAlignment="1">
      <alignment horizontal="center" wrapText="1"/>
    </xf>
    <xf numFmtId="0" fontId="9" fillId="3" borderId="4" xfId="0" applyFont="1" applyFill="1" applyBorder="1" applyAlignment="1">
      <alignment horizontal="center" wrapText="1"/>
    </xf>
    <xf numFmtId="0" fontId="9" fillId="3" borderId="4" xfId="0" applyFont="1" applyFill="1" applyBorder="1" applyAlignment="1">
      <alignment horizontal="center"/>
    </xf>
    <xf numFmtId="0" fontId="9" fillId="3" borderId="16" xfId="0" applyFont="1" applyFill="1" applyBorder="1" applyAlignment="1">
      <alignment horizontal="center" wrapText="1"/>
    </xf>
    <xf numFmtId="0" fontId="9" fillId="3" borderId="18" xfId="0" applyFont="1" applyFill="1" applyBorder="1" applyAlignment="1">
      <alignment horizontal="center" wrapText="1"/>
    </xf>
    <xf numFmtId="0" fontId="5" fillId="6" borderId="0" xfId="0" applyFont="1" applyFill="1" applyBorder="1" applyAlignment="1">
      <alignment vertical="center" wrapText="1"/>
    </xf>
    <xf numFmtId="0" fontId="1" fillId="6" borderId="3" xfId="0" applyFont="1" applyFill="1" applyBorder="1" applyAlignment="1">
      <alignment vertical="center"/>
    </xf>
    <xf numFmtId="0" fontId="1" fillId="0" borderId="0" xfId="0" applyFont="1" applyAlignment="1">
      <alignment horizontal="center"/>
    </xf>
    <xf numFmtId="0" fontId="1" fillId="0" borderId="0" xfId="0" applyFont="1" applyAlignment="1">
      <alignment horizontal="center" wrapText="1"/>
    </xf>
    <xf numFmtId="0" fontId="1" fillId="0" borderId="0" xfId="0" applyFont="1" applyAlignment="1">
      <alignment wrapText="1"/>
    </xf>
    <xf numFmtId="15" fontId="1" fillId="6" borderId="3" xfId="0" applyNumberFormat="1" applyFont="1" applyFill="1" applyBorder="1" applyAlignment="1">
      <alignment horizontal="center"/>
    </xf>
    <xf numFmtId="0" fontId="12" fillId="6" borderId="3" xfId="0" applyFont="1" applyFill="1" applyBorder="1" applyAlignment="1">
      <alignment horizontal="center"/>
    </xf>
    <xf numFmtId="14" fontId="12" fillId="6" borderId="17" xfId="0" applyNumberFormat="1" applyFont="1" applyFill="1" applyBorder="1" applyAlignment="1">
      <alignment horizontal="center"/>
    </xf>
    <xf numFmtId="0" fontId="1" fillId="6" borderId="3" xfId="0" applyFont="1" applyFill="1" applyBorder="1" applyAlignment="1">
      <alignment wrapText="1"/>
    </xf>
    <xf numFmtId="0" fontId="12" fillId="6" borderId="17" xfId="0" applyFont="1" applyFill="1" applyBorder="1" applyAlignment="1">
      <alignment horizontal="center"/>
    </xf>
    <xf numFmtId="0" fontId="12" fillId="6" borderId="17" xfId="0" applyFont="1" applyFill="1" applyBorder="1" applyAlignment="1">
      <alignment horizontal="center" wrapText="1"/>
    </xf>
    <xf numFmtId="0" fontId="12" fillId="6" borderId="17" xfId="0" applyFont="1" applyFill="1" applyBorder="1" applyAlignment="1">
      <alignment wrapText="1"/>
    </xf>
    <xf numFmtId="0" fontId="13" fillId="6" borderId="0" xfId="0" applyFont="1" applyFill="1" applyAlignment="1">
      <alignment horizontal="left" vertical="center" wrapText="1"/>
    </xf>
    <xf numFmtId="0" fontId="12" fillId="6" borderId="3" xfId="0" applyFont="1" applyFill="1" applyBorder="1" applyAlignment="1">
      <alignment horizontal="center" wrapText="1"/>
    </xf>
    <xf numFmtId="0" fontId="12" fillId="6" borderId="3" xfId="0" applyFont="1" applyFill="1" applyBorder="1" applyAlignment="1">
      <alignment wrapText="1"/>
    </xf>
    <xf numFmtId="0" fontId="5" fillId="6" borderId="3" xfId="0" applyFont="1" applyFill="1" applyBorder="1" applyAlignment="1">
      <alignment horizontal="left" wrapText="1"/>
    </xf>
    <xf numFmtId="0" fontId="1" fillId="6" borderId="3" xfId="0" applyFont="1" applyFill="1" applyBorder="1" applyAlignment="1">
      <alignment horizontal="left" wrapText="1"/>
    </xf>
    <xf numFmtId="0" fontId="12" fillId="6" borderId="3" xfId="0" applyFont="1" applyFill="1" applyBorder="1" applyAlignment="1">
      <alignment horizontal="left" wrapText="1"/>
    </xf>
    <xf numFmtId="0" fontId="1" fillId="6" borderId="11" xfId="0" applyFont="1" applyFill="1" applyBorder="1"/>
    <xf numFmtId="0" fontId="1" fillId="6" borderId="17" xfId="0" applyFont="1" applyFill="1" applyBorder="1" applyAlignment="1">
      <alignment wrapText="1"/>
    </xf>
    <xf numFmtId="0" fontId="9" fillId="3" borderId="16" xfId="0" applyFont="1" applyFill="1" applyBorder="1" applyAlignment="1">
      <alignment horizontal="center"/>
    </xf>
    <xf numFmtId="0" fontId="9" fillId="3" borderId="1" xfId="0" applyFont="1" applyFill="1" applyBorder="1" applyAlignment="1">
      <alignment horizontal="center" wrapText="1"/>
    </xf>
    <xf numFmtId="0" fontId="1" fillId="6" borderId="17" xfId="2" applyFont="1" applyFill="1" applyBorder="1" applyAlignment="1">
      <alignment wrapText="1"/>
    </xf>
    <xf numFmtId="0" fontId="1" fillId="6" borderId="17" xfId="0" applyFont="1" applyFill="1" applyBorder="1" applyAlignment="1">
      <alignment horizontal="left" wrapText="1"/>
    </xf>
    <xf numFmtId="0" fontId="15" fillId="6" borderId="3" xfId="0" applyFont="1" applyFill="1" applyBorder="1" applyAlignment="1">
      <alignment horizontal="center"/>
    </xf>
    <xf numFmtId="0" fontId="1" fillId="6" borderId="3" xfId="2" applyFont="1" applyFill="1" applyBorder="1" applyAlignment="1">
      <alignment wrapText="1"/>
    </xf>
    <xf numFmtId="16" fontId="1" fillId="6" borderId="3" xfId="0" applyNumberFormat="1" applyFont="1" applyFill="1" applyBorder="1" applyAlignment="1">
      <alignment horizontal="center"/>
    </xf>
  </cellXfs>
  <cellStyles count="3">
    <cellStyle name="Hyperlink" xfId="2" builtinId="8"/>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N28"/>
  <sheetViews>
    <sheetView tabSelected="1" zoomScale="91" zoomScaleNormal="91" workbookViewId="0">
      <pane ySplit="3" topLeftCell="A4" activePane="bottomLeft" state="frozen"/>
      <selection pane="bottomLeft" activeCell="B5" sqref="B5"/>
    </sheetView>
  </sheetViews>
  <sheetFormatPr defaultColWidth="8.85546875" defaultRowHeight="15" x14ac:dyDescent="0.25"/>
  <cols>
    <col min="1" max="1" width="32.85546875" style="45" customWidth="1"/>
    <col min="2" max="2" width="27.28515625" style="46" customWidth="1"/>
    <col min="3" max="3" width="69.7109375" style="46" customWidth="1"/>
    <col min="4" max="4" width="53.5703125" style="45" customWidth="1"/>
    <col min="5" max="5" width="27.28515625" style="45" customWidth="1"/>
    <col min="6" max="6" width="24.85546875" style="45" customWidth="1"/>
    <col min="7" max="7" width="27.85546875" style="45" customWidth="1"/>
    <col min="8" max="8" width="37.140625" style="45" customWidth="1"/>
    <col min="9" max="9" width="27.85546875" style="46" customWidth="1"/>
    <col min="10" max="10" width="55.42578125" style="46" customWidth="1"/>
    <col min="11" max="11" width="47.85546875" style="45" customWidth="1"/>
    <col min="12" max="12" width="32.140625" style="45" customWidth="1"/>
    <col min="13" max="13" width="40.85546875" style="45" bestFit="1" customWidth="1"/>
    <col min="14" max="14" width="129.28515625" style="47" bestFit="1" customWidth="1"/>
    <col min="15" max="19" width="9.140625" style="15" customWidth="1"/>
    <col min="20" max="197" width="9.140625" style="15"/>
    <col min="198" max="615" width="9.28515625" style="15"/>
    <col min="616" max="16384" width="8.85546875" style="15"/>
  </cols>
  <sheetData>
    <row r="1" spans="1:14" ht="15.75" customHeight="1" x14ac:dyDescent="0.25">
      <c r="A1" s="31" t="s">
        <v>19</v>
      </c>
      <c r="B1" s="32"/>
      <c r="C1" s="31"/>
      <c r="D1" s="33"/>
      <c r="E1" s="33"/>
      <c r="F1" s="33"/>
      <c r="G1" s="33"/>
      <c r="H1" s="33"/>
      <c r="I1" s="33"/>
      <c r="J1" s="34"/>
      <c r="K1" s="33"/>
      <c r="L1" s="33"/>
      <c r="M1" s="33"/>
      <c r="N1" s="32"/>
    </row>
    <row r="2" spans="1:14" ht="15.75" customHeight="1" thickBot="1" x14ac:dyDescent="0.3">
      <c r="A2" s="35" t="s">
        <v>288</v>
      </c>
      <c r="B2" s="36"/>
      <c r="C2" s="35"/>
      <c r="D2" s="37"/>
      <c r="E2" s="37"/>
      <c r="F2" s="37"/>
      <c r="G2" s="37"/>
      <c r="H2" s="37"/>
      <c r="I2" s="37"/>
      <c r="J2" s="38"/>
      <c r="K2" s="37"/>
      <c r="L2" s="37"/>
      <c r="M2" s="37"/>
      <c r="N2" s="36"/>
    </row>
    <row r="3" spans="1:14" ht="33.75" customHeight="1" x14ac:dyDescent="0.25">
      <c r="A3" s="41" t="s">
        <v>18</v>
      </c>
      <c r="B3" s="41" t="s">
        <v>35</v>
      </c>
      <c r="C3" s="41" t="s">
        <v>36</v>
      </c>
      <c r="D3" s="63" t="s">
        <v>10</v>
      </c>
      <c r="E3" s="63" t="s">
        <v>22</v>
      </c>
      <c r="F3" s="41" t="s">
        <v>6</v>
      </c>
      <c r="G3" s="41" t="s">
        <v>284</v>
      </c>
      <c r="H3" s="63" t="s">
        <v>23</v>
      </c>
      <c r="I3" s="41" t="s">
        <v>17</v>
      </c>
      <c r="J3" s="41" t="s">
        <v>1</v>
      </c>
      <c r="K3" s="63" t="s">
        <v>11</v>
      </c>
      <c r="L3" s="41" t="s">
        <v>21</v>
      </c>
      <c r="M3" s="41" t="s">
        <v>13</v>
      </c>
      <c r="N3" s="64" t="s">
        <v>20</v>
      </c>
    </row>
    <row r="4" spans="1:14" s="20" customFormat="1" ht="90" customHeight="1" x14ac:dyDescent="0.25">
      <c r="A4" s="16" t="s">
        <v>106</v>
      </c>
      <c r="B4" s="17" t="s">
        <v>52</v>
      </c>
      <c r="C4" s="17" t="s">
        <v>280</v>
      </c>
      <c r="D4" s="17" t="s">
        <v>77</v>
      </c>
      <c r="E4" s="16" t="s">
        <v>248</v>
      </c>
      <c r="F4" s="16" t="s">
        <v>78</v>
      </c>
      <c r="G4" s="49" t="s">
        <v>290</v>
      </c>
      <c r="H4" s="17" t="s">
        <v>251</v>
      </c>
      <c r="I4" s="17" t="s">
        <v>79</v>
      </c>
      <c r="J4" s="51" t="s">
        <v>234</v>
      </c>
      <c r="K4" s="49" t="s">
        <v>4</v>
      </c>
      <c r="L4" s="18" t="s">
        <v>133</v>
      </c>
      <c r="M4" s="16" t="s">
        <v>67</v>
      </c>
      <c r="N4" s="58" t="s">
        <v>173</v>
      </c>
    </row>
    <row r="5" spans="1:14" s="20" customFormat="1" ht="90" customHeight="1" x14ac:dyDescent="0.25">
      <c r="A5" s="16" t="s">
        <v>107</v>
      </c>
      <c r="B5" s="17" t="s">
        <v>52</v>
      </c>
      <c r="C5" s="17" t="s">
        <v>224</v>
      </c>
      <c r="D5" s="17" t="s">
        <v>49</v>
      </c>
      <c r="E5" s="17" t="s">
        <v>50</v>
      </c>
      <c r="F5" s="16" t="s">
        <v>80</v>
      </c>
      <c r="G5" s="49" t="s">
        <v>291</v>
      </c>
      <c r="H5" s="16" t="s">
        <v>81</v>
      </c>
      <c r="I5" s="17" t="s">
        <v>82</v>
      </c>
      <c r="J5" s="51" t="s">
        <v>235</v>
      </c>
      <c r="K5" s="49" t="s">
        <v>4</v>
      </c>
      <c r="L5" s="18" t="s">
        <v>133</v>
      </c>
      <c r="M5" s="16" t="s">
        <v>41</v>
      </c>
      <c r="N5" s="58" t="s">
        <v>292</v>
      </c>
    </row>
    <row r="6" spans="1:14" s="20" customFormat="1" ht="84.95" customHeight="1" x14ac:dyDescent="0.25">
      <c r="A6" s="23" t="s">
        <v>9</v>
      </c>
      <c r="B6" s="24" t="s">
        <v>68</v>
      </c>
      <c r="C6" s="24" t="s">
        <v>167</v>
      </c>
      <c r="D6" s="23" t="s">
        <v>15</v>
      </c>
      <c r="E6" s="23" t="s">
        <v>33</v>
      </c>
      <c r="F6" s="23" t="s">
        <v>143</v>
      </c>
      <c r="G6" s="23" t="s">
        <v>168</v>
      </c>
      <c r="H6" s="23" t="s">
        <v>55</v>
      </c>
      <c r="I6" s="24" t="s">
        <v>29</v>
      </c>
      <c r="J6" s="51" t="s">
        <v>237</v>
      </c>
      <c r="K6" s="23" t="s">
        <v>5</v>
      </c>
      <c r="L6" s="49" t="s">
        <v>293</v>
      </c>
      <c r="M6" s="23" t="s">
        <v>144</v>
      </c>
      <c r="N6" s="58" t="s">
        <v>145</v>
      </c>
    </row>
    <row r="7" spans="1:14" ht="84.95" hidden="1" customHeight="1" x14ac:dyDescent="0.25">
      <c r="A7" s="16" t="s">
        <v>9</v>
      </c>
      <c r="B7" s="17" t="s">
        <v>68</v>
      </c>
      <c r="C7" s="17" t="s">
        <v>146</v>
      </c>
      <c r="D7" s="16" t="s">
        <v>147</v>
      </c>
      <c r="E7" s="16" t="s">
        <v>122</v>
      </c>
      <c r="F7" s="16" t="s">
        <v>148</v>
      </c>
      <c r="G7" s="16" t="s">
        <v>188</v>
      </c>
      <c r="H7" s="16" t="s">
        <v>55</v>
      </c>
      <c r="I7" s="17" t="s">
        <v>29</v>
      </c>
      <c r="J7" s="51" t="s">
        <v>169</v>
      </c>
      <c r="K7" s="49" t="s">
        <v>195</v>
      </c>
      <c r="L7" s="16" t="s">
        <v>71</v>
      </c>
      <c r="M7" s="16" t="s">
        <v>41</v>
      </c>
      <c r="N7" s="22" t="s">
        <v>150</v>
      </c>
    </row>
    <row r="8" spans="1:14" s="20" customFormat="1" ht="84.95" customHeight="1" x14ac:dyDescent="0.25">
      <c r="A8" s="16" t="s">
        <v>197</v>
      </c>
      <c r="B8" s="17" t="s">
        <v>183</v>
      </c>
      <c r="C8" s="17" t="s">
        <v>181</v>
      </c>
      <c r="D8" s="17" t="s">
        <v>15</v>
      </c>
      <c r="E8" s="16" t="s">
        <v>33</v>
      </c>
      <c r="F8" s="16" t="s">
        <v>182</v>
      </c>
      <c r="G8" s="49" t="s">
        <v>209</v>
      </c>
      <c r="H8" s="16" t="s">
        <v>55</v>
      </c>
      <c r="I8" s="17" t="s">
        <v>198</v>
      </c>
      <c r="J8" s="51" t="s">
        <v>239</v>
      </c>
      <c r="K8" s="49" t="s">
        <v>3</v>
      </c>
      <c r="L8" s="49" t="s">
        <v>188</v>
      </c>
      <c r="M8" s="16" t="s">
        <v>67</v>
      </c>
      <c r="N8" s="58" t="s">
        <v>184</v>
      </c>
    </row>
    <row r="9" spans="1:14" s="20" customFormat="1" ht="84.95" customHeight="1" x14ac:dyDescent="0.25">
      <c r="A9" s="16" t="s">
        <v>9</v>
      </c>
      <c r="B9" s="17" t="s">
        <v>183</v>
      </c>
      <c r="C9" s="17" t="s">
        <v>279</v>
      </c>
      <c r="D9" s="16" t="s">
        <v>15</v>
      </c>
      <c r="E9" s="16" t="s">
        <v>33</v>
      </c>
      <c r="F9" s="16" t="s">
        <v>282</v>
      </c>
      <c r="G9" s="23"/>
      <c r="H9" s="16" t="s">
        <v>9</v>
      </c>
      <c r="I9" s="17" t="s">
        <v>9</v>
      </c>
      <c r="J9" s="51" t="s">
        <v>283</v>
      </c>
      <c r="K9" s="16" t="s">
        <v>5</v>
      </c>
      <c r="L9" s="16" t="s">
        <v>9</v>
      </c>
      <c r="M9" s="16" t="s">
        <v>38</v>
      </c>
      <c r="N9" s="51" t="s">
        <v>281</v>
      </c>
    </row>
    <row r="10" spans="1:14" s="20" customFormat="1" ht="84.95" customHeight="1" x14ac:dyDescent="0.25">
      <c r="A10" s="16" t="s">
        <v>214</v>
      </c>
      <c r="B10" s="17" t="s">
        <v>215</v>
      </c>
      <c r="C10" s="17" t="s">
        <v>222</v>
      </c>
      <c r="D10" s="16" t="s">
        <v>15</v>
      </c>
      <c r="E10" s="16" t="s">
        <v>33</v>
      </c>
      <c r="F10" s="16" t="s">
        <v>216</v>
      </c>
      <c r="G10" s="16" t="s">
        <v>168</v>
      </c>
      <c r="H10" s="16" t="s">
        <v>55</v>
      </c>
      <c r="I10" s="17" t="s">
        <v>29</v>
      </c>
      <c r="J10" s="51" t="s">
        <v>243</v>
      </c>
      <c r="K10" s="16" t="s">
        <v>2</v>
      </c>
      <c r="L10" s="69" t="s">
        <v>188</v>
      </c>
      <c r="M10" s="16" t="s">
        <v>41</v>
      </c>
      <c r="N10" s="59" t="s">
        <v>289</v>
      </c>
    </row>
    <row r="11" spans="1:14" ht="84.95" hidden="1" customHeight="1" x14ac:dyDescent="0.25">
      <c r="A11" s="16" t="s">
        <v>136</v>
      </c>
      <c r="B11" s="17" t="s">
        <v>125</v>
      </c>
      <c r="C11" s="29" t="s">
        <v>137</v>
      </c>
      <c r="D11" s="17" t="s">
        <v>138</v>
      </c>
      <c r="E11" s="16" t="s">
        <v>192</v>
      </c>
      <c r="F11" s="16" t="s">
        <v>193</v>
      </c>
      <c r="G11" s="50">
        <v>45632</v>
      </c>
      <c r="H11" s="16" t="s">
        <v>72</v>
      </c>
      <c r="I11" s="17" t="s">
        <v>194</v>
      </c>
      <c r="J11" s="51" t="s">
        <v>240</v>
      </c>
      <c r="K11" s="49" t="s">
        <v>4</v>
      </c>
      <c r="L11" s="16" t="s">
        <v>104</v>
      </c>
      <c r="M11" s="16" t="s">
        <v>41</v>
      </c>
      <c r="N11" s="22" t="s">
        <v>139</v>
      </c>
    </row>
    <row r="12" spans="1:14" ht="71.25" hidden="1" x14ac:dyDescent="0.25">
      <c r="A12" s="16" t="s">
        <v>124</v>
      </c>
      <c r="B12" s="17" t="s">
        <v>125</v>
      </c>
      <c r="C12" s="29" t="s">
        <v>126</v>
      </c>
      <c r="D12" s="16" t="s">
        <v>15</v>
      </c>
      <c r="E12" s="16" t="s">
        <v>33</v>
      </c>
      <c r="F12" s="16" t="s">
        <v>127</v>
      </c>
      <c r="G12" s="18" t="s">
        <v>206</v>
      </c>
      <c r="H12" s="16" t="s">
        <v>128</v>
      </c>
      <c r="I12" s="17" t="s">
        <v>34</v>
      </c>
      <c r="J12" s="17" t="s">
        <v>180</v>
      </c>
      <c r="K12" s="16" t="s">
        <v>4</v>
      </c>
      <c r="L12" s="48">
        <v>45427</v>
      </c>
      <c r="M12" s="16" t="s">
        <v>86</v>
      </c>
      <c r="N12" s="22" t="s">
        <v>129</v>
      </c>
    </row>
    <row r="13" spans="1:14" ht="30" hidden="1" x14ac:dyDescent="0.25">
      <c r="A13" s="16" t="s">
        <v>141</v>
      </c>
      <c r="B13" s="17" t="s">
        <v>47</v>
      </c>
      <c r="C13" s="17" t="s">
        <v>64</v>
      </c>
      <c r="D13" s="17" t="s">
        <v>15</v>
      </c>
      <c r="E13" s="16" t="s">
        <v>33</v>
      </c>
      <c r="F13" s="16" t="s">
        <v>56</v>
      </c>
      <c r="G13" s="16" t="s">
        <v>163</v>
      </c>
      <c r="H13" s="16" t="s">
        <v>30</v>
      </c>
      <c r="I13" s="17" t="s">
        <v>34</v>
      </c>
      <c r="J13" s="17" t="s">
        <v>200</v>
      </c>
      <c r="K13" s="16" t="s">
        <v>4</v>
      </c>
      <c r="L13" s="18" t="s">
        <v>142</v>
      </c>
      <c r="M13" s="16" t="s">
        <v>38</v>
      </c>
      <c r="N13" s="21" t="s">
        <v>65</v>
      </c>
    </row>
    <row r="14" spans="1:14" ht="30" hidden="1" x14ac:dyDescent="0.25">
      <c r="A14" s="16" t="s">
        <v>140</v>
      </c>
      <c r="B14" s="17" t="s">
        <v>47</v>
      </c>
      <c r="C14" s="17" t="s">
        <v>62</v>
      </c>
      <c r="D14" s="17" t="s">
        <v>15</v>
      </c>
      <c r="E14" s="16" t="s">
        <v>33</v>
      </c>
      <c r="F14" s="16" t="s">
        <v>56</v>
      </c>
      <c r="G14" s="16" t="s">
        <v>163</v>
      </c>
      <c r="H14" s="16" t="s">
        <v>30</v>
      </c>
      <c r="I14" s="17" t="s">
        <v>34</v>
      </c>
      <c r="J14" s="17" t="s">
        <v>201</v>
      </c>
      <c r="K14" s="16" t="s">
        <v>4</v>
      </c>
      <c r="L14" s="18" t="s">
        <v>142</v>
      </c>
      <c r="M14" s="16" t="s">
        <v>38</v>
      </c>
      <c r="N14" s="21" t="s">
        <v>63</v>
      </c>
    </row>
    <row r="15" spans="1:14" ht="99.95" hidden="1" customHeight="1" x14ac:dyDescent="0.25">
      <c r="A15" s="16" t="s">
        <v>9</v>
      </c>
      <c r="B15" s="17" t="s">
        <v>47</v>
      </c>
      <c r="C15" s="17" t="s">
        <v>90</v>
      </c>
      <c r="D15" s="16" t="s">
        <v>15</v>
      </c>
      <c r="E15" s="16" t="s">
        <v>84</v>
      </c>
      <c r="F15" s="16" t="s">
        <v>159</v>
      </c>
      <c r="G15" s="16" t="s">
        <v>158</v>
      </c>
      <c r="H15" s="16" t="s">
        <v>91</v>
      </c>
      <c r="I15" s="17" t="s">
        <v>34</v>
      </c>
      <c r="J15" s="17" t="s">
        <v>9</v>
      </c>
      <c r="K15" s="49" t="s">
        <v>195</v>
      </c>
      <c r="L15" s="16" t="s">
        <v>9</v>
      </c>
      <c r="M15" s="16" t="s">
        <v>86</v>
      </c>
      <c r="N15" s="30" t="s">
        <v>246</v>
      </c>
    </row>
    <row r="16" spans="1:14" s="20" customFormat="1" ht="84.95" customHeight="1" x14ac:dyDescent="0.25">
      <c r="A16" s="16" t="s">
        <v>217</v>
      </c>
      <c r="B16" s="17" t="s">
        <v>215</v>
      </c>
      <c r="C16" s="17" t="s">
        <v>218</v>
      </c>
      <c r="D16" s="16" t="s">
        <v>15</v>
      </c>
      <c r="E16" s="16" t="s">
        <v>33</v>
      </c>
      <c r="F16" s="16" t="s">
        <v>259</v>
      </c>
      <c r="G16" s="16" t="s">
        <v>209</v>
      </c>
      <c r="H16" s="17" t="s">
        <v>219</v>
      </c>
      <c r="I16" s="17" t="s">
        <v>34</v>
      </c>
      <c r="J16" s="51" t="s">
        <v>244</v>
      </c>
      <c r="K16" s="16" t="s">
        <v>3</v>
      </c>
      <c r="L16" s="16" t="s">
        <v>231</v>
      </c>
      <c r="M16" s="16" t="s">
        <v>220</v>
      </c>
      <c r="N16" s="59" t="s">
        <v>221</v>
      </c>
    </row>
    <row r="17" spans="1:14" s="20" customFormat="1" ht="84.95" customHeight="1" x14ac:dyDescent="0.25">
      <c r="A17" s="49" t="s">
        <v>217</v>
      </c>
      <c r="B17" s="56" t="s">
        <v>215</v>
      </c>
      <c r="C17" s="56" t="s">
        <v>218</v>
      </c>
      <c r="D17" s="49" t="s">
        <v>15</v>
      </c>
      <c r="E17" s="49" t="s">
        <v>33</v>
      </c>
      <c r="F17" s="49" t="s">
        <v>259</v>
      </c>
      <c r="G17" s="49" t="s">
        <v>209</v>
      </c>
      <c r="H17" s="56" t="s">
        <v>219</v>
      </c>
      <c r="I17" s="56" t="s">
        <v>34</v>
      </c>
      <c r="J17" s="57" t="s">
        <v>244</v>
      </c>
      <c r="K17" s="49" t="s">
        <v>3</v>
      </c>
      <c r="L17" s="49" t="s">
        <v>231</v>
      </c>
      <c r="M17" s="49" t="s">
        <v>220</v>
      </c>
      <c r="N17" s="60" t="s">
        <v>221</v>
      </c>
    </row>
    <row r="18" spans="1:14" s="20" customFormat="1" ht="84.95" customHeight="1" x14ac:dyDescent="0.25">
      <c r="A18" s="16" t="s">
        <v>9</v>
      </c>
      <c r="B18" s="17" t="s">
        <v>125</v>
      </c>
      <c r="C18" s="17" t="s">
        <v>225</v>
      </c>
      <c r="D18" s="16" t="s">
        <v>226</v>
      </c>
      <c r="E18" s="16" t="s">
        <v>227</v>
      </c>
      <c r="F18" s="16" t="s">
        <v>228</v>
      </c>
      <c r="G18" s="16" t="s">
        <v>256</v>
      </c>
      <c r="H18" s="67" t="s">
        <v>72</v>
      </c>
      <c r="I18" s="17" t="s">
        <v>29</v>
      </c>
      <c r="J18" s="68" t="s">
        <v>230</v>
      </c>
      <c r="K18" s="16" t="s">
        <v>5</v>
      </c>
      <c r="L18" s="28">
        <v>46143</v>
      </c>
      <c r="M18" s="16" t="s">
        <v>229</v>
      </c>
      <c r="N18" s="58" t="s">
        <v>232</v>
      </c>
    </row>
    <row r="19" spans="1:14" ht="71.25" hidden="1" x14ac:dyDescent="0.25">
      <c r="A19" s="16" t="s">
        <v>93</v>
      </c>
      <c r="B19" s="17" t="s">
        <v>31</v>
      </c>
      <c r="C19" s="17" t="s">
        <v>101</v>
      </c>
      <c r="D19" s="17" t="s">
        <v>102</v>
      </c>
      <c r="E19" s="16" t="s">
        <v>103</v>
      </c>
      <c r="F19" s="16" t="s">
        <v>98</v>
      </c>
      <c r="G19" s="18">
        <v>45384</v>
      </c>
      <c r="H19" s="16" t="s">
        <v>94</v>
      </c>
      <c r="I19" s="17" t="s">
        <v>95</v>
      </c>
      <c r="J19" s="17" t="s">
        <v>176</v>
      </c>
      <c r="K19" s="16" t="s">
        <v>4</v>
      </c>
      <c r="L19" s="16" t="s">
        <v>96</v>
      </c>
      <c r="M19" s="16" t="s">
        <v>67</v>
      </c>
      <c r="N19" s="21" t="s">
        <v>97</v>
      </c>
    </row>
    <row r="20" spans="1:14" ht="84.95" hidden="1" customHeight="1" x14ac:dyDescent="0.25">
      <c r="A20" s="52" t="s">
        <v>9</v>
      </c>
      <c r="B20" s="53" t="s">
        <v>183</v>
      </c>
      <c r="C20" s="53" t="s">
        <v>210</v>
      </c>
      <c r="D20" s="53" t="s">
        <v>15</v>
      </c>
      <c r="E20" s="52" t="s">
        <v>33</v>
      </c>
      <c r="F20" s="52" t="s">
        <v>211</v>
      </c>
      <c r="G20" s="52" t="s">
        <v>188</v>
      </c>
      <c r="H20" s="52" t="s">
        <v>245</v>
      </c>
      <c r="I20" s="53" t="s">
        <v>198</v>
      </c>
      <c r="J20" s="54" t="s">
        <v>242</v>
      </c>
      <c r="K20" s="52" t="s">
        <v>7</v>
      </c>
      <c r="L20" s="52" t="s">
        <v>212</v>
      </c>
      <c r="M20" s="52" t="s">
        <v>67</v>
      </c>
      <c r="N20" s="55" t="s">
        <v>213</v>
      </c>
    </row>
    <row r="21" spans="1:14" s="20" customFormat="1" ht="84.95" customHeight="1" x14ac:dyDescent="0.25">
      <c r="A21" s="16" t="s">
        <v>9</v>
      </c>
      <c r="B21" s="17" t="s">
        <v>125</v>
      </c>
      <c r="C21" s="17" t="s">
        <v>247</v>
      </c>
      <c r="D21" s="16" t="s">
        <v>9</v>
      </c>
      <c r="E21" s="16" t="s">
        <v>9</v>
      </c>
      <c r="F21" s="16" t="s">
        <v>260</v>
      </c>
      <c r="G21" s="16" t="s">
        <v>256</v>
      </c>
      <c r="H21" s="16" t="s">
        <v>9</v>
      </c>
      <c r="I21" s="17" t="s">
        <v>9</v>
      </c>
      <c r="J21" s="68" t="s">
        <v>230</v>
      </c>
      <c r="K21" s="16" t="s">
        <v>5</v>
      </c>
      <c r="L21" s="16" t="s">
        <v>9</v>
      </c>
      <c r="M21" s="16" t="s">
        <v>9</v>
      </c>
      <c r="N21" s="59" t="s">
        <v>252</v>
      </c>
    </row>
    <row r="22" spans="1:14" s="20" customFormat="1" ht="90" customHeight="1" x14ac:dyDescent="0.25">
      <c r="A22" s="23" t="s">
        <v>9</v>
      </c>
      <c r="B22" s="24" t="s">
        <v>125</v>
      </c>
      <c r="C22" s="24" t="s">
        <v>254</v>
      </c>
      <c r="D22" s="23" t="s">
        <v>9</v>
      </c>
      <c r="E22" s="23" t="s">
        <v>9</v>
      </c>
      <c r="F22" s="23" t="s">
        <v>261</v>
      </c>
      <c r="G22" s="16" t="s">
        <v>255</v>
      </c>
      <c r="H22" s="23" t="s">
        <v>9</v>
      </c>
      <c r="I22" s="24" t="s">
        <v>9</v>
      </c>
      <c r="J22" s="62" t="s">
        <v>257</v>
      </c>
      <c r="K22" s="23" t="s">
        <v>5</v>
      </c>
      <c r="L22" s="23" t="s">
        <v>9</v>
      </c>
      <c r="M22" s="23" t="s">
        <v>116</v>
      </c>
      <c r="N22" s="66" t="s">
        <v>258</v>
      </c>
    </row>
    <row r="23" spans="1:14" s="19" customFormat="1" ht="90" customHeight="1" x14ac:dyDescent="0.25">
      <c r="A23" s="23" t="s">
        <v>9</v>
      </c>
      <c r="B23" s="24" t="s">
        <v>108</v>
      </c>
      <c r="C23" s="17" t="s">
        <v>109</v>
      </c>
      <c r="D23" s="23" t="s">
        <v>110</v>
      </c>
      <c r="E23" s="23" t="s">
        <v>111</v>
      </c>
      <c r="F23" s="23" t="s">
        <v>54</v>
      </c>
      <c r="G23" s="16" t="s">
        <v>133</v>
      </c>
      <c r="H23" s="23" t="s">
        <v>112</v>
      </c>
      <c r="I23" s="24" t="s">
        <v>113</v>
      </c>
      <c r="J23" s="65" t="s">
        <v>295</v>
      </c>
      <c r="K23" s="23" t="s">
        <v>3</v>
      </c>
      <c r="L23" s="49" t="s">
        <v>294</v>
      </c>
      <c r="M23" s="16" t="s">
        <v>41</v>
      </c>
      <c r="N23" s="59" t="s">
        <v>172</v>
      </c>
    </row>
    <row r="24" spans="1:14" s="19" customFormat="1" ht="90" customHeight="1" x14ac:dyDescent="0.25">
      <c r="A24" s="23" t="s">
        <v>9</v>
      </c>
      <c r="B24" s="24" t="s">
        <v>108</v>
      </c>
      <c r="C24" s="17" t="s">
        <v>253</v>
      </c>
      <c r="D24" s="23" t="s">
        <v>15</v>
      </c>
      <c r="E24" s="23" t="s">
        <v>33</v>
      </c>
      <c r="F24" s="16" t="s">
        <v>265</v>
      </c>
      <c r="G24" s="16" t="s">
        <v>255</v>
      </c>
      <c r="H24" s="24" t="s">
        <v>266</v>
      </c>
      <c r="I24" s="24" t="s">
        <v>9</v>
      </c>
      <c r="J24" s="62" t="s">
        <v>263</v>
      </c>
      <c r="K24" s="23" t="s">
        <v>5</v>
      </c>
      <c r="L24" s="16" t="s">
        <v>9</v>
      </c>
      <c r="M24" s="16" t="s">
        <v>9</v>
      </c>
      <c r="N24" s="58" t="s">
        <v>267</v>
      </c>
    </row>
    <row r="25" spans="1:14" s="19" customFormat="1" ht="90" customHeight="1" x14ac:dyDescent="0.25">
      <c r="A25" s="23" t="s">
        <v>9</v>
      </c>
      <c r="B25" s="24" t="s">
        <v>108</v>
      </c>
      <c r="C25" s="17" t="s">
        <v>262</v>
      </c>
      <c r="D25" s="16" t="s">
        <v>15</v>
      </c>
      <c r="E25" s="16" t="s">
        <v>33</v>
      </c>
      <c r="F25" s="16" t="s">
        <v>264</v>
      </c>
      <c r="G25" s="16" t="s">
        <v>268</v>
      </c>
      <c r="H25" s="16" t="s">
        <v>9</v>
      </c>
      <c r="I25" s="17" t="s">
        <v>9</v>
      </c>
      <c r="J25" s="51" t="s">
        <v>263</v>
      </c>
      <c r="K25" s="16" t="s">
        <v>5</v>
      </c>
      <c r="L25" s="16" t="s">
        <v>9</v>
      </c>
      <c r="M25" s="16" t="s">
        <v>9</v>
      </c>
      <c r="N25" s="51" t="s">
        <v>278</v>
      </c>
    </row>
    <row r="26" spans="1:14" s="19" customFormat="1" ht="90" customHeight="1" x14ac:dyDescent="0.25">
      <c r="A26" s="16" t="s">
        <v>9</v>
      </c>
      <c r="B26" s="17" t="s">
        <v>108</v>
      </c>
      <c r="C26" s="17" t="s">
        <v>269</v>
      </c>
      <c r="D26" s="16" t="s">
        <v>15</v>
      </c>
      <c r="E26" s="16" t="s">
        <v>33</v>
      </c>
      <c r="F26" s="16" t="s">
        <v>272</v>
      </c>
      <c r="G26" s="16" t="s">
        <v>268</v>
      </c>
      <c r="H26" s="16" t="s">
        <v>9</v>
      </c>
      <c r="I26" s="17" t="s">
        <v>9</v>
      </c>
      <c r="J26" s="51" t="s">
        <v>271</v>
      </c>
      <c r="K26" s="16" t="s">
        <v>5</v>
      </c>
      <c r="L26" s="16" t="s">
        <v>9</v>
      </c>
      <c r="M26" s="16" t="s">
        <v>9</v>
      </c>
      <c r="N26" s="51" t="s">
        <v>270</v>
      </c>
    </row>
    <row r="27" spans="1:14" s="20" customFormat="1" ht="84.95" customHeight="1" x14ac:dyDescent="0.25">
      <c r="A27" s="16" t="s">
        <v>274</v>
      </c>
      <c r="B27" s="17" t="s">
        <v>108</v>
      </c>
      <c r="C27" s="17" t="s">
        <v>273</v>
      </c>
      <c r="D27" s="16" t="s">
        <v>15</v>
      </c>
      <c r="E27" s="16" t="s">
        <v>33</v>
      </c>
      <c r="F27" s="16" t="s">
        <v>275</v>
      </c>
      <c r="G27" s="16" t="s">
        <v>268</v>
      </c>
      <c r="H27" s="16" t="s">
        <v>9</v>
      </c>
      <c r="I27" s="17" t="s">
        <v>9</v>
      </c>
      <c r="J27" s="68" t="s">
        <v>276</v>
      </c>
      <c r="K27" s="16" t="s">
        <v>5</v>
      </c>
      <c r="L27" s="16" t="s">
        <v>9</v>
      </c>
      <c r="M27" s="16" t="s">
        <v>9</v>
      </c>
      <c r="N27" s="51" t="s">
        <v>277</v>
      </c>
    </row>
    <row r="28" spans="1:14" s="20" customFormat="1" ht="84.95" customHeight="1" x14ac:dyDescent="0.25">
      <c r="A28" s="49" t="s">
        <v>296</v>
      </c>
      <c r="B28" s="56" t="s">
        <v>297</v>
      </c>
      <c r="C28" s="56" t="s">
        <v>298</v>
      </c>
      <c r="D28" s="49" t="s">
        <v>15</v>
      </c>
      <c r="E28" s="49" t="s">
        <v>33</v>
      </c>
      <c r="F28" s="49" t="s">
        <v>299</v>
      </c>
      <c r="G28" s="49" t="s">
        <v>188</v>
      </c>
      <c r="H28" s="56" t="s">
        <v>301</v>
      </c>
      <c r="I28" s="56" t="s">
        <v>34</v>
      </c>
      <c r="J28" s="57" t="s">
        <v>300</v>
      </c>
      <c r="K28" s="56" t="s">
        <v>2</v>
      </c>
      <c r="L28" s="56" t="s">
        <v>302</v>
      </c>
      <c r="M28" s="49" t="s">
        <v>220</v>
      </c>
      <c r="N28" s="60" t="s">
        <v>303</v>
      </c>
    </row>
  </sheetData>
  <autoFilter ref="A3:N27" xr:uid="{00000000-0009-0000-0000-000000000000}">
    <filterColumn colId="10">
      <filters blank="1">
        <filter val="Evaluation"/>
        <filter val="On Hold"/>
        <filter val="Pre-Award/Package Development"/>
        <filter val="Solicitation"/>
      </filters>
    </filterColumn>
    <sortState xmlns:xlrd2="http://schemas.microsoft.com/office/spreadsheetml/2017/richdata2" ref="A4:N19">
      <sortCondition ref="B3:B4"/>
    </sortState>
  </autoFilter>
  <sortState xmlns:xlrd2="http://schemas.microsoft.com/office/spreadsheetml/2017/richdata2" ref="A4:N28">
    <sortCondition ref="B4:B28"/>
  </sortState>
  <dataConsolidate/>
  <phoneticPr fontId="11"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Legend!$A$2:$A$8</xm:f>
          </x14:formula1>
          <xm:sqref>K5 K21 K7:K8 K25:K26 K11:K19 K29:K111</xm:sqref>
        </x14:dataValidation>
        <x14:dataValidation type="list" allowBlank="1" showErrorMessage="1" xr:uid="{8A94B06C-E716-4CB3-A307-C613E00CA1A9}">
          <x14:formula1>
            <xm:f>StatusCategories+Legend!$A$2:$A$8</xm:f>
          </x14:formula1>
          <xm:sqref>K6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E0C4D-6A5F-4AC1-92CA-7BBF68CBCE38}">
  <dimension ref="A1:WR23"/>
  <sheetViews>
    <sheetView topLeftCell="A10" zoomScale="60" zoomScaleNormal="60" workbookViewId="0">
      <selection activeCell="A22" sqref="A22:XFD23"/>
    </sheetView>
  </sheetViews>
  <sheetFormatPr defaultColWidth="8.85546875" defaultRowHeight="15" x14ac:dyDescent="0.25"/>
  <cols>
    <col min="1" max="1" width="32.85546875" customWidth="1"/>
    <col min="2" max="2" width="27.28515625" customWidth="1"/>
    <col min="3" max="3" width="69.7109375" customWidth="1"/>
    <col min="4" max="4" width="53.5703125" customWidth="1"/>
    <col min="5" max="5" width="27.28515625" customWidth="1"/>
    <col min="6" max="6" width="24.85546875" customWidth="1"/>
    <col min="7" max="7" width="27.85546875" customWidth="1"/>
    <col min="8" max="8" width="29.85546875" customWidth="1"/>
    <col min="9" max="9" width="27.85546875" customWidth="1"/>
    <col min="10" max="10" width="54.28515625" customWidth="1"/>
    <col min="11" max="11" width="47.85546875" customWidth="1"/>
    <col min="12" max="12" width="29.28515625" customWidth="1"/>
    <col min="13" max="13" width="40.85546875" bestFit="1" customWidth="1"/>
    <col min="14" max="14" width="129.28515625" bestFit="1" customWidth="1"/>
    <col min="15" max="19" width="9.140625" customWidth="1"/>
  </cols>
  <sheetData>
    <row r="1" spans="1:14" s="15" customFormat="1" ht="15.75" customHeight="1" x14ac:dyDescent="0.25">
      <c r="A1" s="31" t="s">
        <v>19</v>
      </c>
      <c r="B1" s="32"/>
      <c r="C1" s="32"/>
      <c r="D1" s="33"/>
      <c r="E1" s="33"/>
      <c r="F1" s="33"/>
      <c r="G1" s="33"/>
      <c r="H1" s="33"/>
      <c r="I1" s="33"/>
      <c r="J1" s="34"/>
      <c r="K1" s="33"/>
      <c r="L1" s="33"/>
      <c r="M1" s="33"/>
      <c r="N1" s="32"/>
    </row>
    <row r="2" spans="1:14" s="15" customFormat="1" ht="15.75" customHeight="1" thickBot="1" x14ac:dyDescent="0.3">
      <c r="A2" s="35" t="s">
        <v>287</v>
      </c>
      <c r="B2" s="36"/>
      <c r="C2" s="36"/>
      <c r="D2" s="37"/>
      <c r="E2" s="37"/>
      <c r="F2" s="37"/>
      <c r="G2" s="37"/>
      <c r="H2" s="37"/>
      <c r="I2" s="37"/>
      <c r="J2" s="38"/>
      <c r="K2" s="37"/>
      <c r="L2" s="37"/>
      <c r="M2" s="37"/>
      <c r="N2" s="36"/>
    </row>
    <row r="3" spans="1:14" s="15" customFormat="1" ht="33.75" customHeight="1" thickBot="1" x14ac:dyDescent="0.3">
      <c r="A3" s="39" t="s">
        <v>18</v>
      </c>
      <c r="B3" s="39" t="s">
        <v>35</v>
      </c>
      <c r="C3" s="39" t="s">
        <v>36</v>
      </c>
      <c r="D3" s="40" t="s">
        <v>10</v>
      </c>
      <c r="E3" s="40" t="s">
        <v>22</v>
      </c>
      <c r="F3" s="39" t="s">
        <v>6</v>
      </c>
      <c r="G3" s="39" t="s">
        <v>37</v>
      </c>
      <c r="H3" s="40" t="s">
        <v>23</v>
      </c>
      <c r="I3" s="39" t="s">
        <v>17</v>
      </c>
      <c r="J3" s="39" t="s">
        <v>1</v>
      </c>
      <c r="K3" s="40" t="s">
        <v>11</v>
      </c>
      <c r="L3" s="39" t="s">
        <v>21</v>
      </c>
      <c r="M3" s="41" t="s">
        <v>13</v>
      </c>
      <c r="N3" s="42" t="s">
        <v>20</v>
      </c>
    </row>
    <row r="4" spans="1:14" s="20" customFormat="1" ht="71.25" x14ac:dyDescent="0.25">
      <c r="A4" s="16" t="s">
        <v>118</v>
      </c>
      <c r="B4" s="17" t="s">
        <v>119</v>
      </c>
      <c r="C4" s="17" t="s">
        <v>120</v>
      </c>
      <c r="D4" s="16" t="s">
        <v>121</v>
      </c>
      <c r="E4" s="16" t="s">
        <v>122</v>
      </c>
      <c r="F4" s="16" t="s">
        <v>202</v>
      </c>
      <c r="G4" s="18">
        <v>45534</v>
      </c>
      <c r="H4" s="16" t="s">
        <v>55</v>
      </c>
      <c r="I4" s="17" t="s">
        <v>29</v>
      </c>
      <c r="J4" s="17" t="s">
        <v>177</v>
      </c>
      <c r="K4" s="16" t="s">
        <v>4</v>
      </c>
      <c r="L4" s="18">
        <v>45320</v>
      </c>
      <c r="M4" s="16" t="s">
        <v>38</v>
      </c>
      <c r="N4" s="22" t="s">
        <v>123</v>
      </c>
    </row>
    <row r="5" spans="1:14" s="20" customFormat="1" ht="42.75" x14ac:dyDescent="0.25">
      <c r="A5" s="16" t="s">
        <v>185</v>
      </c>
      <c r="B5" s="17" t="s">
        <v>161</v>
      </c>
      <c r="C5" s="17" t="s">
        <v>151</v>
      </c>
      <c r="D5" s="16" t="s">
        <v>152</v>
      </c>
      <c r="E5" s="16" t="s">
        <v>153</v>
      </c>
      <c r="F5" s="16" t="s">
        <v>154</v>
      </c>
      <c r="G5" s="18">
        <v>45438</v>
      </c>
      <c r="H5" s="16" t="s">
        <v>55</v>
      </c>
      <c r="I5" s="17" t="s">
        <v>29</v>
      </c>
      <c r="J5" s="51" t="s">
        <v>250</v>
      </c>
      <c r="K5" s="16" t="s">
        <v>4</v>
      </c>
      <c r="L5" s="16" t="s">
        <v>142</v>
      </c>
      <c r="M5" s="16" t="s">
        <v>41</v>
      </c>
      <c r="N5" s="27" t="s">
        <v>155</v>
      </c>
    </row>
    <row r="6" spans="1:14" s="20" customFormat="1" ht="30" x14ac:dyDescent="0.25">
      <c r="A6" s="16" t="s">
        <v>189</v>
      </c>
      <c r="B6" s="17" t="s">
        <v>161</v>
      </c>
      <c r="C6" s="17" t="s">
        <v>162</v>
      </c>
      <c r="D6" s="16" t="s">
        <v>190</v>
      </c>
      <c r="E6" s="16" t="s">
        <v>191</v>
      </c>
      <c r="F6" s="16" t="s">
        <v>159</v>
      </c>
      <c r="G6" s="16" t="s">
        <v>285</v>
      </c>
      <c r="H6" s="16" t="s">
        <v>55</v>
      </c>
      <c r="I6" s="17" t="s">
        <v>29</v>
      </c>
      <c r="J6" s="51" t="s">
        <v>249</v>
      </c>
      <c r="K6" s="16" t="s">
        <v>4</v>
      </c>
      <c r="L6" s="16" t="s">
        <v>45</v>
      </c>
      <c r="M6" s="16" t="s">
        <v>38</v>
      </c>
      <c r="N6" s="26" t="s">
        <v>164</v>
      </c>
    </row>
    <row r="7" spans="1:14" s="20" customFormat="1" ht="30" x14ac:dyDescent="0.25">
      <c r="A7" s="16" t="s">
        <v>160</v>
      </c>
      <c r="B7" s="17" t="s">
        <v>68</v>
      </c>
      <c r="C7" s="17" t="s">
        <v>223</v>
      </c>
      <c r="D7" s="16" t="s">
        <v>69</v>
      </c>
      <c r="E7" s="16" t="s">
        <v>70</v>
      </c>
      <c r="F7" s="16" t="s">
        <v>66</v>
      </c>
      <c r="G7" s="48">
        <v>45623</v>
      </c>
      <c r="H7" s="16" t="s">
        <v>72</v>
      </c>
      <c r="I7" s="17" t="s">
        <v>29</v>
      </c>
      <c r="J7" s="51" t="s">
        <v>236</v>
      </c>
      <c r="K7" s="49" t="s">
        <v>4</v>
      </c>
      <c r="L7" s="49" t="s">
        <v>71</v>
      </c>
      <c r="M7" s="16" t="s">
        <v>38</v>
      </c>
      <c r="N7" s="58" t="s">
        <v>174</v>
      </c>
    </row>
    <row r="8" spans="1:14" s="20" customFormat="1" ht="42.75" x14ac:dyDescent="0.25">
      <c r="A8" s="16" t="s">
        <v>9</v>
      </c>
      <c r="B8" s="17" t="s">
        <v>68</v>
      </c>
      <c r="C8" s="17" t="s">
        <v>146</v>
      </c>
      <c r="D8" s="16" t="s">
        <v>147</v>
      </c>
      <c r="E8" s="16" t="s">
        <v>122</v>
      </c>
      <c r="F8" s="16" t="s">
        <v>148</v>
      </c>
      <c r="G8" s="16" t="s">
        <v>188</v>
      </c>
      <c r="H8" s="16" t="s">
        <v>55</v>
      </c>
      <c r="I8" s="17" t="s">
        <v>29</v>
      </c>
      <c r="J8" s="17" t="s">
        <v>169</v>
      </c>
      <c r="K8" s="49" t="s">
        <v>195</v>
      </c>
      <c r="L8" s="16" t="s">
        <v>149</v>
      </c>
      <c r="M8" s="16" t="s">
        <v>41</v>
      </c>
      <c r="N8" s="22" t="s">
        <v>150</v>
      </c>
    </row>
    <row r="9" spans="1:14" s="20" customFormat="1" ht="30" x14ac:dyDescent="0.25">
      <c r="A9" s="16" t="s">
        <v>9</v>
      </c>
      <c r="B9" s="17" t="s">
        <v>42</v>
      </c>
      <c r="C9" s="17" t="s">
        <v>43</v>
      </c>
      <c r="D9" s="17" t="s">
        <v>15</v>
      </c>
      <c r="E9" s="16" t="s">
        <v>48</v>
      </c>
      <c r="F9" s="16" t="s">
        <v>44</v>
      </c>
      <c r="G9" s="49" t="s">
        <v>188</v>
      </c>
      <c r="H9" s="49" t="s">
        <v>72</v>
      </c>
      <c r="I9" s="17" t="s">
        <v>34</v>
      </c>
      <c r="J9" s="51" t="s">
        <v>238</v>
      </c>
      <c r="K9" s="49" t="s">
        <v>207</v>
      </c>
      <c r="L9" s="18" t="s">
        <v>9</v>
      </c>
      <c r="M9" s="16" t="s">
        <v>14</v>
      </c>
      <c r="N9" s="58" t="s">
        <v>175</v>
      </c>
    </row>
    <row r="10" spans="1:14" s="20" customFormat="1" ht="84.95" customHeight="1" x14ac:dyDescent="0.25">
      <c r="A10" s="16" t="s">
        <v>53</v>
      </c>
      <c r="B10" s="17" t="s">
        <v>32</v>
      </c>
      <c r="C10" s="17" t="s">
        <v>166</v>
      </c>
      <c r="D10" s="17" t="s">
        <v>15</v>
      </c>
      <c r="E10" s="16" t="s">
        <v>33</v>
      </c>
      <c r="F10" s="16" t="s">
        <v>54</v>
      </c>
      <c r="G10" s="28"/>
      <c r="H10" s="16" t="s">
        <v>55</v>
      </c>
      <c r="I10" s="17" t="s">
        <v>51</v>
      </c>
      <c r="J10" s="17" t="s">
        <v>178</v>
      </c>
      <c r="K10" s="16" t="s">
        <v>195</v>
      </c>
      <c r="L10" s="18">
        <v>45020</v>
      </c>
      <c r="M10" s="16" t="s">
        <v>38</v>
      </c>
      <c r="N10" s="44" t="s">
        <v>187</v>
      </c>
    </row>
    <row r="11" spans="1:14" s="20" customFormat="1" ht="90" customHeight="1" x14ac:dyDescent="0.25">
      <c r="A11" s="25" t="s">
        <v>124</v>
      </c>
      <c r="B11" s="17" t="s">
        <v>125</v>
      </c>
      <c r="C11" s="29" t="s">
        <v>126</v>
      </c>
      <c r="D11" s="16" t="s">
        <v>15</v>
      </c>
      <c r="E11" s="16" t="s">
        <v>33</v>
      </c>
      <c r="F11" s="16" t="s">
        <v>127</v>
      </c>
      <c r="G11" s="18">
        <v>45510</v>
      </c>
      <c r="H11" s="16" t="s">
        <v>128</v>
      </c>
      <c r="I11" s="17" t="s">
        <v>34</v>
      </c>
      <c r="J11" s="17" t="s">
        <v>180</v>
      </c>
      <c r="K11" s="16" t="s">
        <v>4</v>
      </c>
      <c r="L11" s="48">
        <v>45427</v>
      </c>
      <c r="M11" s="16" t="s">
        <v>86</v>
      </c>
      <c r="N11" s="22" t="s">
        <v>129</v>
      </c>
    </row>
    <row r="12" spans="1:14" s="20" customFormat="1" ht="90" customHeight="1" x14ac:dyDescent="0.25">
      <c r="A12" s="25" t="s">
        <v>136</v>
      </c>
      <c r="B12" s="17" t="s">
        <v>125</v>
      </c>
      <c r="C12" s="29" t="s">
        <v>137</v>
      </c>
      <c r="D12" s="17" t="s">
        <v>138</v>
      </c>
      <c r="E12" s="16" t="s">
        <v>192</v>
      </c>
      <c r="F12" s="16" t="s">
        <v>193</v>
      </c>
      <c r="G12" s="18">
        <v>45632</v>
      </c>
      <c r="H12" s="16" t="s">
        <v>72</v>
      </c>
      <c r="I12" s="17" t="s">
        <v>194</v>
      </c>
      <c r="J12" s="17" t="s">
        <v>233</v>
      </c>
      <c r="K12" s="16" t="s">
        <v>3</v>
      </c>
      <c r="L12" s="16" t="s">
        <v>104</v>
      </c>
      <c r="M12" s="16" t="s">
        <v>41</v>
      </c>
      <c r="N12" s="22" t="s">
        <v>139</v>
      </c>
    </row>
    <row r="13" spans="1:14" s="20" customFormat="1" ht="90" customHeight="1" x14ac:dyDescent="0.25">
      <c r="A13" s="25" t="s">
        <v>130</v>
      </c>
      <c r="B13" s="17" t="s">
        <v>125</v>
      </c>
      <c r="C13" s="29" t="s">
        <v>131</v>
      </c>
      <c r="D13" s="16" t="s">
        <v>15</v>
      </c>
      <c r="E13" s="16" t="s">
        <v>33</v>
      </c>
      <c r="F13" s="16" t="s">
        <v>132</v>
      </c>
      <c r="G13" s="16"/>
      <c r="H13" s="16" t="s">
        <v>134</v>
      </c>
      <c r="I13" s="17" t="s">
        <v>34</v>
      </c>
      <c r="J13" s="17" t="s">
        <v>180</v>
      </c>
      <c r="K13" s="16" t="s">
        <v>195</v>
      </c>
      <c r="L13" s="16" t="s">
        <v>133</v>
      </c>
      <c r="M13" s="16" t="s">
        <v>196</v>
      </c>
      <c r="N13" s="22" t="s">
        <v>135</v>
      </c>
    </row>
    <row r="14" spans="1:14" s="20" customFormat="1" ht="30" x14ac:dyDescent="0.25">
      <c r="A14" s="16" t="s">
        <v>141</v>
      </c>
      <c r="B14" s="17" t="s">
        <v>47</v>
      </c>
      <c r="C14" s="17" t="s">
        <v>64</v>
      </c>
      <c r="D14" s="17" t="s">
        <v>15</v>
      </c>
      <c r="E14" s="16" t="s">
        <v>33</v>
      </c>
      <c r="F14" s="16" t="s">
        <v>56</v>
      </c>
      <c r="G14" s="16" t="s">
        <v>286</v>
      </c>
      <c r="H14" s="16" t="s">
        <v>30</v>
      </c>
      <c r="I14" s="17" t="s">
        <v>34</v>
      </c>
      <c r="J14" s="17" t="s">
        <v>200</v>
      </c>
      <c r="K14" s="16" t="s">
        <v>4</v>
      </c>
      <c r="L14" s="18" t="s">
        <v>142</v>
      </c>
      <c r="M14" s="16" t="s">
        <v>38</v>
      </c>
      <c r="N14" s="43" t="s">
        <v>65</v>
      </c>
    </row>
    <row r="15" spans="1:14" s="20" customFormat="1" ht="114" x14ac:dyDescent="0.25">
      <c r="A15" s="16" t="s">
        <v>89</v>
      </c>
      <c r="B15" s="17" t="s">
        <v>47</v>
      </c>
      <c r="C15" s="29" t="s">
        <v>83</v>
      </c>
      <c r="D15" s="16" t="s">
        <v>15</v>
      </c>
      <c r="E15" s="16" t="s">
        <v>84</v>
      </c>
      <c r="F15" s="16" t="s">
        <v>127</v>
      </c>
      <c r="G15" s="16"/>
      <c r="H15" s="16" t="s">
        <v>85</v>
      </c>
      <c r="I15" s="17" t="s">
        <v>34</v>
      </c>
      <c r="J15" s="17" t="s">
        <v>199</v>
      </c>
      <c r="K15" s="16" t="s">
        <v>195</v>
      </c>
      <c r="L15" s="16" t="s">
        <v>46</v>
      </c>
      <c r="M15" s="16" t="s">
        <v>86</v>
      </c>
      <c r="N15" s="22" t="s">
        <v>204</v>
      </c>
    </row>
    <row r="16" spans="1:14" s="20" customFormat="1" ht="30" x14ac:dyDescent="0.25">
      <c r="A16" s="16" t="s">
        <v>105</v>
      </c>
      <c r="B16" s="17" t="s">
        <v>47</v>
      </c>
      <c r="C16" s="17" t="s">
        <v>99</v>
      </c>
      <c r="D16" s="16" t="s">
        <v>74</v>
      </c>
      <c r="E16" s="16" t="s">
        <v>75</v>
      </c>
      <c r="F16" s="16" t="s">
        <v>87</v>
      </c>
      <c r="G16" s="16"/>
      <c r="H16" s="16" t="s">
        <v>72</v>
      </c>
      <c r="I16" s="17" t="s">
        <v>57</v>
      </c>
      <c r="J16" s="17" t="s">
        <v>179</v>
      </c>
      <c r="K16" s="16" t="s">
        <v>4</v>
      </c>
      <c r="L16" s="16" t="s">
        <v>100</v>
      </c>
      <c r="M16" s="16" t="s">
        <v>41</v>
      </c>
      <c r="N16" s="21" t="s">
        <v>76</v>
      </c>
    </row>
    <row r="17" spans="1:616" s="20" customFormat="1" ht="30" x14ac:dyDescent="0.25">
      <c r="A17" s="16" t="s">
        <v>73</v>
      </c>
      <c r="B17" s="17" t="s">
        <v>47</v>
      </c>
      <c r="C17" s="17" t="s">
        <v>58</v>
      </c>
      <c r="D17" s="16" t="s">
        <v>59</v>
      </c>
      <c r="E17" s="16" t="s">
        <v>60</v>
      </c>
      <c r="F17" s="16" t="s">
        <v>88</v>
      </c>
      <c r="G17" s="16"/>
      <c r="H17" s="16" t="s">
        <v>30</v>
      </c>
      <c r="I17" s="17" t="s">
        <v>29</v>
      </c>
      <c r="J17" s="17" t="s">
        <v>170</v>
      </c>
      <c r="K17" s="16" t="s">
        <v>4</v>
      </c>
      <c r="L17" s="16" t="s">
        <v>46</v>
      </c>
      <c r="M17" s="16" t="s">
        <v>41</v>
      </c>
      <c r="N17" s="21" t="s">
        <v>61</v>
      </c>
    </row>
    <row r="18" spans="1:616" s="20" customFormat="1" ht="85.5" x14ac:dyDescent="0.25">
      <c r="A18" s="16" t="s">
        <v>9</v>
      </c>
      <c r="B18" s="17" t="s">
        <v>47</v>
      </c>
      <c r="C18" s="17" t="s">
        <v>90</v>
      </c>
      <c r="D18" s="16" t="s">
        <v>15</v>
      </c>
      <c r="E18" s="16" t="s">
        <v>84</v>
      </c>
      <c r="F18" s="16" t="s">
        <v>159</v>
      </c>
      <c r="G18" s="16"/>
      <c r="H18" s="16" t="s">
        <v>91</v>
      </c>
      <c r="I18" s="17" t="s">
        <v>34</v>
      </c>
      <c r="J18" s="17" t="s">
        <v>9</v>
      </c>
      <c r="K18" s="16" t="s">
        <v>5</v>
      </c>
      <c r="L18" s="16" t="s">
        <v>9</v>
      </c>
      <c r="M18" s="16" t="s">
        <v>86</v>
      </c>
      <c r="N18" s="22" t="s">
        <v>92</v>
      </c>
    </row>
    <row r="19" spans="1:616" s="20" customFormat="1" ht="84.95" customHeight="1" x14ac:dyDescent="0.25">
      <c r="A19" s="16" t="s">
        <v>140</v>
      </c>
      <c r="B19" s="17" t="s">
        <v>47</v>
      </c>
      <c r="C19" s="17" t="s">
        <v>62</v>
      </c>
      <c r="D19" s="17" t="s">
        <v>15</v>
      </c>
      <c r="E19" s="16" t="s">
        <v>33</v>
      </c>
      <c r="F19" s="16" t="s">
        <v>56</v>
      </c>
      <c r="G19" s="16"/>
      <c r="H19" s="16" t="s">
        <v>30</v>
      </c>
      <c r="I19" s="17" t="s">
        <v>34</v>
      </c>
      <c r="J19" s="17" t="s">
        <v>201</v>
      </c>
      <c r="K19" s="16" t="s">
        <v>4</v>
      </c>
      <c r="L19" s="18" t="s">
        <v>142</v>
      </c>
      <c r="M19" s="16" t="s">
        <v>38</v>
      </c>
      <c r="N19" s="21" t="s">
        <v>63</v>
      </c>
    </row>
    <row r="20" spans="1:616" s="19" customFormat="1" ht="84.95" customHeight="1" x14ac:dyDescent="0.25">
      <c r="A20" s="16" t="s">
        <v>9</v>
      </c>
      <c r="B20" s="17" t="s">
        <v>108</v>
      </c>
      <c r="C20" s="24" t="s">
        <v>115</v>
      </c>
      <c r="D20" s="23" t="s">
        <v>15</v>
      </c>
      <c r="E20" s="23" t="s">
        <v>33</v>
      </c>
      <c r="F20" s="16" t="s">
        <v>56</v>
      </c>
      <c r="G20" s="16"/>
      <c r="H20" s="16" t="s">
        <v>9</v>
      </c>
      <c r="I20" s="17" t="s">
        <v>116</v>
      </c>
      <c r="J20" s="17" t="s">
        <v>171</v>
      </c>
      <c r="K20" s="16" t="s">
        <v>195</v>
      </c>
      <c r="L20" s="16" t="s">
        <v>117</v>
      </c>
      <c r="M20" s="16" t="s">
        <v>9</v>
      </c>
      <c r="N20" s="26" t="s">
        <v>186</v>
      </c>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20"/>
      <c r="DO20" s="20"/>
      <c r="DP20" s="20"/>
      <c r="DQ20" s="20"/>
      <c r="DR20" s="20"/>
      <c r="DS20" s="20"/>
      <c r="DT20" s="20"/>
      <c r="DU20" s="20"/>
      <c r="DV20" s="20"/>
      <c r="DW20" s="20"/>
      <c r="DX20" s="20"/>
      <c r="DY20" s="20"/>
      <c r="DZ20" s="20"/>
      <c r="EA20" s="20"/>
      <c r="EB20" s="20"/>
      <c r="EC20" s="20"/>
      <c r="ED20" s="20"/>
      <c r="EE20" s="20"/>
      <c r="EF20" s="20"/>
      <c r="EG20" s="20"/>
      <c r="EH20" s="20"/>
      <c r="EI20" s="20"/>
      <c r="EJ20" s="20"/>
      <c r="EK20" s="20"/>
      <c r="EL20" s="20"/>
      <c r="EM20" s="20"/>
      <c r="EN20" s="20"/>
      <c r="EO20" s="20"/>
      <c r="EP20" s="20"/>
      <c r="EQ20" s="20"/>
      <c r="ER20" s="20"/>
      <c r="ES20" s="20"/>
      <c r="ET20" s="20"/>
      <c r="EU20" s="20"/>
      <c r="EV20" s="20"/>
      <c r="EW20" s="20"/>
      <c r="EX20" s="20"/>
      <c r="EY20" s="20"/>
      <c r="EZ20" s="20"/>
      <c r="FA20" s="20"/>
      <c r="FB20" s="20"/>
      <c r="FC20" s="20"/>
      <c r="FD20" s="20"/>
      <c r="FE20" s="20"/>
      <c r="FF20" s="20"/>
      <c r="FG20" s="20"/>
      <c r="FH20" s="20"/>
      <c r="FI20" s="20"/>
      <c r="FJ20" s="20"/>
      <c r="FK20" s="20"/>
      <c r="FL20" s="20"/>
      <c r="FM20" s="20"/>
      <c r="FN20" s="20"/>
      <c r="FO20" s="20"/>
      <c r="FP20" s="20"/>
      <c r="FQ20" s="20"/>
      <c r="FR20" s="20"/>
      <c r="FS20" s="20"/>
      <c r="FT20" s="20"/>
      <c r="FU20" s="20"/>
      <c r="FV20" s="20"/>
      <c r="FW20" s="20"/>
      <c r="FX20" s="20"/>
      <c r="FY20" s="20"/>
      <c r="FZ20" s="20"/>
      <c r="GA20" s="20"/>
      <c r="GB20" s="20"/>
      <c r="GC20" s="20"/>
      <c r="GD20" s="20"/>
      <c r="GE20" s="20"/>
      <c r="GF20" s="20"/>
      <c r="GG20" s="20"/>
      <c r="GH20" s="20"/>
      <c r="GI20" s="20"/>
      <c r="GJ20" s="20"/>
      <c r="GK20" s="20"/>
      <c r="GL20" s="20"/>
      <c r="GM20" s="20"/>
      <c r="GN20" s="20"/>
      <c r="GO20" s="20"/>
      <c r="GP20" s="20"/>
      <c r="GQ20" s="20"/>
      <c r="GR20" s="20"/>
      <c r="GS20" s="20"/>
      <c r="GT20" s="20"/>
      <c r="GU20" s="20"/>
      <c r="GV20" s="20"/>
      <c r="GW20" s="20"/>
      <c r="GX20" s="20"/>
      <c r="GY20" s="20"/>
      <c r="GZ20" s="20"/>
      <c r="HA20" s="20"/>
      <c r="HB20" s="20"/>
      <c r="HC20" s="20"/>
      <c r="HD20" s="20"/>
      <c r="HE20" s="20"/>
      <c r="HF20" s="20"/>
      <c r="HG20" s="20"/>
      <c r="HH20" s="20"/>
      <c r="HI20" s="20"/>
      <c r="HJ20" s="20"/>
      <c r="HK20" s="20"/>
      <c r="HL20" s="20"/>
      <c r="HM20" s="20"/>
      <c r="HN20" s="20"/>
      <c r="HO20" s="20"/>
      <c r="HP20" s="20"/>
      <c r="HQ20" s="20"/>
      <c r="HR20" s="20"/>
      <c r="HS20" s="20"/>
      <c r="HT20" s="20"/>
      <c r="HU20" s="20"/>
      <c r="HV20" s="20"/>
      <c r="HW20" s="20"/>
      <c r="HX20" s="20"/>
      <c r="HY20" s="20"/>
      <c r="HZ20" s="20"/>
      <c r="IA20" s="20"/>
      <c r="IB20" s="20"/>
      <c r="IC20" s="20"/>
      <c r="ID20" s="20"/>
      <c r="IE20" s="20"/>
      <c r="IF20" s="20"/>
      <c r="IG20" s="20"/>
      <c r="IH20" s="20"/>
      <c r="II20" s="20"/>
      <c r="IJ20" s="20"/>
      <c r="IK20" s="20"/>
      <c r="IL20" s="20"/>
      <c r="IM20" s="20"/>
      <c r="IN20" s="20"/>
      <c r="IO20" s="20"/>
      <c r="IP20" s="20"/>
      <c r="IQ20" s="20"/>
      <c r="IR20" s="20"/>
      <c r="IS20" s="20"/>
      <c r="IT20" s="20"/>
      <c r="IU20" s="20"/>
      <c r="IV20" s="20"/>
      <c r="IW20" s="20"/>
      <c r="IX20" s="20"/>
      <c r="IY20" s="20"/>
      <c r="IZ20" s="20"/>
      <c r="JA20" s="20"/>
      <c r="JB20" s="20"/>
      <c r="JC20" s="20"/>
      <c r="JD20" s="20"/>
      <c r="JE20" s="20"/>
      <c r="JF20" s="20"/>
      <c r="JG20" s="20"/>
      <c r="JH20" s="20"/>
      <c r="JI20" s="20"/>
      <c r="JJ20" s="20"/>
      <c r="JK20" s="20"/>
      <c r="JL20" s="20"/>
      <c r="JM20" s="20"/>
      <c r="JN20" s="20"/>
      <c r="JO20" s="20"/>
      <c r="JP20" s="20"/>
      <c r="JQ20" s="20"/>
      <c r="JR20" s="20"/>
      <c r="JS20" s="20"/>
      <c r="JT20" s="20"/>
      <c r="JU20" s="20"/>
      <c r="JV20" s="20"/>
      <c r="JW20" s="20"/>
      <c r="JX20" s="20"/>
      <c r="JY20" s="20"/>
      <c r="JZ20" s="20"/>
      <c r="KA20" s="20"/>
      <c r="KB20" s="20"/>
      <c r="KC20" s="20"/>
      <c r="KD20" s="20"/>
      <c r="KE20" s="20"/>
      <c r="KF20" s="20"/>
      <c r="KG20" s="20"/>
      <c r="KH20" s="20"/>
      <c r="KI20" s="20"/>
      <c r="KJ20" s="20"/>
      <c r="KK20" s="20"/>
      <c r="KL20" s="20"/>
      <c r="KM20" s="20"/>
      <c r="KN20" s="20"/>
      <c r="KO20" s="20"/>
      <c r="KP20" s="20"/>
      <c r="KQ20" s="20"/>
      <c r="KR20" s="20"/>
      <c r="KS20" s="20"/>
      <c r="KT20" s="20"/>
      <c r="KU20" s="20"/>
      <c r="KV20" s="20"/>
      <c r="KW20" s="20"/>
      <c r="KX20" s="20"/>
      <c r="KY20" s="20"/>
      <c r="KZ20" s="20"/>
      <c r="LA20" s="20"/>
      <c r="LB20" s="20"/>
      <c r="LC20" s="20"/>
      <c r="LD20" s="20"/>
      <c r="LE20" s="20"/>
      <c r="LF20" s="20"/>
      <c r="LG20" s="20"/>
      <c r="LH20" s="20"/>
      <c r="LI20" s="20"/>
      <c r="LJ20" s="20"/>
      <c r="LK20" s="20"/>
      <c r="LL20" s="20"/>
      <c r="LM20" s="20"/>
      <c r="LN20" s="20"/>
      <c r="LO20" s="20"/>
      <c r="LP20" s="20"/>
      <c r="LQ20" s="20"/>
      <c r="LR20" s="20"/>
      <c r="LS20" s="20"/>
      <c r="LT20" s="20"/>
      <c r="LU20" s="20"/>
      <c r="LV20" s="20"/>
      <c r="LW20" s="20"/>
      <c r="LX20" s="20"/>
      <c r="LY20" s="20"/>
      <c r="LZ20" s="20"/>
      <c r="MA20" s="20"/>
      <c r="MB20" s="20"/>
      <c r="MC20" s="20"/>
      <c r="MD20" s="20"/>
      <c r="ME20" s="20"/>
      <c r="MF20" s="20"/>
      <c r="MG20" s="20"/>
      <c r="MH20" s="20"/>
      <c r="MI20" s="20"/>
      <c r="MJ20" s="20"/>
      <c r="MK20" s="20"/>
      <c r="ML20" s="20"/>
      <c r="MM20" s="20"/>
      <c r="MN20" s="20"/>
      <c r="MO20" s="20"/>
      <c r="MP20" s="20"/>
      <c r="MQ20" s="20"/>
      <c r="MR20" s="20"/>
      <c r="MS20" s="20"/>
      <c r="MT20" s="20"/>
      <c r="MU20" s="20"/>
      <c r="MV20" s="20"/>
      <c r="MW20" s="20"/>
      <c r="MX20" s="20"/>
      <c r="MY20" s="20"/>
      <c r="MZ20" s="20"/>
      <c r="NA20" s="20"/>
      <c r="NB20" s="20"/>
      <c r="NC20" s="20"/>
      <c r="ND20" s="20"/>
      <c r="NE20" s="20"/>
      <c r="NF20" s="20"/>
      <c r="NG20" s="20"/>
      <c r="NH20" s="20"/>
      <c r="NI20" s="20"/>
      <c r="NJ20" s="20"/>
      <c r="NK20" s="20"/>
      <c r="NL20" s="20"/>
      <c r="NM20" s="20"/>
      <c r="NN20" s="20"/>
      <c r="NO20" s="20"/>
      <c r="NP20" s="20"/>
      <c r="NQ20" s="20"/>
      <c r="NR20" s="20"/>
      <c r="NS20" s="20"/>
      <c r="NT20" s="20"/>
      <c r="NU20" s="20"/>
      <c r="NV20" s="20"/>
      <c r="NW20" s="20"/>
      <c r="NX20" s="20"/>
      <c r="NY20" s="20"/>
      <c r="NZ20" s="20"/>
      <c r="OA20" s="20"/>
      <c r="OB20" s="20"/>
      <c r="OC20" s="20"/>
      <c r="OD20" s="20"/>
      <c r="OE20" s="20"/>
      <c r="OF20" s="20"/>
      <c r="OG20" s="20"/>
      <c r="OH20" s="20"/>
      <c r="OI20" s="20"/>
      <c r="OJ20" s="20"/>
      <c r="OK20" s="20"/>
      <c r="OL20" s="20"/>
      <c r="OM20" s="20"/>
      <c r="ON20" s="20"/>
      <c r="OO20" s="20"/>
      <c r="OP20" s="20"/>
      <c r="OQ20" s="20"/>
      <c r="OR20" s="20"/>
      <c r="OS20" s="20"/>
      <c r="OT20" s="20"/>
      <c r="OU20" s="20"/>
      <c r="OV20" s="20"/>
      <c r="OW20" s="20"/>
      <c r="OX20" s="20"/>
      <c r="OY20" s="20"/>
      <c r="OZ20" s="20"/>
      <c r="PA20" s="20"/>
      <c r="PB20" s="20"/>
      <c r="PC20" s="20"/>
      <c r="PD20" s="20"/>
      <c r="PE20" s="20"/>
      <c r="PF20" s="20"/>
      <c r="PG20" s="20"/>
      <c r="PH20" s="20"/>
      <c r="PI20" s="20"/>
      <c r="PJ20" s="20"/>
      <c r="PK20" s="20"/>
      <c r="PL20" s="20"/>
      <c r="PM20" s="20"/>
      <c r="PN20" s="20"/>
      <c r="PO20" s="20"/>
      <c r="PP20" s="20"/>
      <c r="PQ20" s="20"/>
      <c r="PR20" s="20"/>
      <c r="PS20" s="20"/>
      <c r="PT20" s="20"/>
      <c r="PU20" s="20"/>
      <c r="PV20" s="20"/>
      <c r="PW20" s="20"/>
      <c r="PX20" s="20"/>
      <c r="PY20" s="20"/>
      <c r="PZ20" s="20"/>
      <c r="QA20" s="20"/>
      <c r="QB20" s="20"/>
      <c r="QC20" s="20"/>
      <c r="QD20" s="20"/>
      <c r="QE20" s="20"/>
      <c r="QF20" s="20"/>
      <c r="QG20" s="20"/>
      <c r="QH20" s="20"/>
      <c r="QI20" s="20"/>
      <c r="QJ20" s="20"/>
      <c r="QK20" s="20"/>
      <c r="QL20" s="20"/>
      <c r="QM20" s="20"/>
      <c r="QN20" s="20"/>
      <c r="QO20" s="20"/>
      <c r="QP20" s="20"/>
      <c r="QQ20" s="20"/>
      <c r="QR20" s="20"/>
      <c r="QS20" s="20"/>
      <c r="QT20" s="20"/>
      <c r="QU20" s="20"/>
      <c r="QV20" s="20"/>
      <c r="QW20" s="20"/>
      <c r="QX20" s="20"/>
      <c r="QY20" s="20"/>
      <c r="QZ20" s="20"/>
      <c r="RA20" s="20"/>
      <c r="RB20" s="20"/>
      <c r="RC20" s="20"/>
      <c r="RD20" s="20"/>
      <c r="RE20" s="20"/>
      <c r="RF20" s="20"/>
      <c r="RG20" s="20"/>
      <c r="RH20" s="20"/>
      <c r="RI20" s="20"/>
      <c r="RJ20" s="20"/>
      <c r="RK20" s="20"/>
      <c r="RL20" s="20"/>
      <c r="RM20" s="20"/>
      <c r="RN20" s="20"/>
      <c r="RO20" s="20"/>
      <c r="RP20" s="20"/>
      <c r="RQ20" s="20"/>
      <c r="RR20" s="20"/>
      <c r="RS20" s="20"/>
      <c r="RT20" s="20"/>
      <c r="RU20" s="20"/>
      <c r="RV20" s="20"/>
      <c r="RW20" s="20"/>
      <c r="RX20" s="20"/>
      <c r="RY20" s="20"/>
      <c r="RZ20" s="20"/>
      <c r="SA20" s="20"/>
      <c r="SB20" s="20"/>
      <c r="SC20" s="20"/>
      <c r="SD20" s="20"/>
      <c r="SE20" s="20"/>
      <c r="SF20" s="20"/>
      <c r="SG20" s="20"/>
      <c r="SH20" s="20"/>
      <c r="SI20" s="20"/>
      <c r="SJ20" s="20"/>
      <c r="SK20" s="20"/>
      <c r="SL20" s="20"/>
      <c r="SM20" s="20"/>
      <c r="SN20" s="20"/>
      <c r="SO20" s="20"/>
      <c r="SP20" s="20"/>
      <c r="SQ20" s="20"/>
      <c r="SR20" s="20"/>
      <c r="SS20" s="20"/>
      <c r="ST20" s="20"/>
      <c r="SU20" s="20"/>
      <c r="SV20" s="20"/>
      <c r="SW20" s="20"/>
      <c r="SX20" s="20"/>
      <c r="SY20" s="20"/>
      <c r="SZ20" s="20"/>
      <c r="TA20" s="20"/>
      <c r="TB20" s="20"/>
      <c r="TC20" s="20"/>
      <c r="TD20" s="20"/>
      <c r="TE20" s="20"/>
      <c r="TF20" s="20"/>
      <c r="TG20" s="20"/>
      <c r="TH20" s="20"/>
      <c r="TI20" s="20"/>
      <c r="TJ20" s="20"/>
      <c r="TK20" s="20"/>
      <c r="TL20" s="20"/>
      <c r="TM20" s="20"/>
      <c r="TN20" s="20"/>
      <c r="TO20" s="20"/>
      <c r="TP20" s="20"/>
      <c r="TQ20" s="20"/>
      <c r="TR20" s="20"/>
      <c r="TS20" s="20"/>
      <c r="TT20" s="20"/>
      <c r="TU20" s="20"/>
      <c r="TV20" s="20"/>
      <c r="TW20" s="20"/>
      <c r="TX20" s="20"/>
      <c r="TY20" s="20"/>
      <c r="TZ20" s="20"/>
      <c r="UA20" s="20"/>
      <c r="UB20" s="20"/>
      <c r="UC20" s="20"/>
      <c r="UD20" s="20"/>
      <c r="UE20" s="20"/>
      <c r="UF20" s="20"/>
      <c r="UG20" s="20"/>
      <c r="UH20" s="20"/>
      <c r="UI20" s="20"/>
      <c r="UJ20" s="20"/>
      <c r="UK20" s="20"/>
      <c r="UL20" s="20"/>
      <c r="UM20" s="20"/>
      <c r="UN20" s="20"/>
      <c r="UO20" s="20"/>
      <c r="UP20" s="20"/>
      <c r="UQ20" s="20"/>
      <c r="UR20" s="20"/>
      <c r="US20" s="20"/>
      <c r="UT20" s="20"/>
      <c r="UU20" s="20"/>
      <c r="UV20" s="20"/>
      <c r="UW20" s="20"/>
      <c r="UX20" s="20"/>
      <c r="UY20" s="20"/>
      <c r="UZ20" s="20"/>
      <c r="VA20" s="20"/>
      <c r="VB20" s="20"/>
      <c r="VC20" s="20"/>
      <c r="VD20" s="20"/>
      <c r="VE20" s="20"/>
      <c r="VF20" s="20"/>
      <c r="VG20" s="20"/>
      <c r="VH20" s="20"/>
      <c r="VI20" s="20"/>
      <c r="VJ20" s="20"/>
      <c r="VK20" s="20"/>
      <c r="VL20" s="20"/>
      <c r="VM20" s="20"/>
      <c r="VN20" s="20"/>
      <c r="VO20" s="20"/>
      <c r="VP20" s="20"/>
      <c r="VQ20" s="20"/>
      <c r="VR20" s="20"/>
      <c r="VS20" s="20"/>
      <c r="VT20" s="20"/>
      <c r="VU20" s="20"/>
      <c r="VV20" s="20"/>
      <c r="VW20" s="20"/>
      <c r="VX20" s="20"/>
      <c r="VY20" s="20"/>
      <c r="VZ20" s="20"/>
      <c r="WA20" s="20"/>
      <c r="WB20" s="20"/>
      <c r="WC20" s="20"/>
      <c r="WD20" s="20"/>
      <c r="WE20" s="20"/>
      <c r="WF20" s="20"/>
      <c r="WG20" s="20"/>
      <c r="WH20" s="20"/>
      <c r="WI20" s="20"/>
      <c r="WJ20" s="20"/>
      <c r="WK20" s="20"/>
      <c r="WL20" s="20"/>
      <c r="WM20" s="20"/>
      <c r="WN20" s="20"/>
      <c r="WO20" s="20"/>
      <c r="WP20" s="20"/>
      <c r="WQ20" s="20"/>
      <c r="WR20" s="61"/>
    </row>
    <row r="21" spans="1:616" s="20" customFormat="1" ht="84.95" customHeight="1" x14ac:dyDescent="0.25">
      <c r="A21" s="16" t="s">
        <v>93</v>
      </c>
      <c r="B21" s="17" t="s">
        <v>31</v>
      </c>
      <c r="C21" s="17" t="s">
        <v>101</v>
      </c>
      <c r="D21" s="17" t="s">
        <v>102</v>
      </c>
      <c r="E21" s="16" t="s">
        <v>103</v>
      </c>
      <c r="F21" s="16" t="s">
        <v>98</v>
      </c>
      <c r="G21" s="18">
        <v>45384</v>
      </c>
      <c r="H21" s="16" t="s">
        <v>94</v>
      </c>
      <c r="I21" s="17" t="s">
        <v>95</v>
      </c>
      <c r="J21" s="17" t="s">
        <v>176</v>
      </c>
      <c r="K21" s="16" t="s">
        <v>4</v>
      </c>
      <c r="L21" s="16" t="s">
        <v>96</v>
      </c>
      <c r="M21" s="16" t="s">
        <v>67</v>
      </c>
      <c r="N21" s="21" t="s">
        <v>97</v>
      </c>
    </row>
    <row r="22" spans="1:616" s="20" customFormat="1" ht="117.75" customHeight="1" x14ac:dyDescent="0.25">
      <c r="A22" s="16" t="s">
        <v>9</v>
      </c>
      <c r="B22" s="17" t="s">
        <v>47</v>
      </c>
      <c r="C22" s="17" t="s">
        <v>165</v>
      </c>
      <c r="D22" s="16" t="s">
        <v>15</v>
      </c>
      <c r="E22" s="16" t="s">
        <v>33</v>
      </c>
      <c r="F22" s="16" t="s">
        <v>156</v>
      </c>
      <c r="G22" s="16" t="s">
        <v>168</v>
      </c>
      <c r="H22" s="16" t="s">
        <v>114</v>
      </c>
      <c r="I22" s="17" t="s">
        <v>9</v>
      </c>
      <c r="J22" s="51" t="s">
        <v>241</v>
      </c>
      <c r="K22" s="16" t="s">
        <v>207</v>
      </c>
      <c r="L22" s="16" t="s">
        <v>9</v>
      </c>
      <c r="M22" s="16" t="s">
        <v>9</v>
      </c>
      <c r="N22" s="59" t="s">
        <v>205</v>
      </c>
    </row>
    <row r="23" spans="1:616" s="20" customFormat="1" ht="84.95" customHeight="1" x14ac:dyDescent="0.25">
      <c r="A23" s="16" t="s">
        <v>9</v>
      </c>
      <c r="B23" s="17" t="s">
        <v>47</v>
      </c>
      <c r="C23" s="17" t="s">
        <v>157</v>
      </c>
      <c r="D23" s="16" t="s">
        <v>15</v>
      </c>
      <c r="E23" s="16" t="s">
        <v>33</v>
      </c>
      <c r="F23" s="16" t="s">
        <v>156</v>
      </c>
      <c r="G23" s="16" t="s">
        <v>168</v>
      </c>
      <c r="H23" s="16" t="s">
        <v>9</v>
      </c>
      <c r="I23" s="17" t="s">
        <v>9</v>
      </c>
      <c r="J23" s="51" t="s">
        <v>201</v>
      </c>
      <c r="K23" s="16" t="s">
        <v>207</v>
      </c>
      <c r="L23" s="16" t="s">
        <v>9</v>
      </c>
      <c r="M23" s="16" t="s">
        <v>9</v>
      </c>
      <c r="N23" s="59" t="s">
        <v>203</v>
      </c>
    </row>
  </sheetData>
  <autoFilter ref="A3:AED18" xr:uid="{CAAE0C4D-6A5F-4AC1-92CA-7BBF68CBCE38}"/>
  <sortState xmlns:xlrd2="http://schemas.microsoft.com/office/spreadsheetml/2017/richdata2" ref="A4:N21">
    <sortCondition ref="B4:B21"/>
    <sortCondition ref="G4:G21"/>
  </sortStat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Legend!$A$2:$A$8</xm:f>
          </x14:formula1>
          <xm:sqref>K4:K13 K20:K22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B10"/>
  <sheetViews>
    <sheetView workbookViewId="0">
      <selection activeCell="B27" sqref="B27"/>
    </sheetView>
  </sheetViews>
  <sheetFormatPr defaultRowHeight="15" x14ac:dyDescent="0.25"/>
  <cols>
    <col min="1" max="1" width="36" customWidth="1"/>
    <col min="2" max="2" width="112.5703125" customWidth="1"/>
  </cols>
  <sheetData>
    <row r="1" spans="1:2" ht="25.5" customHeight="1" thickBot="1" x14ac:dyDescent="0.35">
      <c r="A1" s="8" t="s">
        <v>0</v>
      </c>
      <c r="B1" s="9" t="s">
        <v>8</v>
      </c>
    </row>
    <row r="2" spans="1:2" ht="30" customHeight="1" x14ac:dyDescent="0.25">
      <c r="A2" s="1" t="s">
        <v>5</v>
      </c>
      <c r="B2" s="10" t="s">
        <v>25</v>
      </c>
    </row>
    <row r="3" spans="1:2" ht="30" customHeight="1" x14ac:dyDescent="0.25">
      <c r="A3" s="2" t="s">
        <v>7</v>
      </c>
      <c r="B3" s="12" t="s">
        <v>12</v>
      </c>
    </row>
    <row r="4" spans="1:2" ht="15.75" x14ac:dyDescent="0.25">
      <c r="A4" s="4" t="s">
        <v>2</v>
      </c>
      <c r="B4" s="11" t="s">
        <v>24</v>
      </c>
    </row>
    <row r="5" spans="1:2" ht="15.75" x14ac:dyDescent="0.25">
      <c r="A5" s="2" t="s">
        <v>3</v>
      </c>
      <c r="B5" s="3" t="s">
        <v>26</v>
      </c>
    </row>
    <row r="6" spans="1:2" ht="30" customHeight="1" x14ac:dyDescent="0.25">
      <c r="A6" s="4" t="s">
        <v>4</v>
      </c>
      <c r="B6" s="5" t="s">
        <v>27</v>
      </c>
    </row>
    <row r="7" spans="1:2" ht="30" customHeight="1" thickBot="1" x14ac:dyDescent="0.3">
      <c r="A7" s="6" t="s">
        <v>195</v>
      </c>
      <c r="B7" s="7" t="s">
        <v>28</v>
      </c>
    </row>
    <row r="8" spans="1:2" ht="30" customHeight="1" thickBot="1" x14ac:dyDescent="0.3">
      <c r="A8" s="13" t="s">
        <v>207</v>
      </c>
      <c r="B8" s="14" t="s">
        <v>208</v>
      </c>
    </row>
    <row r="9" spans="1:2" ht="30" customHeight="1" thickBot="1" x14ac:dyDescent="0.3">
      <c r="A9" s="6" t="s">
        <v>15</v>
      </c>
      <c r="B9" s="7" t="s">
        <v>16</v>
      </c>
    </row>
    <row r="10" spans="1:2" ht="30" customHeight="1" thickBot="1" x14ac:dyDescent="0.3">
      <c r="A10" s="13" t="s">
        <v>40</v>
      </c>
      <c r="B10" s="14" t="s">
        <v>39</v>
      </c>
    </row>
  </sheetData>
  <dataValidations count="1">
    <dataValidation type="custom" allowBlank="1" showInputMessage="1" showErrorMessage="1" sqref="D4" xr:uid="{00000000-0002-0000-0100-000000000000}">
      <formula1>A2</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98C060DC519C5438F279013B0EC9B02" ma:contentTypeVersion="11" ma:contentTypeDescription="Create a new document." ma:contentTypeScope="" ma:versionID="13d88e651f0e38402a2daba0009bb14c">
  <xsd:schema xmlns:xsd="http://www.w3.org/2001/XMLSchema" xmlns:xs="http://www.w3.org/2001/XMLSchema" xmlns:p="http://schemas.microsoft.com/office/2006/metadata/properties" xmlns:ns3="bc96db8f-62c4-44cc-8b28-7ef117495d18" xmlns:ns4="04adc925-6b5d-4628-b7e0-5b86efa98958" targetNamespace="http://schemas.microsoft.com/office/2006/metadata/properties" ma:root="true" ma:fieldsID="641b56dfb833c04201716300fa401d52" ns3:_="" ns4:_="">
    <xsd:import namespace="bc96db8f-62c4-44cc-8b28-7ef117495d18"/>
    <xsd:import namespace="04adc925-6b5d-4628-b7e0-5b86efa98958"/>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DateTaken" minOccurs="0"/>
                <xsd:element ref="ns4:MediaServiceAutoTags" minOccurs="0"/>
                <xsd:element ref="ns4:MediaServiceGenerationTime" minOccurs="0"/>
                <xsd:element ref="ns4:MediaServiceEventHashCode" minOccurs="0"/>
                <xsd:element ref="ns4:MediaServiceOCR"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96db8f-62c4-44cc-8b28-7ef117495d1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adc925-6b5d-4628-b7e0-5b86efa98958"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16C63A-A392-436D-AA37-D1F1B3AB87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96db8f-62c4-44cc-8b28-7ef117495d18"/>
    <ds:schemaRef ds:uri="04adc925-6b5d-4628-b7e0-5b86efa989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42460E6-4A91-4A97-BB78-A7D53EDA8C63}">
  <ds:schemaRefs>
    <ds:schemaRef ds:uri="http://schemas.microsoft.com/sharepoint/v3/contenttype/forms"/>
  </ds:schemaRefs>
</ds:datastoreItem>
</file>

<file path=customXml/itemProps3.xml><?xml version="1.0" encoding="utf-8"?>
<ds:datastoreItem xmlns:ds="http://schemas.openxmlformats.org/officeDocument/2006/customXml" ds:itemID="{2169A421-D8CE-4D05-8F9D-0EA7E19A20D3}">
  <ds:schemaRef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bc96db8f-62c4-44cc-8b28-7ef117495d18"/>
    <ds:schemaRef ds:uri="04adc925-6b5d-4628-b7e0-5b86efa98958"/>
    <ds:schemaRef ds:uri="http://www.w3.org/XML/1998/namespace"/>
  </ds:schemaRefs>
</ds:datastoreItem>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Div C Opportunities Status</vt:lpstr>
      <vt:lpstr>Awarded_Canceled</vt:lpstr>
      <vt:lpstr>Legend</vt:lpstr>
      <vt:lpstr>StatusCategories</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pamela.brannon</dc:creator>
  <cp:lastModifiedBy>Lamar-Reevey, Kellie N CIV USARMY ACC (USA)</cp:lastModifiedBy>
  <dcterms:created xsi:type="dcterms:W3CDTF">2015-04-10T11:19:50Z</dcterms:created>
  <dcterms:modified xsi:type="dcterms:W3CDTF">2025-04-18T21:48:33Z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0x010100398C060DC519C5438F279013B0EC9B02</vt:lpwstr>
  </property>
</Properties>
</file>