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1553759532.CIV\OneDrive - US Navy-flankspeed\Desktop\CI&amp;IDS CUXS\A9) Draft RFP N0042125R0025\Attachments\"/>
    </mc:Choice>
  </mc:AlternateContent>
  <xr:revisionPtr revIDLastSave="0" documentId="13_ncr:1_{535D6C03-DC82-437F-98A6-1EA0CA0C8464}" xr6:coauthVersionLast="47" xr6:coauthVersionMax="47" xr10:uidLastSave="{00000000-0000-0000-0000-000000000000}"/>
  <bookViews>
    <workbookView xWindow="-120" yWindow="-120" windowWidth="29040" windowHeight="17520" activeTab="1" xr2:uid="{00000000-000D-0000-FFFF-FFFF00000000}"/>
  </bookViews>
  <sheets>
    <sheet name="Instructions" sheetId="15" r:id="rId1"/>
    <sheet name="Cost Spreadsheet (LOE)" sheetId="14" r:id="rId2"/>
    <sheet name="Summary" sheetId="16" r:id="rId3"/>
  </sheets>
  <definedNames>
    <definedName name="_xlnm._FilterDatabase" localSheetId="1" hidden="1">'Cost Spreadsheet (LOE)'!$A$6:$AF$84</definedName>
    <definedName name="_xlnm.Print_Area" localSheetId="1">'Cost Spreadsheet (LOE)'!$A$1:$AF$158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 i="14" l="1"/>
  <c r="AF11" i="14"/>
  <c r="AF12" i="14"/>
  <c r="AF13" i="14"/>
  <c r="AF14" i="14"/>
  <c r="AF15" i="14"/>
  <c r="AF16" i="14"/>
  <c r="AF17" i="14"/>
  <c r="AF18" i="14"/>
  <c r="AF19" i="14"/>
  <c r="AF20" i="14"/>
  <c r="AF21" i="14"/>
  <c r="AF22" i="14"/>
  <c r="AD10" i="14"/>
  <c r="AD11" i="14"/>
  <c r="AD12" i="14"/>
  <c r="AD13" i="14"/>
  <c r="AD14" i="14"/>
  <c r="AD15" i="14"/>
  <c r="AD16" i="14"/>
  <c r="AD17" i="14"/>
  <c r="AD18" i="14"/>
  <c r="AD19" i="14"/>
  <c r="AD20" i="14"/>
  <c r="AD21" i="14"/>
  <c r="AD22" i="14"/>
  <c r="Z10" i="14"/>
  <c r="Z11" i="14"/>
  <c r="Z12" i="14"/>
  <c r="Z13" i="14"/>
  <c r="Z14" i="14"/>
  <c r="Z15" i="14"/>
  <c r="Z16" i="14"/>
  <c r="Z17" i="14"/>
  <c r="Z18" i="14"/>
  <c r="Z19" i="14"/>
  <c r="Z20" i="14"/>
  <c r="Z21" i="14"/>
  <c r="Z22" i="14"/>
  <c r="V10" i="14"/>
  <c r="V11" i="14"/>
  <c r="V12" i="14"/>
  <c r="V13" i="14"/>
  <c r="V14" i="14"/>
  <c r="V15" i="14"/>
  <c r="V16" i="14"/>
  <c r="V17" i="14"/>
  <c r="V18" i="14"/>
  <c r="V19" i="14"/>
  <c r="V20" i="14"/>
  <c r="V21" i="14"/>
  <c r="V22" i="14"/>
  <c r="R10" i="14"/>
  <c r="R11" i="14"/>
  <c r="R12" i="14"/>
  <c r="R13" i="14"/>
  <c r="R14" i="14"/>
  <c r="R15" i="14"/>
  <c r="R16" i="14"/>
  <c r="R17" i="14"/>
  <c r="R18" i="14"/>
  <c r="R19" i="14"/>
  <c r="R20" i="14"/>
  <c r="R21" i="14"/>
  <c r="R22" i="14"/>
  <c r="N10" i="14"/>
  <c r="N11" i="14"/>
  <c r="N12" i="14"/>
  <c r="N13" i="14"/>
  <c r="N14" i="14"/>
  <c r="O64" i="14"/>
  <c r="S64" i="14" s="1"/>
  <c r="W64" i="14" s="1"/>
  <c r="AA64" i="14" s="1"/>
  <c r="O62" i="14"/>
  <c r="S62" i="14" s="1"/>
  <c r="W62" i="14" s="1"/>
  <c r="AA62" i="14" s="1"/>
  <c r="K62" i="14"/>
  <c r="K60" i="14"/>
  <c r="O60" i="14" s="1"/>
  <c r="S60" i="14" s="1"/>
  <c r="W60" i="14" s="1"/>
  <c r="AA60" i="14" s="1"/>
  <c r="O20" i="14"/>
  <c r="S20" i="14" s="1"/>
  <c r="W20" i="14" s="1"/>
  <c r="AA20" i="14" s="1"/>
  <c r="O19" i="14"/>
  <c r="S19" i="14" s="1"/>
  <c r="W19" i="14" s="1"/>
  <c r="AA19" i="14" s="1"/>
  <c r="K20" i="14"/>
  <c r="K19" i="14"/>
  <c r="O75" i="14"/>
  <c r="S75" i="14" s="1"/>
  <c r="W75" i="14" s="1"/>
  <c r="AA75" i="14" s="1"/>
  <c r="K75" i="14"/>
  <c r="K74" i="14"/>
  <c r="K73" i="14"/>
  <c r="K72" i="14"/>
  <c r="O72" i="14" s="1"/>
  <c r="S72" i="14" s="1"/>
  <c r="W72" i="14" s="1"/>
  <c r="AA72" i="14" s="1"/>
  <c r="K71" i="14"/>
  <c r="O71" i="14" s="1"/>
  <c r="S71" i="14" s="1"/>
  <c r="W71" i="14" s="1"/>
  <c r="AA71" i="14" s="1"/>
  <c r="K70" i="14"/>
  <c r="O70" i="14" s="1"/>
  <c r="S70" i="14" s="1"/>
  <c r="W70" i="14" s="1"/>
  <c r="AA70" i="14" s="1"/>
  <c r="K68" i="14"/>
  <c r="O68" i="14" s="1"/>
  <c r="S68" i="14" s="1"/>
  <c r="W68" i="14" s="1"/>
  <c r="AA68" i="14" s="1"/>
  <c r="K67" i="14"/>
  <c r="O67" i="14" s="1"/>
  <c r="S67" i="14" s="1"/>
  <c r="W67" i="14" s="1"/>
  <c r="AA67" i="14" s="1"/>
  <c r="K66" i="14"/>
  <c r="O66" i="14" s="1"/>
  <c r="S66" i="14" s="1"/>
  <c r="W66" i="14" s="1"/>
  <c r="AA66" i="14" s="1"/>
  <c r="K65" i="14"/>
  <c r="O65" i="14" s="1"/>
  <c r="S65" i="14" s="1"/>
  <c r="W65" i="14" s="1"/>
  <c r="AA65" i="14" s="1"/>
  <c r="K64" i="14"/>
  <c r="K63" i="14"/>
  <c r="O63" i="14" s="1"/>
  <c r="S63" i="14" s="1"/>
  <c r="W63" i="14" s="1"/>
  <c r="AA63" i="14" s="1"/>
  <c r="K59" i="14"/>
  <c r="K58" i="14"/>
  <c r="O58" i="14" s="1"/>
  <c r="K57" i="14"/>
  <c r="O57" i="14" s="1"/>
  <c r="K56" i="14"/>
  <c r="O56" i="14" s="1"/>
  <c r="S56" i="14" s="1"/>
  <c r="W56" i="14" s="1"/>
  <c r="AA56" i="14" s="1"/>
  <c r="K55" i="14"/>
  <c r="O55" i="14" s="1"/>
  <c r="S55" i="14" s="1"/>
  <c r="W55" i="14" s="1"/>
  <c r="AA55" i="14" s="1"/>
  <c r="K54" i="14"/>
  <c r="K53" i="14"/>
  <c r="K52" i="14"/>
  <c r="K51" i="14"/>
  <c r="K50" i="14"/>
  <c r="K49" i="14"/>
  <c r="K48" i="14"/>
  <c r="K47" i="14"/>
  <c r="K45" i="14"/>
  <c r="K44" i="14"/>
  <c r="K43" i="14"/>
  <c r="K42" i="14"/>
  <c r="K40" i="14"/>
  <c r="K39" i="14"/>
  <c r="K38" i="14"/>
  <c r="K37" i="14"/>
  <c r="K35" i="14"/>
  <c r="K34" i="14"/>
  <c r="K33" i="14"/>
  <c r="K32" i="14"/>
  <c r="K31" i="14"/>
  <c r="K30" i="14"/>
  <c r="K29" i="14"/>
  <c r="K28" i="14"/>
  <c r="K27" i="14"/>
  <c r="K26" i="14"/>
  <c r="K25" i="14"/>
  <c r="K24" i="14"/>
  <c r="K23" i="14"/>
  <c r="K16" i="14"/>
  <c r="K22" i="14"/>
  <c r="O22" i="14" s="1"/>
  <c r="S22" i="14" s="1"/>
  <c r="W22" i="14" s="1"/>
  <c r="AA22" i="14" s="1"/>
  <c r="K21" i="14"/>
  <c r="O21" i="14" s="1"/>
  <c r="S21" i="14" s="1"/>
  <c r="W21" i="14" s="1"/>
  <c r="AA21" i="14" s="1"/>
  <c r="K18" i="14"/>
  <c r="O18" i="14" s="1"/>
  <c r="S18" i="14" s="1"/>
  <c r="W18" i="14" s="1"/>
  <c r="AA18" i="14" s="1"/>
  <c r="K17" i="14"/>
  <c r="K14" i="14"/>
  <c r="O14" i="14" s="1"/>
  <c r="S14" i="14" s="1"/>
  <c r="W14" i="14" s="1"/>
  <c r="AA14" i="14" s="1"/>
  <c r="K13" i="14"/>
  <c r="O13" i="14" s="1"/>
  <c r="S13" i="14" s="1"/>
  <c r="W13" i="14" s="1"/>
  <c r="AA13" i="14" s="1"/>
  <c r="K12" i="14"/>
  <c r="O12" i="14" s="1"/>
  <c r="S12" i="14" s="1"/>
  <c r="W12" i="14" s="1"/>
  <c r="AA12" i="14" s="1"/>
  <c r="K11" i="14"/>
  <c r="O11" i="14" s="1"/>
  <c r="S11" i="14" s="1"/>
  <c r="W11" i="14" s="1"/>
  <c r="AA11" i="14" s="1"/>
  <c r="K10" i="14"/>
  <c r="O10" i="14"/>
  <c r="S10" i="14" s="1"/>
  <c r="W10" i="14" s="1"/>
  <c r="AA10" i="14" s="1"/>
  <c r="K69" i="14" l="1"/>
  <c r="O69" i="14" s="1"/>
  <c r="S69" i="14" s="1"/>
  <c r="W69" i="14" s="1"/>
  <c r="AA69" i="14" s="1"/>
  <c r="K61" i="14"/>
  <c r="O61" i="14" s="1"/>
  <c r="S61" i="14" s="1"/>
  <c r="W61" i="14" s="1"/>
  <c r="AA61" i="14" s="1"/>
  <c r="K9" i="14"/>
  <c r="O9" i="14" s="1"/>
  <c r="S9" i="14" s="1"/>
  <c r="W9" i="14" s="1"/>
  <c r="AA9" i="14" s="1"/>
  <c r="AD59" i="14"/>
  <c r="AD60" i="14"/>
  <c r="AD61" i="14"/>
  <c r="AD62" i="14"/>
  <c r="AD63" i="14"/>
  <c r="AD64" i="14"/>
  <c r="AD65" i="14"/>
  <c r="AD66" i="14"/>
  <c r="AD67" i="14"/>
  <c r="AD68" i="14"/>
  <c r="AD69" i="14"/>
  <c r="AD70" i="14"/>
  <c r="AD71" i="14"/>
  <c r="AD72" i="14"/>
  <c r="AD73" i="14"/>
  <c r="AD74" i="14"/>
  <c r="AD75" i="14"/>
  <c r="Z59" i="14"/>
  <c r="Z60" i="14"/>
  <c r="Z61" i="14"/>
  <c r="Z62" i="14"/>
  <c r="Z63" i="14"/>
  <c r="Z64" i="14"/>
  <c r="Z65" i="14"/>
  <c r="Z66" i="14"/>
  <c r="Z67" i="14"/>
  <c r="Z68" i="14"/>
  <c r="Z69" i="14"/>
  <c r="Z70" i="14"/>
  <c r="Z71" i="14"/>
  <c r="Z72" i="14"/>
  <c r="Z73" i="14"/>
  <c r="Z74" i="14"/>
  <c r="Z75" i="14"/>
  <c r="V59" i="14"/>
  <c r="V60" i="14"/>
  <c r="V61" i="14"/>
  <c r="V62" i="14"/>
  <c r="V63" i="14"/>
  <c r="V64" i="14"/>
  <c r="V65" i="14"/>
  <c r="V66" i="14"/>
  <c r="V67" i="14"/>
  <c r="V68" i="14"/>
  <c r="V69" i="14"/>
  <c r="V70" i="14"/>
  <c r="V71" i="14"/>
  <c r="V72" i="14"/>
  <c r="V73" i="14"/>
  <c r="V74" i="14"/>
  <c r="V75" i="14"/>
  <c r="R59" i="14"/>
  <c r="R60" i="14"/>
  <c r="R61" i="14"/>
  <c r="R62" i="14"/>
  <c r="R63" i="14"/>
  <c r="R64" i="14"/>
  <c r="R65" i="14"/>
  <c r="R66" i="14"/>
  <c r="R67" i="14"/>
  <c r="R68" i="14"/>
  <c r="R69" i="14"/>
  <c r="R70" i="14"/>
  <c r="R71" i="14"/>
  <c r="R72" i="14"/>
  <c r="R73" i="14"/>
  <c r="R74" i="14"/>
  <c r="R75" i="14"/>
  <c r="O74" i="14"/>
  <c r="S74" i="14" s="1"/>
  <c r="W74" i="14" s="1"/>
  <c r="AA74" i="14" s="1"/>
  <c r="O73" i="14"/>
  <c r="S73" i="14" s="1"/>
  <c r="W73" i="14" s="1"/>
  <c r="AA73" i="14" s="1"/>
  <c r="O59" i="14"/>
  <c r="S59" i="14" s="1"/>
  <c r="W59" i="14" s="1"/>
  <c r="AA59" i="14" s="1"/>
  <c r="O54" i="14"/>
  <c r="O50" i="14"/>
  <c r="S50" i="14" s="1"/>
  <c r="W50" i="14" s="1"/>
  <c r="AA50" i="14" s="1"/>
  <c r="O49" i="14"/>
  <c r="S49" i="14" s="1"/>
  <c r="W49" i="14" s="1"/>
  <c r="AA49" i="14" s="1"/>
  <c r="O48" i="14"/>
  <c r="S48" i="14" s="1"/>
  <c r="W48" i="14" s="1"/>
  <c r="AA48" i="14" s="1"/>
  <c r="O47" i="14"/>
  <c r="S47" i="14" s="1"/>
  <c r="W47" i="14" s="1"/>
  <c r="AA47" i="14" s="1"/>
  <c r="O45" i="14"/>
  <c r="S45" i="14" s="1"/>
  <c r="W45" i="14" s="1"/>
  <c r="AA45" i="14" s="1"/>
  <c r="K46" i="14"/>
  <c r="O46" i="14" s="1"/>
  <c r="S46" i="14" s="1"/>
  <c r="W46" i="14" s="1"/>
  <c r="AA46" i="14" s="1"/>
  <c r="O44" i="14"/>
  <c r="S44" i="14" s="1"/>
  <c r="W44" i="14" s="1"/>
  <c r="AA44" i="14" s="1"/>
  <c r="O43" i="14"/>
  <c r="S43" i="14" s="1"/>
  <c r="W43" i="14" s="1"/>
  <c r="AA43" i="14" s="1"/>
  <c r="O42" i="14"/>
  <c r="S42" i="14" s="1"/>
  <c r="W42" i="14" s="1"/>
  <c r="AA42" i="14" s="1"/>
  <c r="O40" i="14"/>
  <c r="S40" i="14" s="1"/>
  <c r="W40" i="14" s="1"/>
  <c r="AA40" i="14" s="1"/>
  <c r="O39" i="14"/>
  <c r="S39" i="14" s="1"/>
  <c r="W39" i="14" s="1"/>
  <c r="AA39" i="14" s="1"/>
  <c r="O38" i="14"/>
  <c r="S38" i="14" s="1"/>
  <c r="W38" i="14" s="1"/>
  <c r="AA38" i="14" s="1"/>
  <c r="O37" i="14"/>
  <c r="S37" i="14" s="1"/>
  <c r="W37" i="14" s="1"/>
  <c r="AA37" i="14" s="1"/>
  <c r="O35" i="14"/>
  <c r="S35" i="14" s="1"/>
  <c r="W35" i="14" s="1"/>
  <c r="AA35" i="14" s="1"/>
  <c r="O34" i="14"/>
  <c r="S34" i="14" s="1"/>
  <c r="W34" i="14" s="1"/>
  <c r="AA34" i="14" s="1"/>
  <c r="O33" i="14"/>
  <c r="S33" i="14" s="1"/>
  <c r="W33" i="14" s="1"/>
  <c r="AA33" i="14" s="1"/>
  <c r="O32" i="14"/>
  <c r="S32" i="14" s="1"/>
  <c r="W32" i="14" s="1"/>
  <c r="AA32" i="14" s="1"/>
  <c r="O31" i="14"/>
  <c r="S31" i="14" s="1"/>
  <c r="W31" i="14" s="1"/>
  <c r="AA31" i="14" s="1"/>
  <c r="O30" i="14"/>
  <c r="S30" i="14" s="1"/>
  <c r="W30" i="14" s="1"/>
  <c r="AA30" i="14" s="1"/>
  <c r="O29" i="14"/>
  <c r="S29" i="14" s="1"/>
  <c r="W29" i="14" s="1"/>
  <c r="AA29" i="14" s="1"/>
  <c r="O28" i="14"/>
  <c r="S28" i="14" s="1"/>
  <c r="W28" i="14" s="1"/>
  <c r="AA28" i="14" s="1"/>
  <c r="O27" i="14"/>
  <c r="S27" i="14" s="1"/>
  <c r="W27" i="14" s="1"/>
  <c r="AA27" i="14" s="1"/>
  <c r="O26" i="14"/>
  <c r="S26" i="14" s="1"/>
  <c r="W26" i="14" s="1"/>
  <c r="AA26" i="14" s="1"/>
  <c r="O25" i="14"/>
  <c r="S25" i="14" s="1"/>
  <c r="W25" i="14" s="1"/>
  <c r="AA25" i="14" s="1"/>
  <c r="O24" i="14"/>
  <c r="S24" i="14" s="1"/>
  <c r="W24" i="14" s="1"/>
  <c r="AA24" i="14" s="1"/>
  <c r="O23" i="14"/>
  <c r="S23" i="14" s="1"/>
  <c r="W23" i="14" s="1"/>
  <c r="AA23" i="14" s="1"/>
  <c r="O16" i="14"/>
  <c r="S16" i="14" s="1"/>
  <c r="W16" i="14" s="1"/>
  <c r="AA16" i="14" s="1"/>
  <c r="K15" i="14"/>
  <c r="O15" i="14" s="1"/>
  <c r="S15" i="14" s="1"/>
  <c r="W15" i="14" s="1"/>
  <c r="AA15" i="14" s="1"/>
  <c r="K41" i="14"/>
  <c r="O41" i="14" s="1"/>
  <c r="S41" i="14" s="1"/>
  <c r="W41" i="14" s="1"/>
  <c r="AA41" i="14" s="1"/>
  <c r="K36" i="14"/>
  <c r="O36" i="14" s="1"/>
  <c r="S36" i="14" s="1"/>
  <c r="W36" i="14" s="1"/>
  <c r="AA36" i="14" s="1"/>
  <c r="AE75" i="14"/>
  <c r="M68" i="14"/>
  <c r="AE68" i="14" s="1"/>
  <c r="M67" i="14"/>
  <c r="AE67" i="14" s="1"/>
  <c r="AE74" i="14"/>
  <c r="AE73" i="14"/>
  <c r="AE72" i="14"/>
  <c r="AE71" i="14"/>
  <c r="AE70" i="14"/>
  <c r="AE69" i="14"/>
  <c r="AE66" i="14"/>
  <c r="AE65" i="14"/>
  <c r="AE62" i="14"/>
  <c r="AE61" i="14"/>
  <c r="AE60" i="14"/>
  <c r="AE64" i="14"/>
  <c r="AE63" i="14"/>
  <c r="AE59" i="14"/>
  <c r="AD54" i="14"/>
  <c r="AE54" i="14"/>
  <c r="AD53" i="14"/>
  <c r="AE53" i="14"/>
  <c r="AD52" i="14"/>
  <c r="AE52" i="14"/>
  <c r="AD51" i="14"/>
  <c r="AE51" i="14"/>
  <c r="Z54" i="14"/>
  <c r="Z53" i="14"/>
  <c r="Z52" i="14"/>
  <c r="Z51" i="14"/>
  <c r="V54" i="14"/>
  <c r="V53" i="14"/>
  <c r="V52" i="14"/>
  <c r="V51" i="14"/>
  <c r="R54" i="14"/>
  <c r="R53" i="14"/>
  <c r="R52" i="14"/>
  <c r="R51" i="14"/>
  <c r="N52" i="14"/>
  <c r="N53" i="14"/>
  <c r="N51" i="14"/>
  <c r="N54" i="14"/>
  <c r="AE48" i="14"/>
  <c r="AD48" i="14"/>
  <c r="Z48" i="14"/>
  <c r="V48" i="14"/>
  <c r="R48" i="14"/>
  <c r="N48" i="14"/>
  <c r="AE49" i="14"/>
  <c r="AD49" i="14"/>
  <c r="Z49" i="14"/>
  <c r="V49" i="14"/>
  <c r="R49" i="14"/>
  <c r="N49" i="14"/>
  <c r="AE47" i="14"/>
  <c r="AD47" i="14"/>
  <c r="Z47" i="14"/>
  <c r="V47" i="14"/>
  <c r="R47" i="14"/>
  <c r="N47" i="14"/>
  <c r="AE44" i="14"/>
  <c r="AD44" i="14"/>
  <c r="Z44" i="14"/>
  <c r="V44" i="14"/>
  <c r="R44" i="14"/>
  <c r="N44" i="14"/>
  <c r="AE43" i="14"/>
  <c r="AD43" i="14"/>
  <c r="Z43" i="14"/>
  <c r="V43" i="14"/>
  <c r="R43" i="14"/>
  <c r="N43" i="14"/>
  <c r="AE42" i="14"/>
  <c r="AD42" i="14"/>
  <c r="Z42" i="14"/>
  <c r="V42" i="14"/>
  <c r="R42" i="14"/>
  <c r="N42" i="14"/>
  <c r="AE39" i="14"/>
  <c r="AD39" i="14"/>
  <c r="Z39" i="14"/>
  <c r="V39" i="14"/>
  <c r="R39" i="14"/>
  <c r="N39" i="14"/>
  <c r="AE38" i="14"/>
  <c r="AD38" i="14"/>
  <c r="Z38" i="14"/>
  <c r="V38" i="14"/>
  <c r="R38" i="14"/>
  <c r="N38" i="14"/>
  <c r="AE37" i="14"/>
  <c r="AD37" i="14"/>
  <c r="Z37" i="14"/>
  <c r="V37" i="14"/>
  <c r="R37" i="14"/>
  <c r="N37" i="14"/>
  <c r="AE35" i="14"/>
  <c r="AD35" i="14"/>
  <c r="Z35" i="14"/>
  <c r="V35" i="14"/>
  <c r="R35" i="14"/>
  <c r="N35" i="14"/>
  <c r="AE23" i="14"/>
  <c r="AE32" i="14"/>
  <c r="AD32" i="14"/>
  <c r="Z32" i="14"/>
  <c r="V32" i="14"/>
  <c r="R32" i="14"/>
  <c r="N32" i="14"/>
  <c r="AE31" i="14"/>
  <c r="AD31" i="14"/>
  <c r="Z31" i="14"/>
  <c r="V31" i="14"/>
  <c r="R31" i="14"/>
  <c r="N31" i="14"/>
  <c r="AE27" i="14"/>
  <c r="AD27" i="14"/>
  <c r="Z27" i="14"/>
  <c r="V27" i="14"/>
  <c r="R27" i="14"/>
  <c r="N27" i="14"/>
  <c r="AE26" i="14"/>
  <c r="AD26" i="14"/>
  <c r="Z26" i="14"/>
  <c r="V26" i="14"/>
  <c r="R26" i="14"/>
  <c r="N26" i="14"/>
  <c r="AE29" i="14"/>
  <c r="AD29" i="14"/>
  <c r="Z29" i="14"/>
  <c r="V29" i="14"/>
  <c r="R29" i="14"/>
  <c r="N29" i="14"/>
  <c r="AE30" i="14"/>
  <c r="AD30" i="14"/>
  <c r="Z30" i="14"/>
  <c r="V30" i="14"/>
  <c r="R30" i="14"/>
  <c r="N30" i="14"/>
  <c r="AE24" i="14"/>
  <c r="AD24" i="14"/>
  <c r="Z24" i="14"/>
  <c r="V24" i="14"/>
  <c r="R24" i="14"/>
  <c r="N24" i="14"/>
  <c r="AD23" i="14"/>
  <c r="Z23" i="14"/>
  <c r="V23" i="14"/>
  <c r="R23" i="14"/>
  <c r="N23" i="14"/>
  <c r="AE22" i="14"/>
  <c r="AE21" i="14"/>
  <c r="N21" i="14"/>
  <c r="AE20" i="14"/>
  <c r="AE19" i="14"/>
  <c r="AE14" i="14"/>
  <c r="AE13" i="14"/>
  <c r="AE12" i="14"/>
  <c r="AE11" i="14"/>
  <c r="AE10" i="14"/>
  <c r="N63" i="14"/>
  <c r="N62" i="14"/>
  <c r="AF62" i="14" l="1"/>
  <c r="AF63" i="14"/>
  <c r="O51" i="14"/>
  <c r="S51" i="14" s="1"/>
  <c r="W51" i="14" s="1"/>
  <c r="AA51" i="14" s="1"/>
  <c r="O52" i="14"/>
  <c r="O53" i="14"/>
  <c r="N67" i="14"/>
  <c r="AF67" i="14" s="1"/>
  <c r="AF54" i="14"/>
  <c r="AF51" i="14"/>
  <c r="AF52" i="14"/>
  <c r="AF53" i="14"/>
  <c r="AF48" i="14"/>
  <c r="AF49" i="14"/>
  <c r="AF47" i="14"/>
  <c r="AF44" i="14"/>
  <c r="AF43" i="14"/>
  <c r="AF42" i="14"/>
  <c r="AF39" i="14"/>
  <c r="AF38" i="14"/>
  <c r="AF37" i="14"/>
  <c r="AF35" i="14"/>
  <c r="AF32" i="14"/>
  <c r="AF31" i="14"/>
  <c r="AF27" i="14"/>
  <c r="AF26" i="14"/>
  <c r="AF29" i="14"/>
  <c r="AF30" i="14"/>
  <c r="AF24" i="14"/>
  <c r="AF23" i="14"/>
  <c r="N73" i="14"/>
  <c r="AF73" i="14" s="1"/>
  <c r="M76" i="14"/>
  <c r="N75" i="14"/>
  <c r="AF75" i="14" s="1"/>
  <c r="N72" i="14"/>
  <c r="AF72" i="14" s="1"/>
  <c r="N69" i="14"/>
  <c r="AF69" i="14" s="1"/>
  <c r="N66" i="14"/>
  <c r="AF66" i="14" s="1"/>
  <c r="S58" i="14"/>
  <c r="W58" i="14" s="1"/>
  <c r="AA58" i="14" s="1"/>
  <c r="N58" i="14"/>
  <c r="R58" i="14"/>
  <c r="V58" i="14"/>
  <c r="Z58" i="14"/>
  <c r="AD58" i="14"/>
  <c r="AE58" i="14"/>
  <c r="N71" i="14"/>
  <c r="AF71" i="14" s="1"/>
  <c r="N70" i="14"/>
  <c r="AF70" i="14" s="1"/>
  <c r="N68" i="14"/>
  <c r="AF68" i="14" s="1"/>
  <c r="N65" i="14"/>
  <c r="AF65" i="14" s="1"/>
  <c r="N64" i="14"/>
  <c r="AF64" i="14" s="1"/>
  <c r="N61" i="14"/>
  <c r="AF61" i="14" s="1"/>
  <c r="N60" i="14"/>
  <c r="AF60" i="14" s="1"/>
  <c r="N59" i="14"/>
  <c r="AF59" i="14" s="1"/>
  <c r="N22" i="14"/>
  <c r="N20" i="14"/>
  <c r="N19" i="14"/>
  <c r="S54" i="14" l="1"/>
  <c r="S53" i="14"/>
  <c r="S52" i="14"/>
  <c r="AF58" i="14"/>
  <c r="N15" i="14"/>
  <c r="AE15" i="14"/>
  <c r="W53" i="14" l="1"/>
  <c r="W52" i="14"/>
  <c r="W54" i="14"/>
  <c r="AA53" i="14" l="1"/>
  <c r="AA54" i="14"/>
  <c r="AA52" i="14"/>
  <c r="S57" i="14"/>
  <c r="W57" i="14" s="1"/>
  <c r="AA57" i="14" s="1"/>
  <c r="O17" i="14"/>
  <c r="S17" i="14" s="1"/>
  <c r="W17" i="14" s="1"/>
  <c r="AA17" i="14" s="1"/>
  <c r="AE57" i="14" l="1"/>
  <c r="AD57" i="14"/>
  <c r="Z57" i="14"/>
  <c r="V57" i="14"/>
  <c r="R57" i="14"/>
  <c r="N57" i="14"/>
  <c r="N56" i="14"/>
  <c r="AD56" i="14"/>
  <c r="Z56" i="14"/>
  <c r="V56" i="14"/>
  <c r="R56" i="14"/>
  <c r="AE18" i="14"/>
  <c r="N18" i="14"/>
  <c r="AE56" i="14" l="1"/>
  <c r="AF57" i="14"/>
  <c r="AF56" i="14"/>
  <c r="N9" i="14" l="1"/>
  <c r="R9" i="14"/>
  <c r="V9" i="14"/>
  <c r="Z9" i="14"/>
  <c r="AD9" i="14"/>
  <c r="AE9" i="14"/>
  <c r="N16" i="14"/>
  <c r="AE16" i="14"/>
  <c r="N17" i="14"/>
  <c r="AE17" i="14"/>
  <c r="N25" i="14"/>
  <c r="R25" i="14"/>
  <c r="V25" i="14"/>
  <c r="Z25" i="14"/>
  <c r="AD25" i="14"/>
  <c r="AE25" i="14"/>
  <c r="N28" i="14"/>
  <c r="R28" i="14"/>
  <c r="AE28" i="14"/>
  <c r="V28" i="14"/>
  <c r="Z28" i="14"/>
  <c r="AD28" i="14"/>
  <c r="N33" i="14"/>
  <c r="R33" i="14"/>
  <c r="V33" i="14"/>
  <c r="Z33" i="14"/>
  <c r="AD33" i="14"/>
  <c r="AE33" i="14"/>
  <c r="N34" i="14"/>
  <c r="R34" i="14"/>
  <c r="V34" i="14"/>
  <c r="Z34" i="14"/>
  <c r="AD34" i="14"/>
  <c r="AE34" i="14"/>
  <c r="N36" i="14"/>
  <c r="R36" i="14"/>
  <c r="V36" i="14"/>
  <c r="Z36" i="14"/>
  <c r="AD36" i="14"/>
  <c r="AE36" i="14"/>
  <c r="N40" i="14"/>
  <c r="R40" i="14"/>
  <c r="V40" i="14"/>
  <c r="Z40" i="14"/>
  <c r="AD40" i="14"/>
  <c r="N41" i="14"/>
  <c r="R41" i="14"/>
  <c r="V41" i="14"/>
  <c r="Z41" i="14"/>
  <c r="AD41" i="14"/>
  <c r="AE41" i="14"/>
  <c r="N45" i="14"/>
  <c r="R45" i="14"/>
  <c r="V45" i="14"/>
  <c r="Z45" i="14"/>
  <c r="AD45" i="14"/>
  <c r="AE45" i="14"/>
  <c r="N46" i="14"/>
  <c r="R46" i="14"/>
  <c r="V46" i="14"/>
  <c r="Z46" i="14"/>
  <c r="AD46" i="14"/>
  <c r="AE46" i="14"/>
  <c r="N50" i="14"/>
  <c r="R50" i="14"/>
  <c r="V50" i="14"/>
  <c r="Z50" i="14"/>
  <c r="AD50" i="14"/>
  <c r="AE50" i="14"/>
  <c r="N55" i="14"/>
  <c r="R55" i="14"/>
  <c r="V55" i="14"/>
  <c r="Z55" i="14"/>
  <c r="AD55" i="14"/>
  <c r="AE55" i="14"/>
  <c r="N74" i="14"/>
  <c r="AF74" i="14" s="1"/>
  <c r="AF55" i="14" l="1"/>
  <c r="AF36" i="14"/>
  <c r="AF46" i="14"/>
  <c r="AF40" i="14"/>
  <c r="AF9" i="14"/>
  <c r="AF50" i="14"/>
  <c r="AF25" i="14"/>
  <c r="AF41" i="14"/>
  <c r="AF34" i="14"/>
  <c r="AF28" i="14"/>
  <c r="AF45" i="14"/>
  <c r="AF33" i="14"/>
  <c r="AE40" i="14"/>
  <c r="AC76" i="14" l="1"/>
  <c r="Y76" i="14"/>
  <c r="U76" i="14"/>
  <c r="Q76" i="14"/>
  <c r="AE76" i="14" l="1"/>
  <c r="F157" i="14" l="1"/>
  <c r="F152" i="14"/>
  <c r="V76" i="14" l="1"/>
  <c r="Z76" i="14"/>
  <c r="AD76" i="14"/>
  <c r="R76" i="14"/>
  <c r="N76" i="14"/>
  <c r="AF76" i="14" l="1"/>
</calcChain>
</file>

<file path=xl/sharedStrings.xml><?xml version="1.0" encoding="utf-8"?>
<sst xmlns="http://schemas.openxmlformats.org/spreadsheetml/2006/main" count="603" uniqueCount="182">
  <si>
    <t>Rate</t>
  </si>
  <si>
    <t>Hours</t>
  </si>
  <si>
    <t>Amount</t>
  </si>
  <si>
    <t>Employee Name 1</t>
  </si>
  <si>
    <t>Employee Name 2</t>
  </si>
  <si>
    <t>Etc.</t>
  </si>
  <si>
    <t>Prime Offeror Name:</t>
  </si>
  <si>
    <t>Overhead</t>
  </si>
  <si>
    <t>Fringe Benefits</t>
  </si>
  <si>
    <t>G&amp;A</t>
  </si>
  <si>
    <t>Total Prime Contractor Labor Cost</t>
  </si>
  <si>
    <t>Prime Contractor Labor Cost</t>
  </si>
  <si>
    <t>Subcontractor Labor Cost</t>
  </si>
  <si>
    <t>COM</t>
  </si>
  <si>
    <t>Total proposed subcontractor labor cost and fee</t>
  </si>
  <si>
    <t>Subcontractor proposed cost and fee</t>
  </si>
  <si>
    <t>Handling</t>
  </si>
  <si>
    <t>Other (if any)</t>
  </si>
  <si>
    <t>Fixed Fee</t>
  </si>
  <si>
    <t>Prime Contractor Indirect Labor Cost</t>
  </si>
  <si>
    <t>Total Direct Labor Cost</t>
  </si>
  <si>
    <t>Total Indirect Labor Cost</t>
  </si>
  <si>
    <t>Total Direct and Indirect Labor cost</t>
  </si>
  <si>
    <t>Total Labor Cost (Prime and Subcontractor Labor)</t>
  </si>
  <si>
    <t>Total Labor Cost Plus Fixed Fee (CPFF)</t>
  </si>
  <si>
    <t>Other Direct Costs</t>
  </si>
  <si>
    <t>Total ODCs</t>
  </si>
  <si>
    <t>Pass Through Analysis - Total for All Years</t>
  </si>
  <si>
    <t>Percent</t>
  </si>
  <si>
    <t>Total Subcontractor Cost including pass through</t>
  </si>
  <si>
    <t>Total Fee (for Prime and Subcontractor Labor)</t>
  </si>
  <si>
    <t>Any adders to ODCs such as G&amp;A (cost only - no fee)</t>
  </si>
  <si>
    <t xml:space="preserve">Prime Contractor Fee for Prime Contractor Labor </t>
  </si>
  <si>
    <t>Prime contractor pass through (not including fee)</t>
  </si>
  <si>
    <t>Pass Through Amount (not including fee)</t>
  </si>
  <si>
    <t>Total Pass Through Amount (including fee)</t>
  </si>
  <si>
    <t>Total pass through (not including fee)</t>
  </si>
  <si>
    <t>Fee Analysis - Total for All Years</t>
  </si>
  <si>
    <t>Fixed Fee for Labor Performed by Prime Contractor</t>
  </si>
  <si>
    <t>Total CPFF all CLINs (Labor and ODCs)</t>
  </si>
  <si>
    <t>Prime Contractor Fee for Subcontractor Labor *</t>
  </si>
  <si>
    <r>
      <t xml:space="preserve">The worksheets of the workbook should all be formatted for printing on </t>
    </r>
    <r>
      <rPr>
        <b/>
        <sz val="11"/>
        <rFont val="Arial"/>
        <family val="2"/>
      </rPr>
      <t>letter-size paper, without requiring "adjustments."</t>
    </r>
    <r>
      <rPr>
        <sz val="11"/>
        <rFont val="Arial"/>
        <family val="2"/>
      </rPr>
      <t xml:space="preserve">  It may be formatted for either landscape or portrait.  DO NOT FORMAT FOR LEGAL SIZE PAPER.</t>
    </r>
  </si>
  <si>
    <t>All dollar figures shall be carried out no further than two decimal places.</t>
  </si>
  <si>
    <t>When submitting this file, the instructions may be deleted.</t>
  </si>
  <si>
    <t xml:space="preserve">Other Direct Costs (ODCs) </t>
  </si>
  <si>
    <t>Grand Total of CPFF all CLINs</t>
  </si>
  <si>
    <t>Instructions for Prime Contractor:</t>
  </si>
  <si>
    <t>Only one worksheet shall be prepared for the entire period of performance (for each Prime and Subcontractor)</t>
  </si>
  <si>
    <t>Please note if more subcontractors are needed, the contractor may add additional rows to accommodate them, but ensure integrity of formulas.</t>
  </si>
  <si>
    <t>The prime should insert the subcontractor handling charge, if any.</t>
  </si>
  <si>
    <t>The prime should insert the fixed fee rate applied to its cost excluding subcontractor labor.</t>
  </si>
  <si>
    <t>The prime should insert the fixed fee rate it is applying to the subcontractor labor, if any.</t>
  </si>
  <si>
    <t>Apply indirects to the Other Direct Costs if applicable and if in compliance with the RFP instructions.</t>
  </si>
  <si>
    <t>Government Labor Category</t>
  </si>
  <si>
    <t>Total Hours</t>
  </si>
  <si>
    <t>CLINS</t>
  </si>
  <si>
    <t>F/P</t>
  </si>
  <si>
    <t>Site</t>
  </si>
  <si>
    <r>
      <t>The worksheets of the workbook should all be formatted for printing on</t>
    </r>
    <r>
      <rPr>
        <b/>
        <sz val="11"/>
        <rFont val="Arial"/>
        <family val="2"/>
      </rPr>
      <t xml:space="preserve"> letter-size paper, without requiring "adjustments."</t>
    </r>
    <r>
      <rPr>
        <sz val="11"/>
        <rFont val="Arial"/>
        <family val="2"/>
      </rPr>
      <t xml:space="preserve">  It may be formatted for either landscape or portrait.  DO NOT FORMAT FOR LEGAL SIZE PAPER.</t>
    </r>
  </si>
  <si>
    <t>Total</t>
  </si>
  <si>
    <t>CLIN Summary Sheet</t>
  </si>
  <si>
    <t>Total Value $</t>
  </si>
  <si>
    <t>CLIN Description</t>
  </si>
  <si>
    <t>Total Cost</t>
  </si>
  <si>
    <t>Total Fixed Fee</t>
  </si>
  <si>
    <t>On the Summary tab, break out all costs by CLIN. Ensure that the total costs of the CLINs match Section B and the total on the Cost Summary Spreadsheet</t>
  </si>
  <si>
    <t>All cells shall be unprotected and unlocked, with formulae intact to show mathematical operations.</t>
  </si>
  <si>
    <t>Insert applicable indirect rates and apply accordingly.  For example, if there are multiple fringe rates, insert separately and apply accordingly.</t>
  </si>
  <si>
    <t xml:space="preserve">Total </t>
  </si>
  <si>
    <t>COST SUMMARY SPREADSHEET (LOE)</t>
  </si>
  <si>
    <t>Position</t>
  </si>
  <si>
    <t>Employee Name</t>
  </si>
  <si>
    <t xml:space="preserve">Subcontractor(s) Name (if applicable): </t>
  </si>
  <si>
    <t>G = Government</t>
  </si>
  <si>
    <t>K = Contractor</t>
  </si>
  <si>
    <t xml:space="preserve">Enter Prime offeror name into cell B3.  </t>
  </si>
  <si>
    <t>&lt;Insert Subcontractor Name&gt;</t>
  </si>
  <si>
    <t>Enter Subcontractor offeror name into cell B4.</t>
  </si>
  <si>
    <t>&lt;Insert Labor Category &gt;</t>
  </si>
  <si>
    <t>For each subcontractor, enter the subcontractor name, labor category the subcontractor will be performing, total hours, and total amount for each period of performance.</t>
  </si>
  <si>
    <t>Labor categories with more than one person providing service shall be listed multiple times for each person performing work.  For example, if the offeror proposes four Senior Analysts, then the labor category Senior Analyst shall be listed four times along with their applicable rates and information.</t>
  </si>
  <si>
    <t xml:space="preserve">Instructions for Subcontractors: </t>
  </si>
  <si>
    <t>BLS Code</t>
  </si>
  <si>
    <t>11-1021</t>
  </si>
  <si>
    <t>17-3023</t>
  </si>
  <si>
    <t>13-1111</t>
  </si>
  <si>
    <t>Minimum Direct Rate</t>
  </si>
  <si>
    <t>RG/OT</t>
  </si>
  <si>
    <t>SCA Code</t>
  </si>
  <si>
    <t>RG</t>
  </si>
  <si>
    <t>17-3019</t>
  </si>
  <si>
    <t>K - MD</t>
  </si>
  <si>
    <t>OT</t>
  </si>
  <si>
    <t>Electronics Technician Maintenance II</t>
  </si>
  <si>
    <t>17-3029</t>
  </si>
  <si>
    <t>N/A</t>
  </si>
  <si>
    <t>13-1081</t>
  </si>
  <si>
    <t>43-5061</t>
  </si>
  <si>
    <t>27-3042</t>
  </si>
  <si>
    <r>
      <t>Enter all prime employee names in Column C (starting at row 10)</t>
    </r>
    <r>
      <rPr>
        <b/>
        <sz val="11"/>
        <rFont val="Arial"/>
        <family val="2"/>
      </rPr>
      <t xml:space="preserve"> If necessary, insert additional rows--but ensure integrity of formulas.</t>
    </r>
  </si>
  <si>
    <t>Under Other Direct Costs, the prime contractor should separate by Travel, Material, and Field Services as applicable.</t>
  </si>
  <si>
    <r>
      <t xml:space="preserve">Enter all subcontractor employee names in Column C (starting at row 10) </t>
    </r>
    <r>
      <rPr>
        <b/>
        <sz val="11"/>
        <rFont val="Arial"/>
        <family val="2"/>
      </rPr>
      <t>If necessary, insert additional rows--but ensure integrity of formulas.</t>
    </r>
  </si>
  <si>
    <r>
      <t>Enter all subcontractor labor categories in Column B (starting at row 10). If necessary, insert additional rows--but ensure integrity of formulas. Remove any labor categories in Column B that the Subcontractor is not performing.</t>
    </r>
    <r>
      <rPr>
        <b/>
        <sz val="11"/>
        <rFont val="Arial"/>
        <family val="2"/>
      </rPr>
      <t xml:space="preserve"> </t>
    </r>
    <r>
      <rPr>
        <sz val="11"/>
        <rFont val="Arial"/>
        <family val="2"/>
      </rPr>
      <t>Labor categories with more than one person providing service shall be listed multiple times for each person performing work.  For example, if the offeror proposes four Senior Analysts, then the labor category Senior Analyst shall be listed four times along with their applicable rates and information.</t>
    </r>
  </si>
  <si>
    <t>G - St. Inigoes</t>
  </si>
  <si>
    <t>Current/ Contingent/ Prospective</t>
  </si>
  <si>
    <t>Enter Current, Contingent, or Prospective in Column D (starting at row 10)</t>
  </si>
  <si>
    <t>In Column E, the Government has listed whether the labor category falls under Regular Work or Overtime.</t>
  </si>
  <si>
    <t xml:space="preserve">In Column F, the Government has listed the BLS Code applicable to that Labor Category. </t>
  </si>
  <si>
    <t>In Column G, the Government has listed the SCA Code applicable to that Labor Category.</t>
  </si>
  <si>
    <t>In column H, identify for the specific labor category individual whether they are full-time on this acquisition or part-time.  Enter "F" for full-time or "P" for part-time.</t>
  </si>
  <si>
    <t>In column I, the Government has listed the place of performance applicable to that Labor Category.</t>
  </si>
  <si>
    <t>In Columns J, N, R, V, and Z, the Government has listed the Minimum Direct Labor Rate applicable to that Labor Category.  If the Labor Category falls under SCA, the Government used the minimum direct labor rate per the SCA Code listed in Column G as seen in the applicable WD. If the Labor Category does not fall under SCA, the Government used a minimum direct labor rate per the BLS Code listed in Column F.</t>
  </si>
  <si>
    <t>In Columns K, O, S, W, and AA, insert the proposed direct labor rate applicable to that Labor Category.</t>
  </si>
  <si>
    <t>Replace Prime Contractor with Subcontractor in cells B7, and any other applicable cells.</t>
  </si>
  <si>
    <t>For subcontractor cost summary sheets, please delete Rows 72-115 as well as any unused labor category rows.</t>
  </si>
  <si>
    <t xml:space="preserve">Drafter/CAD Operator III </t>
  </si>
  <si>
    <t xml:space="preserve">Drafter/CAD Operator IV  </t>
  </si>
  <si>
    <t>Electronics Technician Maintenance  I</t>
  </si>
  <si>
    <t xml:space="preserve">Electronics Technician Maintenance  III  </t>
  </si>
  <si>
    <t xml:space="preserve">Engineering Technician II   </t>
  </si>
  <si>
    <t>Engineering Technician II Overtime</t>
  </si>
  <si>
    <t xml:space="preserve">Engineering Technician III   </t>
  </si>
  <si>
    <t>Engineering Technician III Overtime</t>
  </si>
  <si>
    <t xml:space="preserve">Engineering Technician IV   </t>
  </si>
  <si>
    <t>Engineering Technician IV Overtime</t>
  </si>
  <si>
    <t xml:space="preserve">Engineering Technician V   </t>
  </si>
  <si>
    <t xml:space="preserve">Technical Writer III </t>
  </si>
  <si>
    <t>30063</t>
  </si>
  <si>
    <t>23181</t>
  </si>
  <si>
    <t>13-2031</t>
  </si>
  <si>
    <t xml:space="preserve">17-2071 </t>
  </si>
  <si>
    <t>17-2071</t>
  </si>
  <si>
    <t xml:space="preserve">Electrical Engineers, Senior *  </t>
  </si>
  <si>
    <t xml:space="preserve">Budget Analysts, Journeyman  </t>
  </si>
  <si>
    <t xml:space="preserve">Electrical Engineers, Junior </t>
  </si>
  <si>
    <t xml:space="preserve">General and Operations Managers, Senior * </t>
  </si>
  <si>
    <t>Logisticians, Journeyman*</t>
  </si>
  <si>
    <t>Management Analysts , Journeyman</t>
  </si>
  <si>
    <t>Ordering Period 1</t>
  </si>
  <si>
    <t>Ordering Period 2</t>
  </si>
  <si>
    <t>Ordering Period 3</t>
  </si>
  <si>
    <t>Ordering Period 4</t>
  </si>
  <si>
    <t>Ordering Period 5</t>
  </si>
  <si>
    <t xml:space="preserve">Management Analysts, Journeyman </t>
  </si>
  <si>
    <t>17-2061</t>
  </si>
  <si>
    <t>15-1241</t>
  </si>
  <si>
    <t>Computer Hardware Engineers, Entry/Basic</t>
  </si>
  <si>
    <t>Computer Hardware Engineers, Intermediate</t>
  </si>
  <si>
    <t>Computer Hardware Engineers, Advanced</t>
  </si>
  <si>
    <t>Computer Network Architects, Intermediate</t>
  </si>
  <si>
    <t>Computer Network Architects, Advanced</t>
  </si>
  <si>
    <t>Electro-Mechanical and Mechatronics Technologists and Technicians, Journeyman</t>
  </si>
  <si>
    <t>17-3024</t>
  </si>
  <si>
    <t>Electronics Engineers, Except Computer, Journeyman</t>
  </si>
  <si>
    <t>Electronics Engineers, Except Computer, Senior</t>
  </si>
  <si>
    <t>Electro-Mechanical and Mechatronics Technologists and Technicians, Senior</t>
  </si>
  <si>
    <t>Engineering Technician VI</t>
  </si>
  <si>
    <t>Material Coordinator</t>
  </si>
  <si>
    <t>CSWF Code</t>
  </si>
  <si>
    <t>17-2072</t>
  </si>
  <si>
    <t>53-1047</t>
  </si>
  <si>
    <t>Mechanical Engineers, Junior</t>
  </si>
  <si>
    <t>Mechanical Engineers, Junior Overtime</t>
  </si>
  <si>
    <t>Mechanical Engineering Technologists and Technicians, Journeyman</t>
  </si>
  <si>
    <t>Mechanical Engineering Technologists and Technicians, Senior</t>
  </si>
  <si>
    <t>Network and Computer Systems Administrators, Intermediate</t>
  </si>
  <si>
    <t>Network and Computer Systems Administrators, Advanced</t>
  </si>
  <si>
    <t>Project Management Specialist, Journeyman</t>
  </si>
  <si>
    <t>Project Management Specialist, Journeyman Overtime</t>
  </si>
  <si>
    <t>Software Developers, Entry/Basic</t>
  </si>
  <si>
    <t>Software Developers, Intermediate</t>
  </si>
  <si>
    <t>Software Developers, Advanced</t>
  </si>
  <si>
    <t>Web and Digital Interface Designers, Intermediate</t>
  </si>
  <si>
    <t>15-1255</t>
  </si>
  <si>
    <t>Supply Technician</t>
  </si>
  <si>
    <t>Mechanical Engineers, Journeyman</t>
  </si>
  <si>
    <t>17-2141</t>
  </si>
  <si>
    <t>17-3027</t>
  </si>
  <si>
    <t>15-1244</t>
  </si>
  <si>
    <t>13-1082</t>
  </si>
  <si>
    <t>15-1252</t>
  </si>
  <si>
    <t>01410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</si>
</sst>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
    <numFmt numFmtId="165" formatCode="0.0"/>
    <numFmt numFmtId="166" formatCode="_(* #,##0_);_(* \(#,##0\);_(* &quot;-&quot;??_);_(@_)"/>
  </numFmts>
  <fonts count="9" x14ac:knownFonts="1">
    <font>
      <sz val="10"/>
      <name val="Arial"/>
    </font>
    <font>
      <sz val="10"/>
      <name val="Arial"/>
      <family val="2"/>
    </font>
    <font>
      <b/>
      <sz val="8"/>
      <name val="Arial"/>
      <family val="2"/>
    </font>
    <font>
      <sz val="8"/>
      <name val="Arial"/>
      <family val="2"/>
    </font>
    <font>
      <sz val="11"/>
      <name val="Arial"/>
      <family val="2"/>
    </font>
    <font>
      <b/>
      <sz val="11"/>
      <name val="Arial"/>
      <family val="2"/>
    </font>
    <font>
      <b/>
      <sz val="10"/>
      <name val="Arial"/>
      <family val="2"/>
    </font>
    <font>
      <sz val="8"/>
      <name val="Times New Roman"/>
      <family val="1"/>
    </font>
    <font>
      <sz val="10"/>
      <name val="Arial"/>
      <family val="2"/>
    </font>
  </fonts>
  <fills count="7">
    <fill>
      <patternFill patternType="none"/>
    </fill>
    <fill>
      <patternFill patternType="gray125"/>
    </fill>
    <fill>
      <patternFill patternType="solid">
        <fgColor indexed="22"/>
        <bgColor indexed="64"/>
      </patternFill>
    </fill>
    <fill>
      <patternFill patternType="solid">
        <fgColor rgb="FFFFFF99"/>
        <bgColor indexed="64"/>
      </patternFill>
    </fill>
    <fill>
      <patternFill patternType="solid">
        <fgColor rgb="FFCCFFCC"/>
        <bgColor indexed="64"/>
      </patternFill>
    </fill>
    <fill>
      <patternFill patternType="solid">
        <fgColor rgb="FFFFFF00"/>
        <bgColor indexed="64"/>
      </patternFill>
    </fill>
    <fill>
      <patternFill patternType="solid">
        <fgColor theme="0"/>
        <bgColor indexed="64"/>
      </patternFill>
    </fill>
  </fills>
  <borders count="53">
    <border>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s>
  <cellStyleXfs count="3">
    <xf numFmtId="0" fontId="0" fillId="0" borderId="0"/>
    <xf numFmtId="9" fontId="1" fillId="0" borderId="0" applyFont="0" applyFill="0" applyBorder="0" applyAlignment="0" applyProtection="0"/>
    <xf numFmtId="43" fontId="8" fillId="0" borderId="0" applyFont="0" applyFill="0" applyBorder="0" applyAlignment="0" applyProtection="0"/>
  </cellStyleXfs>
  <cellXfs count="188">
    <xf numFmtId="0" fontId="0" fillId="0" borderId="0" xfId="0"/>
    <xf numFmtId="0" fontId="2" fillId="0" borderId="0" xfId="0" applyFont="1" applyBorder="1"/>
    <xf numFmtId="0" fontId="3" fillId="0" borderId="0" xfId="0" applyFont="1"/>
    <xf numFmtId="0" fontId="2" fillId="0" borderId="0" xfId="0" applyFont="1" applyFill="1" applyBorder="1"/>
    <xf numFmtId="0" fontId="3" fillId="0" borderId="0" xfId="0" applyFont="1" applyFill="1"/>
    <xf numFmtId="0" fontId="3" fillId="0" borderId="0" xfId="0" applyFont="1" applyFill="1" applyBorder="1"/>
    <xf numFmtId="2" fontId="2" fillId="0" borderId="0" xfId="0" applyNumberFormat="1" applyFont="1" applyBorder="1" applyAlignment="1">
      <alignment horizontal="center"/>
    </xf>
    <xf numFmtId="0" fontId="2" fillId="0" borderId="3" xfId="0" applyFont="1" applyBorder="1" applyAlignment="1">
      <alignment horizontal="center"/>
    </xf>
    <xf numFmtId="0" fontId="3" fillId="0" borderId="6" xfId="0" applyFont="1" applyBorder="1"/>
    <xf numFmtId="0" fontId="3" fillId="0" borderId="5" xfId="0" applyFont="1" applyBorder="1"/>
    <xf numFmtId="0" fontId="3" fillId="0" borderId="7" xfId="0" applyFont="1" applyBorder="1"/>
    <xf numFmtId="0" fontId="3" fillId="0" borderId="9" xfId="0" applyFont="1" applyBorder="1"/>
    <xf numFmtId="0" fontId="3" fillId="0" borderId="8" xfId="0" applyFont="1" applyBorder="1"/>
    <xf numFmtId="0" fontId="3" fillId="0" borderId="10" xfId="0" applyFont="1" applyBorder="1"/>
    <xf numFmtId="0" fontId="3" fillId="0" borderId="2" xfId="0" applyFont="1" applyBorder="1"/>
    <xf numFmtId="0" fontId="3" fillId="0" borderId="4" xfId="0" applyFont="1" applyBorder="1"/>
    <xf numFmtId="0" fontId="2" fillId="0" borderId="11" xfId="0" applyFont="1" applyBorder="1"/>
    <xf numFmtId="0" fontId="2" fillId="0" borderId="12" xfId="0" applyFont="1" applyBorder="1" applyAlignment="1">
      <alignment horizontal="center"/>
    </xf>
    <xf numFmtId="0" fontId="2" fillId="0" borderId="13" xfId="0" applyFont="1" applyBorder="1" applyAlignment="1">
      <alignment horizontal="center"/>
    </xf>
    <xf numFmtId="0" fontId="3" fillId="0" borderId="14" xfId="0" applyFont="1" applyBorder="1" applyAlignment="1">
      <alignment horizontal="left"/>
    </xf>
    <xf numFmtId="164" fontId="3" fillId="0" borderId="15" xfId="0" applyNumberFormat="1" applyFont="1" applyBorder="1"/>
    <xf numFmtId="0" fontId="3" fillId="2" borderId="16" xfId="0" applyFont="1" applyFill="1" applyBorder="1"/>
    <xf numFmtId="0" fontId="3" fillId="0" borderId="17" xfId="0" applyFont="1" applyFill="1" applyBorder="1" applyAlignment="1">
      <alignment horizontal="left"/>
    </xf>
    <xf numFmtId="164" fontId="3" fillId="0" borderId="18" xfId="0" applyNumberFormat="1" applyFont="1" applyBorder="1"/>
    <xf numFmtId="0" fontId="3" fillId="0" borderId="19" xfId="0" applyFont="1" applyFill="1" applyBorder="1" applyAlignment="1">
      <alignment horizontal="left"/>
    </xf>
    <xf numFmtId="164" fontId="3" fillId="0" borderId="20" xfId="0" applyNumberFormat="1" applyFont="1" applyBorder="1"/>
    <xf numFmtId="9" fontId="3" fillId="2" borderId="21" xfId="1" applyFont="1" applyFill="1" applyBorder="1"/>
    <xf numFmtId="9" fontId="3" fillId="2" borderId="22" xfId="1" applyFont="1" applyFill="1" applyBorder="1"/>
    <xf numFmtId="9" fontId="3" fillId="0" borderId="21" xfId="1" applyFont="1" applyFill="1" applyBorder="1"/>
    <xf numFmtId="0" fontId="2" fillId="0" borderId="0" xfId="0" applyFont="1" applyBorder="1" applyAlignment="1">
      <alignment horizontal="left"/>
    </xf>
    <xf numFmtId="0" fontId="3" fillId="0" borderId="0" xfId="0" applyFont="1" applyBorder="1"/>
    <xf numFmtId="0" fontId="2" fillId="0" borderId="0" xfId="0" applyFont="1"/>
    <xf numFmtId="0" fontId="4" fillId="0" borderId="0" xfId="0" applyFont="1" applyFill="1" applyBorder="1" applyAlignment="1">
      <alignment horizontal="center" vertical="top" wrapText="1"/>
    </xf>
    <xf numFmtId="0" fontId="5" fillId="0" borderId="0" xfId="0" applyFont="1" applyBorder="1" applyAlignment="1">
      <alignment horizontal="center" vertical="top" wrapText="1"/>
    </xf>
    <xf numFmtId="0" fontId="4" fillId="0" borderId="0" xfId="0" applyFont="1" applyBorder="1" applyAlignment="1">
      <alignment horizontal="center" vertical="top" wrapText="1"/>
    </xf>
    <xf numFmtId="0" fontId="5"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4" fillId="0" borderId="0" xfId="0" applyFont="1" applyBorder="1" applyAlignment="1">
      <alignment horizontal="center"/>
    </xf>
    <xf numFmtId="0" fontId="4" fillId="0" borderId="0" xfId="0" applyFont="1" applyBorder="1" applyAlignment="1">
      <alignment horizontal="left" vertical="top" wrapText="1"/>
    </xf>
    <xf numFmtId="0" fontId="4" fillId="0" borderId="0" xfId="0" applyFont="1" applyFill="1" applyBorder="1" applyAlignment="1">
      <alignment vertical="top" wrapText="1"/>
    </xf>
    <xf numFmtId="0" fontId="4" fillId="0" borderId="0" xfId="0" applyFont="1" applyBorder="1" applyAlignment="1">
      <alignment wrapText="1"/>
    </xf>
    <xf numFmtId="0" fontId="3" fillId="3" borderId="10" xfId="0" applyFont="1" applyFill="1" applyBorder="1"/>
    <xf numFmtId="0" fontId="3" fillId="4" borderId="9" xfId="0" applyFont="1" applyFill="1" applyBorder="1"/>
    <xf numFmtId="0" fontId="3" fillId="4" borderId="10" xfId="0" applyFont="1" applyFill="1" applyBorder="1"/>
    <xf numFmtId="0" fontId="3" fillId="4" borderId="3" xfId="0" applyFont="1" applyFill="1" applyBorder="1"/>
    <xf numFmtId="0" fontId="4" fillId="5"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2" fillId="0" borderId="0" xfId="0" applyFont="1" applyBorder="1" applyAlignment="1">
      <alignment horizontal="center"/>
    </xf>
    <xf numFmtId="9" fontId="3" fillId="0" borderId="0" xfId="1" applyFont="1" applyFill="1" applyBorder="1"/>
    <xf numFmtId="0" fontId="6" fillId="0" borderId="10" xfId="0" applyFont="1" applyBorder="1"/>
    <xf numFmtId="0" fontId="0" fillId="0" borderId="10" xfId="0" applyBorder="1"/>
    <xf numFmtId="0" fontId="2" fillId="0" borderId="10" xfId="0" applyFont="1" applyBorder="1" applyAlignment="1">
      <alignment horizontal="center"/>
    </xf>
    <xf numFmtId="0" fontId="6" fillId="0" borderId="10" xfId="0" applyFont="1" applyFill="1" applyBorder="1"/>
    <xf numFmtId="0" fontId="3" fillId="0" borderId="10" xfId="0" applyFont="1" applyFill="1" applyBorder="1"/>
    <xf numFmtId="0" fontId="6" fillId="0" borderId="23" xfId="0" applyFont="1" applyFill="1" applyBorder="1"/>
    <xf numFmtId="0" fontId="3" fillId="4" borderId="24" xfId="0" applyFont="1" applyFill="1" applyBorder="1"/>
    <xf numFmtId="0" fontId="3" fillId="0" borderId="24" xfId="0" applyFont="1" applyFill="1" applyBorder="1"/>
    <xf numFmtId="0" fontId="3" fillId="6" borderId="0" xfId="0" applyFont="1" applyFill="1" applyBorder="1"/>
    <xf numFmtId="9" fontId="3" fillId="6" borderId="0" xfId="1" applyFont="1" applyFill="1" applyBorder="1"/>
    <xf numFmtId="9" fontId="3" fillId="6" borderId="0" xfId="1" applyFont="1" applyFill="1" applyBorder="1" applyAlignment="1">
      <alignment horizontal="center"/>
    </xf>
    <xf numFmtId="0" fontId="3" fillId="6" borderId="0" xfId="0" applyFont="1" applyFill="1"/>
    <xf numFmtId="0" fontId="2" fillId="6" borderId="0" xfId="0" applyFont="1" applyFill="1" applyBorder="1" applyAlignment="1">
      <alignment horizontal="center"/>
    </xf>
    <xf numFmtId="9" fontId="3" fillId="0" borderId="21" xfId="1" applyFont="1" applyFill="1" applyBorder="1" applyAlignment="1">
      <alignment horizontal="center"/>
    </xf>
    <xf numFmtId="0" fontId="3" fillId="0" borderId="26" xfId="0" applyFont="1" applyBorder="1"/>
    <xf numFmtId="0" fontId="6" fillId="0" borderId="10" xfId="0" applyFont="1" applyBorder="1" applyAlignment="1">
      <alignment horizontal="center"/>
    </xf>
    <xf numFmtId="49" fontId="3" fillId="3" borderId="10" xfId="0" applyNumberFormat="1" applyFont="1" applyFill="1" applyBorder="1" applyAlignment="1">
      <alignment horizontal="left" indent="3"/>
    </xf>
    <xf numFmtId="0" fontId="3" fillId="3" borderId="10" xfId="0" applyFont="1" applyFill="1" applyBorder="1" applyAlignment="1">
      <alignment horizontal="left" indent="3"/>
    </xf>
    <xf numFmtId="0" fontId="3" fillId="0" borderId="0" xfId="0" applyFont="1" applyAlignment="1">
      <alignment horizontal="center"/>
    </xf>
    <xf numFmtId="0" fontId="3" fillId="0" borderId="0" xfId="0" applyFont="1" applyFill="1" applyAlignment="1">
      <alignment horizontal="center"/>
    </xf>
    <xf numFmtId="0" fontId="2" fillId="0" borderId="27" xfId="0" applyFont="1" applyBorder="1" applyAlignment="1">
      <alignment horizontal="center"/>
    </xf>
    <xf numFmtId="0" fontId="3" fillId="0" borderId="18" xfId="0" applyFont="1" applyBorder="1" applyAlignment="1">
      <alignment horizontal="center"/>
    </xf>
    <xf numFmtId="1" fontId="3" fillId="0" borderId="18" xfId="0" applyNumberFormat="1" applyFont="1" applyBorder="1" applyAlignment="1">
      <alignment horizontal="center"/>
    </xf>
    <xf numFmtId="0" fontId="3" fillId="0" borderId="26" xfId="0" applyFont="1" applyBorder="1" applyAlignment="1">
      <alignment horizontal="center"/>
    </xf>
    <xf numFmtId="0" fontId="2" fillId="0" borderId="31" xfId="0" applyFont="1" applyBorder="1"/>
    <xf numFmtId="0" fontId="2" fillId="0" borderId="28" xfId="0" applyFont="1" applyBorder="1"/>
    <xf numFmtId="0" fontId="3" fillId="0" borderId="29" xfId="0" applyFont="1" applyBorder="1" applyAlignment="1">
      <alignment horizontal="left" indent="1"/>
    </xf>
    <xf numFmtId="0" fontId="3" fillId="3" borderId="29" xfId="0" applyFont="1" applyFill="1" applyBorder="1" applyAlignment="1">
      <alignment horizontal="left" indent="3"/>
    </xf>
    <xf numFmtId="0" fontId="3" fillId="0" borderId="29" xfId="0" applyFont="1" applyBorder="1" applyAlignment="1">
      <alignment horizontal="left" indent="3"/>
    </xf>
    <xf numFmtId="0" fontId="3" fillId="0" borderId="29" xfId="0" applyFont="1" applyBorder="1"/>
    <xf numFmtId="0" fontId="2" fillId="0" borderId="29" xfId="0" applyFont="1" applyBorder="1"/>
    <xf numFmtId="0" fontId="2" fillId="0" borderId="29" xfId="0" applyFont="1" applyBorder="1" applyAlignment="1">
      <alignment horizontal="left"/>
    </xf>
    <xf numFmtId="0" fontId="2" fillId="0" borderId="30" xfId="0" applyFont="1" applyBorder="1" applyAlignment="1">
      <alignment horizontal="left"/>
    </xf>
    <xf numFmtId="0" fontId="3" fillId="0" borderId="21" xfId="0" applyFont="1" applyBorder="1"/>
    <xf numFmtId="0" fontId="3" fillId="0" borderId="15" xfId="0" applyFont="1" applyFill="1" applyBorder="1"/>
    <xf numFmtId="0" fontId="3" fillId="0" borderId="28" xfId="0" applyFont="1" applyBorder="1" applyAlignment="1">
      <alignment horizontal="left" indent="3"/>
    </xf>
    <xf numFmtId="0" fontId="3" fillId="6" borderId="7" xfId="0" applyFont="1" applyFill="1" applyBorder="1"/>
    <xf numFmtId="1" fontId="3" fillId="0" borderId="17" xfId="0" applyNumberFormat="1" applyFont="1" applyBorder="1" applyAlignment="1">
      <alignment horizontal="center"/>
    </xf>
    <xf numFmtId="0" fontId="3" fillId="0" borderId="32" xfId="0" applyFont="1" applyBorder="1"/>
    <xf numFmtId="165" fontId="3" fillId="0" borderId="8" xfId="0" applyNumberFormat="1" applyFont="1" applyBorder="1"/>
    <xf numFmtId="165" fontId="3" fillId="0" borderId="10" xfId="0" applyNumberFormat="1" applyFont="1" applyFill="1" applyBorder="1"/>
    <xf numFmtId="165" fontId="3" fillId="0" borderId="8" xfId="0" applyNumberFormat="1" applyFont="1" applyFill="1" applyBorder="1"/>
    <xf numFmtId="165" fontId="3" fillId="0" borderId="35" xfId="0" applyNumberFormat="1" applyFont="1" applyFill="1" applyBorder="1"/>
    <xf numFmtId="2" fontId="3" fillId="4" borderId="6" xfId="0" applyNumberFormat="1" applyFont="1" applyFill="1" applyBorder="1"/>
    <xf numFmtId="1" fontId="3" fillId="3" borderId="10" xfId="0" applyNumberFormat="1" applyFont="1" applyFill="1" applyBorder="1"/>
    <xf numFmtId="2" fontId="3" fillId="0" borderId="6" xfId="0" applyNumberFormat="1" applyFont="1" applyFill="1" applyBorder="1"/>
    <xf numFmtId="2" fontId="3" fillId="4" borderId="9" xfId="0" applyNumberFormat="1" applyFont="1" applyFill="1" applyBorder="1"/>
    <xf numFmtId="166" fontId="3" fillId="0" borderId="7" xfId="2" applyNumberFormat="1" applyFont="1" applyBorder="1"/>
    <xf numFmtId="2" fontId="3" fillId="0" borderId="7" xfId="0" applyNumberFormat="1" applyFont="1" applyBorder="1"/>
    <xf numFmtId="2" fontId="3" fillId="0" borderId="9" xfId="0" applyNumberFormat="1" applyFont="1" applyBorder="1"/>
    <xf numFmtId="0" fontId="2" fillId="0" borderId="34" xfId="0" applyFont="1" applyBorder="1" applyAlignment="1">
      <alignment horizontal="center"/>
    </xf>
    <xf numFmtId="0" fontId="3" fillId="0" borderId="35" xfId="0" applyFont="1" applyBorder="1"/>
    <xf numFmtId="2" fontId="3" fillId="4" borderId="32" xfId="0" applyNumberFormat="1" applyFont="1" applyFill="1" applyBorder="1"/>
    <xf numFmtId="0" fontId="3" fillId="0" borderId="38" xfId="0" applyFont="1" applyBorder="1"/>
    <xf numFmtId="1" fontId="3" fillId="3" borderId="38" xfId="0" applyNumberFormat="1" applyFont="1" applyFill="1" applyBorder="1"/>
    <xf numFmtId="0" fontId="2" fillId="0" borderId="39" xfId="0" applyFont="1" applyBorder="1" applyAlignment="1">
      <alignment horizontal="center"/>
    </xf>
    <xf numFmtId="0" fontId="3" fillId="2" borderId="0" xfId="0" applyFont="1" applyFill="1" applyBorder="1"/>
    <xf numFmtId="9" fontId="3" fillId="2" borderId="0" xfId="1" applyFont="1" applyFill="1" applyBorder="1"/>
    <xf numFmtId="9" fontId="3" fillId="0" borderId="0" xfId="1" applyFont="1" applyFill="1" applyBorder="1" applyAlignment="1">
      <alignment horizontal="center"/>
    </xf>
    <xf numFmtId="0" fontId="3" fillId="0" borderId="18" xfId="0" applyFont="1" applyBorder="1"/>
    <xf numFmtId="44" fontId="3" fillId="3" borderId="18" xfId="0" applyNumberFormat="1" applyFont="1" applyFill="1" applyBorder="1" applyAlignment="1">
      <alignment horizontal="center"/>
    </xf>
    <xf numFmtId="0" fontId="3" fillId="0" borderId="15" xfId="0" applyFont="1" applyBorder="1"/>
    <xf numFmtId="0" fontId="7" fillId="0" borderId="20" xfId="0" applyFont="1" applyBorder="1" applyAlignment="1">
      <alignment horizontal="center" vertical="center" wrapText="1"/>
    </xf>
    <xf numFmtId="0" fontId="7" fillId="0" borderId="18" xfId="0" applyFont="1" applyBorder="1" applyAlignment="1">
      <alignment horizontal="center" vertical="center"/>
    </xf>
    <xf numFmtId="0" fontId="2" fillId="0" borderId="44" xfId="0" applyFont="1" applyBorder="1" applyAlignment="1"/>
    <xf numFmtId="2" fontId="3" fillId="0" borderId="32" xfId="0" applyNumberFormat="1" applyFont="1" applyBorder="1"/>
    <xf numFmtId="0" fontId="3" fillId="0" borderId="24" xfId="0" applyFont="1" applyBorder="1"/>
    <xf numFmtId="2" fontId="3" fillId="4" borderId="24" xfId="0" applyNumberFormat="1" applyFont="1" applyFill="1" applyBorder="1"/>
    <xf numFmtId="0" fontId="3" fillId="4" borderId="36" xfId="0" applyFont="1" applyFill="1" applyBorder="1"/>
    <xf numFmtId="165" fontId="3" fillId="0" borderId="35" xfId="0" applyNumberFormat="1" applyFont="1" applyBorder="1"/>
    <xf numFmtId="2" fontId="3" fillId="0" borderId="38" xfId="0" applyNumberFormat="1" applyFont="1" applyBorder="1"/>
    <xf numFmtId="0" fontId="3" fillId="0" borderId="39" xfId="0" applyFont="1" applyBorder="1"/>
    <xf numFmtId="2" fontId="3" fillId="3" borderId="15" xfId="0" applyNumberFormat="1" applyFont="1" applyFill="1" applyBorder="1"/>
    <xf numFmtId="2" fontId="3" fillId="0" borderId="15" xfId="0" applyNumberFormat="1" applyFont="1" applyBorder="1"/>
    <xf numFmtId="0" fontId="3" fillId="3" borderId="18" xfId="0" applyFont="1" applyFill="1" applyBorder="1"/>
    <xf numFmtId="2" fontId="3" fillId="3" borderId="18" xfId="0" applyNumberFormat="1" applyFont="1" applyFill="1" applyBorder="1"/>
    <xf numFmtId="0" fontId="3" fillId="3" borderId="26" xfId="0" applyFont="1" applyFill="1" applyBorder="1"/>
    <xf numFmtId="0" fontId="2" fillId="0" borderId="42" xfId="0" applyFont="1" applyBorder="1" applyAlignment="1"/>
    <xf numFmtId="0" fontId="2" fillId="0" borderId="45" xfId="0" applyFont="1" applyBorder="1" applyAlignment="1"/>
    <xf numFmtId="0" fontId="2" fillId="0" borderId="33" xfId="0" applyFont="1" applyFill="1" applyBorder="1" applyAlignment="1">
      <alignment horizontal="center" wrapText="1"/>
    </xf>
    <xf numFmtId="0" fontId="2" fillId="0" borderId="34" xfId="0" applyFont="1" applyFill="1" applyBorder="1" applyAlignment="1">
      <alignment horizontal="center"/>
    </xf>
    <xf numFmtId="0" fontId="2" fillId="0" borderId="1" xfId="0" applyFont="1" applyFill="1" applyBorder="1" applyAlignment="1">
      <alignment horizontal="center"/>
    </xf>
    <xf numFmtId="0" fontId="2" fillId="0" borderId="43" xfId="0" applyFont="1" applyFill="1" applyBorder="1" applyAlignment="1">
      <alignment horizontal="center" wrapText="1"/>
    </xf>
    <xf numFmtId="0" fontId="2" fillId="0" borderId="40" xfId="0" applyFont="1" applyFill="1" applyBorder="1" applyAlignment="1">
      <alignment horizontal="center"/>
    </xf>
    <xf numFmtId="0" fontId="2" fillId="0" borderId="31" xfId="0" applyFont="1" applyBorder="1" applyAlignment="1">
      <alignment horizontal="center"/>
    </xf>
    <xf numFmtId="2" fontId="2" fillId="0" borderId="42" xfId="0" applyNumberFormat="1" applyFont="1" applyBorder="1" applyAlignment="1">
      <alignment horizontal="center"/>
    </xf>
    <xf numFmtId="0" fontId="2" fillId="0" borderId="33" xfId="0" applyFont="1" applyBorder="1" applyAlignment="1">
      <alignment wrapText="1"/>
    </xf>
    <xf numFmtId="0" fontId="2" fillId="0" borderId="46" xfId="0" applyFont="1" applyBorder="1" applyAlignment="1"/>
    <xf numFmtId="0" fontId="2" fillId="0" borderId="47" xfId="0" applyFont="1" applyBorder="1" applyAlignment="1"/>
    <xf numFmtId="0" fontId="2" fillId="0" borderId="48" xfId="0" applyFont="1" applyBorder="1" applyAlignment="1"/>
    <xf numFmtId="0" fontId="3" fillId="0" borderId="32" xfId="0" applyFont="1" applyFill="1" applyBorder="1"/>
    <xf numFmtId="0" fontId="3" fillId="0" borderId="29" xfId="0" applyFont="1" applyFill="1" applyBorder="1"/>
    <xf numFmtId="164" fontId="3" fillId="0" borderId="16" xfId="0" applyNumberFormat="1" applyFont="1" applyBorder="1"/>
    <xf numFmtId="164" fontId="3" fillId="0" borderId="21" xfId="0" applyNumberFormat="1" applyFont="1" applyBorder="1"/>
    <xf numFmtId="164" fontId="3" fillId="0" borderId="22" xfId="0" applyNumberFormat="1" applyFont="1" applyBorder="1"/>
    <xf numFmtId="0" fontId="3" fillId="0" borderId="14" xfId="0" applyFont="1" applyFill="1" applyBorder="1"/>
    <xf numFmtId="0" fontId="3" fillId="0" borderId="17" xfId="0" applyFont="1" applyFill="1" applyBorder="1"/>
    <xf numFmtId="0" fontId="3" fillId="0" borderId="17" xfId="0" applyFont="1" applyFill="1" applyBorder="1" applyAlignment="1"/>
    <xf numFmtId="0" fontId="3" fillId="0" borderId="41" xfId="0" applyFont="1" applyFill="1" applyBorder="1"/>
    <xf numFmtId="0" fontId="2" fillId="0" borderId="11" xfId="0" applyFont="1" applyFill="1" applyBorder="1"/>
    <xf numFmtId="165" fontId="7" fillId="0" borderId="38" xfId="0" applyNumberFormat="1" applyFont="1" applyBorder="1" applyAlignment="1">
      <alignment horizontal="right" vertical="center"/>
    </xf>
    <xf numFmtId="165" fontId="3" fillId="0" borderId="38" xfId="0" applyNumberFormat="1" applyFont="1" applyFill="1" applyBorder="1"/>
    <xf numFmtId="0" fontId="3" fillId="3" borderId="18" xfId="0" applyFont="1" applyFill="1" applyBorder="1" applyAlignment="1">
      <alignment horizontal="center"/>
    </xf>
    <xf numFmtId="0" fontId="3" fillId="3" borderId="20" xfId="0" applyFont="1" applyFill="1" applyBorder="1" applyAlignment="1">
      <alignment horizontal="center"/>
    </xf>
    <xf numFmtId="0" fontId="3" fillId="0" borderId="27" xfId="0" applyFont="1" applyBorder="1"/>
    <xf numFmtId="0" fontId="3" fillId="3" borderId="15" xfId="0" applyFont="1" applyFill="1" applyBorder="1" applyAlignment="1">
      <alignment horizontal="center"/>
    </xf>
    <xf numFmtId="165" fontId="7" fillId="0" borderId="35" xfId="0" applyNumberFormat="1" applyFont="1" applyFill="1" applyBorder="1" applyAlignment="1">
      <alignment horizontal="right" vertical="center" wrapText="1"/>
    </xf>
    <xf numFmtId="165" fontId="7" fillId="0" borderId="50" xfId="0" applyNumberFormat="1" applyFont="1" applyFill="1" applyBorder="1" applyAlignment="1">
      <alignment horizontal="right" vertical="center"/>
    </xf>
    <xf numFmtId="165" fontId="7" fillId="0" borderId="38" xfId="0" applyNumberFormat="1" applyFont="1" applyFill="1" applyBorder="1" applyAlignment="1">
      <alignment horizontal="right" vertical="center" wrapText="1"/>
    </xf>
    <xf numFmtId="165" fontId="7" fillId="0" borderId="35" xfId="0" applyNumberFormat="1" applyFont="1" applyBorder="1" applyAlignment="1">
      <alignment horizontal="right" vertical="center" wrapText="1"/>
    </xf>
    <xf numFmtId="165" fontId="7" fillId="0" borderId="49" xfId="0" applyNumberFormat="1" applyFont="1" applyBorder="1" applyAlignment="1">
      <alignment horizontal="right" vertical="center" wrapText="1"/>
    </xf>
    <xf numFmtId="165" fontId="7" fillId="0" borderId="50" xfId="0" applyNumberFormat="1" applyFont="1" applyBorder="1" applyAlignment="1">
      <alignment horizontal="right" vertical="center" wrapText="1"/>
    </xf>
    <xf numFmtId="165" fontId="7" fillId="0" borderId="0" xfId="0" applyNumberFormat="1" applyFont="1" applyBorder="1" applyAlignment="1">
      <alignment horizontal="right" vertical="center" wrapText="1"/>
    </xf>
    <xf numFmtId="0" fontId="3" fillId="3" borderId="35" xfId="0" applyFont="1" applyFill="1" applyBorder="1"/>
    <xf numFmtId="0" fontId="3" fillId="0" borderId="35" xfId="0" applyFont="1" applyFill="1" applyBorder="1"/>
    <xf numFmtId="0" fontId="3" fillId="0" borderId="25" xfId="0" applyFont="1" applyBorder="1"/>
    <xf numFmtId="0" fontId="3" fillId="0" borderId="15" xfId="0" applyFont="1" applyBorder="1" applyAlignment="1">
      <alignment horizontal="center"/>
    </xf>
    <xf numFmtId="0" fontId="2" fillId="0" borderId="11" xfId="0" applyFont="1" applyFill="1" applyBorder="1" applyAlignment="1">
      <alignment wrapText="1"/>
    </xf>
    <xf numFmtId="0" fontId="2" fillId="0" borderId="12" xfId="0" applyFont="1" applyBorder="1"/>
    <xf numFmtId="0" fontId="3" fillId="0" borderId="12" xfId="0" applyFont="1" applyBorder="1"/>
    <xf numFmtId="0" fontId="2" fillId="0" borderId="13" xfId="0" applyFont="1" applyBorder="1"/>
    <xf numFmtId="0" fontId="3" fillId="0" borderId="45" xfId="0" applyFont="1" applyBorder="1"/>
    <xf numFmtId="0" fontId="3" fillId="0" borderId="51" xfId="0" applyFont="1" applyFill="1" applyBorder="1"/>
    <xf numFmtId="0" fontId="3" fillId="3" borderId="38" xfId="0" applyFont="1" applyFill="1" applyBorder="1"/>
    <xf numFmtId="0" fontId="3" fillId="3" borderId="17" xfId="0" applyFont="1" applyFill="1" applyBorder="1" applyAlignment="1">
      <alignment horizontal="center"/>
    </xf>
    <xf numFmtId="0" fontId="3" fillId="0" borderId="10" xfId="0" applyFont="1" applyFill="1" applyBorder="1" applyAlignment="1"/>
    <xf numFmtId="43" fontId="3" fillId="0" borderId="38" xfId="2" applyFont="1" applyFill="1" applyBorder="1"/>
    <xf numFmtId="0" fontId="3" fillId="0" borderId="7" xfId="0" applyFont="1" applyFill="1" applyBorder="1"/>
    <xf numFmtId="0" fontId="2" fillId="0" borderId="12" xfId="0" applyFont="1" applyFill="1" applyBorder="1" applyAlignment="1">
      <alignment wrapText="1"/>
    </xf>
    <xf numFmtId="0" fontId="7" fillId="0" borderId="52" xfId="0" applyFont="1" applyBorder="1" applyAlignment="1">
      <alignment horizontal="center" vertical="center" wrapText="1"/>
    </xf>
    <xf numFmtId="0" fontId="3" fillId="3" borderId="10" xfId="0" applyFont="1" applyFill="1" applyBorder="1" applyAlignment="1">
      <alignment horizontal="center"/>
    </xf>
    <xf numFmtId="0" fontId="3" fillId="3" borderId="10" xfId="0" applyFont="1" applyFill="1" applyBorder="1" applyAlignment="1">
      <alignment wrapText="1"/>
    </xf>
    <xf numFmtId="0" fontId="3" fillId="0" borderId="52" xfId="0" applyFont="1" applyBorder="1"/>
    <xf numFmtId="0" fontId="3" fillId="3" borderId="35" xfId="0" applyFont="1" applyFill="1" applyBorder="1" applyAlignment="1">
      <alignment horizontal="center"/>
    </xf>
    <xf numFmtId="0" fontId="7" fillId="0" borderId="21" xfId="0" applyFont="1" applyBorder="1" applyAlignment="1">
      <alignment horizontal="center" vertical="center"/>
    </xf>
    <xf numFmtId="0" fontId="3" fillId="3" borderId="22" xfId="0" applyFont="1" applyFill="1" applyBorder="1" applyAlignment="1">
      <alignment horizontal="center"/>
    </xf>
    <xf numFmtId="49" fontId="3" fillId="3" borderId="18" xfId="0" applyNumberFormat="1" applyFont="1" applyFill="1" applyBorder="1" applyAlignment="1">
      <alignment horizontal="center"/>
    </xf>
    <xf numFmtId="0" fontId="2" fillId="0" borderId="37" xfId="0" applyFont="1" applyBorder="1" applyAlignment="1">
      <alignment horizontal="center"/>
    </xf>
    <xf numFmtId="0" fontId="2" fillId="0" borderId="25" xfId="0" applyFont="1" applyBorder="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79"/>
  <sheetViews>
    <sheetView topLeftCell="A5" zoomScaleNormal="100" workbookViewId="0">
      <selection activeCell="B26" sqref="B26"/>
    </sheetView>
  </sheetViews>
  <sheetFormatPr defaultRowHeight="12.75" x14ac:dyDescent="0.2"/>
  <cols>
    <col min="1" max="1" width="3.28515625" bestFit="1" customWidth="1"/>
    <col min="2" max="2" width="91.28515625" customWidth="1"/>
  </cols>
  <sheetData>
    <row r="1" spans="1:2" ht="15" x14ac:dyDescent="0.2">
      <c r="A1" s="32"/>
      <c r="B1" s="33" t="s">
        <v>46</v>
      </c>
    </row>
    <row r="2" spans="1:2" ht="14.25" x14ac:dyDescent="0.2">
      <c r="A2" s="32">
        <v>1</v>
      </c>
      <c r="B2" s="38" t="s">
        <v>75</v>
      </c>
    </row>
    <row r="3" spans="1:2" ht="30" x14ac:dyDescent="0.2">
      <c r="A3" s="32">
        <v>2</v>
      </c>
      <c r="B3" s="38" t="s">
        <v>99</v>
      </c>
    </row>
    <row r="4" spans="1:2" ht="14.25" x14ac:dyDescent="0.2">
      <c r="A4" s="32">
        <v>3</v>
      </c>
      <c r="B4" s="38" t="s">
        <v>105</v>
      </c>
    </row>
    <row r="5" spans="1:2" ht="57" x14ac:dyDescent="0.2">
      <c r="A5" s="32">
        <v>4</v>
      </c>
      <c r="B5" s="38" t="s">
        <v>80</v>
      </c>
    </row>
    <row r="6" spans="1:2" ht="28.5" x14ac:dyDescent="0.2">
      <c r="A6" s="32">
        <v>5</v>
      </c>
      <c r="B6" s="45" t="s">
        <v>47</v>
      </c>
    </row>
    <row r="7" spans="1:2" ht="44.25" x14ac:dyDescent="0.2">
      <c r="A7" s="32">
        <v>6</v>
      </c>
      <c r="B7" s="36" t="s">
        <v>41</v>
      </c>
    </row>
    <row r="8" spans="1:2" ht="28.5" x14ac:dyDescent="0.2">
      <c r="A8" s="32">
        <v>7</v>
      </c>
      <c r="B8" s="36" t="s">
        <v>66</v>
      </c>
    </row>
    <row r="9" spans="1:2" ht="15" x14ac:dyDescent="0.2">
      <c r="A9" s="32">
        <v>8</v>
      </c>
      <c r="B9" s="46" t="s">
        <v>42</v>
      </c>
    </row>
    <row r="10" spans="1:2" ht="28.5" x14ac:dyDescent="0.2">
      <c r="A10" s="32">
        <v>9</v>
      </c>
      <c r="B10" s="36" t="s">
        <v>106</v>
      </c>
    </row>
    <row r="11" spans="1:2" ht="14.25" x14ac:dyDescent="0.2">
      <c r="A11" s="32">
        <v>10</v>
      </c>
      <c r="B11" s="36" t="s">
        <v>107</v>
      </c>
    </row>
    <row r="12" spans="1:2" ht="14.25" x14ac:dyDescent="0.2">
      <c r="A12" s="32">
        <v>11</v>
      </c>
      <c r="B12" s="36" t="s">
        <v>108</v>
      </c>
    </row>
    <row r="13" spans="1:2" ht="28.5" x14ac:dyDescent="0.2">
      <c r="A13" s="32">
        <v>12</v>
      </c>
      <c r="B13" s="39" t="s">
        <v>109</v>
      </c>
    </row>
    <row r="14" spans="1:2" ht="28.5" x14ac:dyDescent="0.2">
      <c r="A14" s="32">
        <v>13</v>
      </c>
      <c r="B14" s="36" t="s">
        <v>110</v>
      </c>
    </row>
    <row r="15" spans="1:2" ht="71.25" x14ac:dyDescent="0.2">
      <c r="A15" s="32">
        <v>14</v>
      </c>
      <c r="B15" s="36" t="s">
        <v>111</v>
      </c>
    </row>
    <row r="16" spans="1:2" ht="28.5" x14ac:dyDescent="0.2">
      <c r="A16" s="32">
        <v>15</v>
      </c>
      <c r="B16" s="36" t="s">
        <v>112</v>
      </c>
    </row>
    <row r="17" spans="1:2" ht="28.5" x14ac:dyDescent="0.2">
      <c r="A17" s="37">
        <v>16</v>
      </c>
      <c r="B17" s="36" t="s">
        <v>67</v>
      </c>
    </row>
    <row r="18" spans="1:2" ht="28.5" x14ac:dyDescent="0.2">
      <c r="A18" s="32">
        <v>17</v>
      </c>
      <c r="B18" s="38" t="s">
        <v>79</v>
      </c>
    </row>
    <row r="19" spans="1:2" ht="30" x14ac:dyDescent="0.2">
      <c r="A19" s="32">
        <v>18</v>
      </c>
      <c r="B19" s="35" t="s">
        <v>48</v>
      </c>
    </row>
    <row r="20" spans="1:2" ht="14.25" x14ac:dyDescent="0.2">
      <c r="A20" s="32">
        <v>19</v>
      </c>
      <c r="B20" s="38" t="s">
        <v>49</v>
      </c>
    </row>
    <row r="21" spans="1:2" ht="14.25" x14ac:dyDescent="0.2">
      <c r="A21" s="34">
        <v>20</v>
      </c>
      <c r="B21" s="38" t="s">
        <v>50</v>
      </c>
    </row>
    <row r="22" spans="1:2" ht="14.25" x14ac:dyDescent="0.2">
      <c r="A22" s="34">
        <v>21</v>
      </c>
      <c r="B22" s="38" t="s">
        <v>51</v>
      </c>
    </row>
    <row r="23" spans="1:2" ht="28.5" x14ac:dyDescent="0.2">
      <c r="A23" s="34">
        <v>22</v>
      </c>
      <c r="B23" s="36" t="s">
        <v>100</v>
      </c>
    </row>
    <row r="24" spans="1:2" ht="28.5" x14ac:dyDescent="0.2">
      <c r="A24" s="34">
        <v>23</v>
      </c>
      <c r="B24" s="38" t="s">
        <v>52</v>
      </c>
    </row>
    <row r="25" spans="1:2" ht="28.5" x14ac:dyDescent="0.2">
      <c r="A25" s="34">
        <v>24</v>
      </c>
      <c r="B25" s="38" t="s">
        <v>65</v>
      </c>
    </row>
    <row r="26" spans="1:2" ht="14.25" x14ac:dyDescent="0.2">
      <c r="A26" s="34">
        <v>25</v>
      </c>
      <c r="B26" s="38" t="s">
        <v>43</v>
      </c>
    </row>
    <row r="27" spans="1:2" ht="14.25" x14ac:dyDescent="0.2">
      <c r="A27" s="34"/>
      <c r="B27" s="38"/>
    </row>
    <row r="28" spans="1:2" ht="14.25" x14ac:dyDescent="0.2">
      <c r="A28" s="34"/>
      <c r="B28" s="38"/>
    </row>
    <row r="29" spans="1:2" ht="15" x14ac:dyDescent="0.2">
      <c r="A29" s="34"/>
      <c r="B29" s="35"/>
    </row>
    <row r="30" spans="1:2" ht="15" x14ac:dyDescent="0.2">
      <c r="A30" s="32"/>
      <c r="B30" s="33" t="s">
        <v>81</v>
      </c>
    </row>
    <row r="31" spans="1:2" ht="14.25" x14ac:dyDescent="0.2">
      <c r="A31" s="32">
        <v>1</v>
      </c>
      <c r="B31" s="38" t="s">
        <v>75</v>
      </c>
    </row>
    <row r="32" spans="1:2" ht="14.25" x14ac:dyDescent="0.2">
      <c r="A32" s="32"/>
      <c r="B32" s="38" t="s">
        <v>77</v>
      </c>
    </row>
    <row r="33" spans="1:2" ht="14.25" x14ac:dyDescent="0.2">
      <c r="A33" s="32">
        <v>2</v>
      </c>
      <c r="B33" s="36" t="s">
        <v>113</v>
      </c>
    </row>
    <row r="34" spans="1:2" ht="30" x14ac:dyDescent="0.2">
      <c r="A34" s="32">
        <v>3</v>
      </c>
      <c r="B34" s="36" t="s">
        <v>101</v>
      </c>
    </row>
    <row r="35" spans="1:2" ht="14.25" x14ac:dyDescent="0.2">
      <c r="A35" s="32">
        <v>4</v>
      </c>
      <c r="B35" s="38" t="s">
        <v>105</v>
      </c>
    </row>
    <row r="36" spans="1:2" ht="86.25" x14ac:dyDescent="0.2">
      <c r="A36" s="32">
        <v>5</v>
      </c>
      <c r="B36" s="36" t="s">
        <v>102</v>
      </c>
    </row>
    <row r="37" spans="1:2" ht="28.5" x14ac:dyDescent="0.2">
      <c r="A37" s="32">
        <v>6</v>
      </c>
      <c r="B37" s="45" t="s">
        <v>47</v>
      </c>
    </row>
    <row r="38" spans="1:2" ht="15" customHeight="1" x14ac:dyDescent="0.2">
      <c r="A38" s="32">
        <v>7</v>
      </c>
      <c r="B38" s="36" t="s">
        <v>58</v>
      </c>
    </row>
    <row r="39" spans="1:2" ht="28.5" x14ac:dyDescent="0.2">
      <c r="A39" s="32">
        <v>8</v>
      </c>
      <c r="B39" s="36" t="s">
        <v>66</v>
      </c>
    </row>
    <row r="40" spans="1:2" ht="15" x14ac:dyDescent="0.2">
      <c r="A40" s="32">
        <v>9</v>
      </c>
      <c r="B40" s="46" t="s">
        <v>42</v>
      </c>
    </row>
    <row r="41" spans="1:2" ht="28.5" x14ac:dyDescent="0.2">
      <c r="A41" s="32">
        <v>10</v>
      </c>
      <c r="B41" s="36" t="s">
        <v>106</v>
      </c>
    </row>
    <row r="42" spans="1:2" ht="14.25" x14ac:dyDescent="0.2">
      <c r="A42" s="32">
        <v>11</v>
      </c>
      <c r="B42" s="36" t="s">
        <v>107</v>
      </c>
    </row>
    <row r="43" spans="1:2" ht="14.25" x14ac:dyDescent="0.2">
      <c r="A43" s="32">
        <v>12</v>
      </c>
      <c r="B43" s="36" t="s">
        <v>108</v>
      </c>
    </row>
    <row r="44" spans="1:2" ht="28.5" x14ac:dyDescent="0.2">
      <c r="A44" s="32">
        <v>13</v>
      </c>
      <c r="B44" s="39" t="s">
        <v>109</v>
      </c>
    </row>
    <row r="45" spans="1:2" ht="28.5" x14ac:dyDescent="0.2">
      <c r="A45" s="32">
        <v>14</v>
      </c>
      <c r="B45" s="36" t="s">
        <v>110</v>
      </c>
    </row>
    <row r="46" spans="1:2" ht="71.25" x14ac:dyDescent="0.2">
      <c r="A46" s="32">
        <v>15</v>
      </c>
      <c r="B46" s="36" t="s">
        <v>111</v>
      </c>
    </row>
    <row r="47" spans="1:2" ht="28.5" x14ac:dyDescent="0.2">
      <c r="A47" s="32">
        <v>16</v>
      </c>
      <c r="B47" s="36" t="s">
        <v>112</v>
      </c>
    </row>
    <row r="48" spans="1:2" ht="28.5" x14ac:dyDescent="0.2">
      <c r="A48" s="32">
        <v>17</v>
      </c>
      <c r="B48" s="36" t="s">
        <v>67</v>
      </c>
    </row>
    <row r="49" spans="1:2" ht="28.5" x14ac:dyDescent="0.2">
      <c r="A49" s="32">
        <v>18</v>
      </c>
      <c r="B49" s="36" t="s">
        <v>114</v>
      </c>
    </row>
    <row r="50" spans="1:2" ht="14.25" x14ac:dyDescent="0.2">
      <c r="A50" s="32">
        <v>19</v>
      </c>
      <c r="B50" s="36" t="s">
        <v>43</v>
      </c>
    </row>
    <row r="51" spans="1:2" ht="14.25" x14ac:dyDescent="0.2">
      <c r="A51" s="32"/>
      <c r="B51" s="36"/>
    </row>
    <row r="52" spans="1:2" ht="14.25" x14ac:dyDescent="0.2">
      <c r="A52" s="32"/>
      <c r="B52" s="36"/>
    </row>
    <row r="53" spans="1:2" ht="14.25" x14ac:dyDescent="0.2">
      <c r="A53" s="32"/>
      <c r="B53" s="39"/>
    </row>
    <row r="54" spans="1:2" ht="14.25" x14ac:dyDescent="0.2">
      <c r="A54" s="32"/>
      <c r="B54" s="39"/>
    </row>
    <row r="55" spans="1:2" ht="14.25" x14ac:dyDescent="0.2">
      <c r="A55" s="32"/>
      <c r="B55" s="39"/>
    </row>
    <row r="56" spans="1:2" ht="14.25" x14ac:dyDescent="0.2">
      <c r="A56" s="32"/>
      <c r="B56" s="39"/>
    </row>
    <row r="57" spans="1:2" ht="14.25" x14ac:dyDescent="0.2">
      <c r="A57" s="32"/>
      <c r="B57" s="39"/>
    </row>
    <row r="58" spans="1:2" ht="14.25" x14ac:dyDescent="0.2">
      <c r="A58" s="32"/>
      <c r="B58" s="39"/>
    </row>
    <row r="59" spans="1:2" ht="14.25" x14ac:dyDescent="0.2">
      <c r="A59" s="32"/>
      <c r="B59" s="39"/>
    </row>
    <row r="60" spans="1:2" ht="14.25" x14ac:dyDescent="0.2">
      <c r="A60" s="32"/>
      <c r="B60" s="39"/>
    </row>
    <row r="61" spans="1:2" ht="14.25" x14ac:dyDescent="0.2">
      <c r="A61" s="32"/>
      <c r="B61" s="39"/>
    </row>
    <row r="62" spans="1:2" ht="14.25" x14ac:dyDescent="0.2">
      <c r="A62" s="32"/>
      <c r="B62" s="39"/>
    </row>
    <row r="63" spans="1:2" ht="14.25" x14ac:dyDescent="0.2">
      <c r="A63" s="32"/>
      <c r="B63" s="39"/>
    </row>
    <row r="64" spans="1:2" ht="14.25" x14ac:dyDescent="0.2">
      <c r="A64" s="32"/>
      <c r="B64" s="39"/>
    </row>
    <row r="65" spans="1:2" ht="14.25" x14ac:dyDescent="0.2">
      <c r="A65" s="32"/>
      <c r="B65" s="39"/>
    </row>
    <row r="66" spans="1:2" ht="14.25" x14ac:dyDescent="0.2">
      <c r="A66" s="32"/>
      <c r="B66" s="39"/>
    </row>
    <row r="67" spans="1:2" ht="14.25" x14ac:dyDescent="0.2">
      <c r="A67" s="32"/>
      <c r="B67" s="39"/>
    </row>
    <row r="68" spans="1:2" ht="14.25" x14ac:dyDescent="0.2">
      <c r="A68" s="32"/>
      <c r="B68" s="39"/>
    </row>
    <row r="69" spans="1:2" ht="14.25" x14ac:dyDescent="0.2">
      <c r="A69" s="32"/>
      <c r="B69" s="39"/>
    </row>
    <row r="70" spans="1:2" ht="14.25" x14ac:dyDescent="0.2">
      <c r="A70" s="37"/>
      <c r="B70" s="39"/>
    </row>
    <row r="71" spans="1:2" ht="14.25" x14ac:dyDescent="0.2">
      <c r="A71" s="37"/>
      <c r="B71" s="40"/>
    </row>
    <row r="72" spans="1:2" ht="14.25" x14ac:dyDescent="0.2">
      <c r="A72" s="37"/>
      <c r="B72" s="40"/>
    </row>
    <row r="73" spans="1:2" ht="14.25" x14ac:dyDescent="0.2">
      <c r="A73" s="32"/>
      <c r="B73" s="39"/>
    </row>
    <row r="74" spans="1:2" ht="14.25" x14ac:dyDescent="0.2">
      <c r="A74" s="32"/>
      <c r="B74" s="39"/>
    </row>
    <row r="75" spans="1:2" ht="14.25" x14ac:dyDescent="0.2">
      <c r="A75" s="32"/>
      <c r="B75" s="40"/>
    </row>
    <row r="76" spans="1:2" ht="14.25" x14ac:dyDescent="0.2">
      <c r="A76" s="32"/>
      <c r="B76" s="39"/>
    </row>
    <row r="77" spans="1:2" ht="14.25" x14ac:dyDescent="0.2">
      <c r="A77" s="32"/>
      <c r="B77" s="39"/>
    </row>
    <row r="78" spans="1:2" ht="14.25" x14ac:dyDescent="0.2">
      <c r="B78" s="39"/>
    </row>
    <row r="79" spans="1:2" ht="14.25" x14ac:dyDescent="0.2">
      <c r="B79" s="39"/>
    </row>
  </sheetData>
  <pageMargins left="0.7" right="0.7" top="0.75" bottom="0.75" header="0.3" footer="0.3"/>
  <pageSetup scale="70" orientation="portrait" r:id="rId1"/>
  <headerFooter>
    <oddHeader xml:space="preserve">&amp;CN00421-21-R-0161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157"/>
  <sheetViews>
    <sheetView tabSelected="1" zoomScale="110" zoomScaleNormal="110" zoomScalePageLayoutView="130" workbookViewId="0">
      <selection activeCell="B2" sqref="B2"/>
    </sheetView>
  </sheetViews>
  <sheetFormatPr defaultColWidth="9.140625" defaultRowHeight="11.25" x14ac:dyDescent="0.2"/>
  <cols>
    <col min="1" max="1" width="7.42578125" style="67" bestFit="1" customWidth="1"/>
    <col min="2" max="2" width="45.140625" style="2" customWidth="1"/>
    <col min="3" max="4" width="13.42578125" style="2" customWidth="1"/>
    <col min="5" max="5" width="8" style="2" customWidth="1"/>
    <col min="6" max="7" width="9.42578125" style="2" customWidth="1"/>
    <col min="8" max="8" width="10" style="2" bestFit="1" customWidth="1"/>
    <col min="9" max="9" width="6.28515625" style="2" customWidth="1"/>
    <col min="10" max="10" width="15.85546875" style="2" customWidth="1"/>
    <col min="11" max="11" width="9.42578125" style="2" customWidth="1"/>
    <col min="12" max="12" width="9.140625" style="2" customWidth="1"/>
    <col min="13" max="13" width="9.85546875" style="2" bestFit="1" customWidth="1"/>
    <col min="14" max="14" width="7.5703125" style="2" customWidth="1"/>
    <col min="15" max="15" width="8.7109375" style="2" customWidth="1"/>
    <col min="16" max="16" width="9.140625" style="2" customWidth="1"/>
    <col min="17" max="17" width="9.85546875" style="2" bestFit="1" customWidth="1"/>
    <col min="18" max="18" width="7.5703125" style="2" customWidth="1"/>
    <col min="19" max="19" width="9" style="2" customWidth="1"/>
    <col min="20" max="20" width="7.5703125" style="2" customWidth="1"/>
    <col min="21" max="21" width="9.85546875" style="2" bestFit="1" customWidth="1"/>
    <col min="22" max="22" width="7.5703125" style="2" customWidth="1"/>
    <col min="23" max="23" width="9" style="2" customWidth="1"/>
    <col min="24" max="24" width="7.5703125" style="2" customWidth="1"/>
    <col min="25" max="25" width="9.85546875" style="2" bestFit="1" customWidth="1"/>
    <col min="26" max="26" width="7.5703125" style="2" customWidth="1"/>
    <col min="27" max="27" width="9" style="2" customWidth="1"/>
    <col min="28" max="28" width="7.5703125" style="2" customWidth="1"/>
    <col min="29" max="29" width="9.85546875" style="2" bestFit="1" customWidth="1"/>
    <col min="30" max="30" width="8" style="2" customWidth="1"/>
    <col min="31" max="31" width="11.140625" style="2" bestFit="1" customWidth="1"/>
    <col min="32" max="16384" width="9.140625" style="2"/>
  </cols>
  <sheetData>
    <row r="1" spans="1:32" x14ac:dyDescent="0.2">
      <c r="B1" s="1" t="s">
        <v>69</v>
      </c>
    </row>
    <row r="2" spans="1:32" s="4" customFormat="1" x14ac:dyDescent="0.2">
      <c r="A2" s="68"/>
      <c r="B2" s="3"/>
    </row>
    <row r="3" spans="1:32" s="4" customFormat="1" x14ac:dyDescent="0.2">
      <c r="A3" s="68"/>
      <c r="B3" s="5" t="s">
        <v>6</v>
      </c>
      <c r="C3" s="5"/>
      <c r="D3" s="5"/>
      <c r="E3" s="5"/>
      <c r="F3" s="5"/>
      <c r="G3" s="5"/>
      <c r="H3" s="5"/>
      <c r="I3" s="5"/>
      <c r="J3" s="5"/>
      <c r="K3" s="5"/>
    </row>
    <row r="4" spans="1:32" s="4" customFormat="1" ht="12" thickBot="1" x14ac:dyDescent="0.25">
      <c r="A4" s="68"/>
      <c r="B4" s="5" t="s">
        <v>72</v>
      </c>
      <c r="C4" s="5"/>
      <c r="D4" s="5"/>
      <c r="E4" s="5"/>
      <c r="F4" s="5"/>
      <c r="G4" s="5"/>
      <c r="H4" s="5"/>
      <c r="I4" s="5"/>
      <c r="J4" s="5"/>
      <c r="K4" s="5"/>
    </row>
    <row r="5" spans="1:32" ht="13.5" customHeight="1" thickBot="1" x14ac:dyDescent="0.25">
      <c r="B5" s="1"/>
      <c r="C5" s="6"/>
      <c r="D5" s="6"/>
      <c r="E5" s="6"/>
      <c r="F5" s="6"/>
      <c r="G5" s="6"/>
      <c r="H5" s="6"/>
      <c r="I5" s="6"/>
      <c r="J5" s="6"/>
      <c r="K5" s="134"/>
      <c r="L5" s="113" t="s">
        <v>138</v>
      </c>
      <c r="M5" s="113"/>
      <c r="N5" s="127"/>
      <c r="O5" s="113"/>
      <c r="P5" s="136" t="s">
        <v>139</v>
      </c>
      <c r="Q5" s="137"/>
      <c r="R5" s="138"/>
      <c r="S5" s="126"/>
      <c r="T5" s="113" t="s">
        <v>140</v>
      </c>
      <c r="U5" s="113"/>
      <c r="V5" s="113"/>
      <c r="W5" s="126"/>
      <c r="X5" s="113" t="s">
        <v>141</v>
      </c>
      <c r="Y5" s="113"/>
      <c r="Z5" s="113"/>
      <c r="AA5" s="126"/>
      <c r="AB5" s="113" t="s">
        <v>142</v>
      </c>
      <c r="AC5" s="113"/>
      <c r="AD5" s="113"/>
      <c r="AE5" s="186" t="s">
        <v>68</v>
      </c>
      <c r="AF5" s="187"/>
    </row>
    <row r="6" spans="1:32" ht="34.5" thickBot="1" x14ac:dyDescent="0.25">
      <c r="A6" s="69" t="s">
        <v>70</v>
      </c>
      <c r="B6" s="73" t="s">
        <v>53</v>
      </c>
      <c r="C6" s="148" t="s">
        <v>71</v>
      </c>
      <c r="D6" s="177" t="s">
        <v>104</v>
      </c>
      <c r="E6" s="166" t="s">
        <v>87</v>
      </c>
      <c r="F6" s="167" t="s">
        <v>82</v>
      </c>
      <c r="G6" s="169" t="s">
        <v>88</v>
      </c>
      <c r="H6" s="169" t="s">
        <v>158</v>
      </c>
      <c r="I6" s="18" t="s">
        <v>56</v>
      </c>
      <c r="J6" s="133" t="s">
        <v>57</v>
      </c>
      <c r="K6" s="135" t="s">
        <v>86</v>
      </c>
      <c r="L6" s="99" t="s">
        <v>0</v>
      </c>
      <c r="M6" s="129" t="s">
        <v>1</v>
      </c>
      <c r="N6" s="132" t="s">
        <v>2</v>
      </c>
      <c r="O6" s="128" t="s">
        <v>86</v>
      </c>
      <c r="P6" s="99" t="s">
        <v>0</v>
      </c>
      <c r="Q6" s="129" t="s">
        <v>1</v>
      </c>
      <c r="R6" s="130" t="s">
        <v>2</v>
      </c>
      <c r="S6" s="131" t="s">
        <v>86</v>
      </c>
      <c r="T6" s="99" t="s">
        <v>0</v>
      </c>
      <c r="U6" s="129" t="s">
        <v>1</v>
      </c>
      <c r="V6" s="130" t="s">
        <v>2</v>
      </c>
      <c r="W6" s="131" t="s">
        <v>86</v>
      </c>
      <c r="X6" s="99" t="s">
        <v>0</v>
      </c>
      <c r="Y6" s="129" t="s">
        <v>1</v>
      </c>
      <c r="Z6" s="132" t="s">
        <v>2</v>
      </c>
      <c r="AA6" s="128" t="s">
        <v>86</v>
      </c>
      <c r="AB6" s="99" t="s">
        <v>0</v>
      </c>
      <c r="AC6" s="129" t="s">
        <v>1</v>
      </c>
      <c r="AD6" s="130" t="s">
        <v>2</v>
      </c>
      <c r="AE6" s="104" t="s">
        <v>1</v>
      </c>
      <c r="AF6" s="7" t="s">
        <v>2</v>
      </c>
    </row>
    <row r="7" spans="1:32" ht="12" thickBot="1" x14ac:dyDescent="0.25">
      <c r="A7" s="70"/>
      <c r="B7" s="74" t="s">
        <v>11</v>
      </c>
      <c r="C7" s="139"/>
      <c r="D7" s="176"/>
      <c r="E7" s="171"/>
      <c r="F7" s="168"/>
      <c r="G7" s="170"/>
      <c r="H7" s="170"/>
      <c r="I7" s="164"/>
      <c r="J7" s="153" t="s">
        <v>74</v>
      </c>
      <c r="K7" s="153"/>
      <c r="L7" s="102"/>
      <c r="M7" s="10"/>
      <c r="N7" s="87"/>
      <c r="O7" s="153"/>
      <c r="P7" s="102"/>
      <c r="Q7" s="10"/>
      <c r="R7" s="87"/>
      <c r="S7" s="110"/>
      <c r="T7" s="102"/>
      <c r="U7" s="10"/>
      <c r="V7" s="8"/>
      <c r="W7" s="110"/>
      <c r="X7" s="9"/>
      <c r="Y7" s="10"/>
      <c r="Z7" s="8"/>
      <c r="AA7" s="110"/>
      <c r="AB7" s="9"/>
      <c r="AC7" s="10"/>
      <c r="AD7" s="8"/>
      <c r="AE7" s="102"/>
      <c r="AF7" s="8"/>
    </row>
    <row r="8" spans="1:32" x14ac:dyDescent="0.2">
      <c r="A8" s="70"/>
      <c r="B8" s="75"/>
      <c r="C8" s="56"/>
      <c r="D8" s="53"/>
      <c r="E8" s="144"/>
      <c r="F8" s="165"/>
      <c r="G8" s="165"/>
      <c r="H8" s="165"/>
      <c r="I8" s="110"/>
      <c r="J8" s="108" t="s">
        <v>73</v>
      </c>
      <c r="K8" s="70"/>
      <c r="L8" s="100"/>
      <c r="M8" s="13"/>
      <c r="N8" s="87"/>
      <c r="O8" s="110"/>
      <c r="P8" s="100"/>
      <c r="Q8" s="13"/>
      <c r="R8" s="87"/>
      <c r="S8" s="110"/>
      <c r="T8" s="100"/>
      <c r="U8" s="13"/>
      <c r="V8" s="8"/>
      <c r="W8" s="110"/>
      <c r="X8" s="12"/>
      <c r="Y8" s="13"/>
      <c r="Z8" s="8"/>
      <c r="AA8" s="110"/>
      <c r="AB8" s="12"/>
      <c r="AC8" s="13"/>
      <c r="AD8" s="8"/>
      <c r="AE8" s="102"/>
      <c r="AF8" s="8"/>
    </row>
    <row r="9" spans="1:32" x14ac:dyDescent="0.2">
      <c r="A9" s="86"/>
      <c r="B9" s="41" t="s">
        <v>133</v>
      </c>
      <c r="C9" s="140" t="s">
        <v>5</v>
      </c>
      <c r="D9" s="53"/>
      <c r="E9" s="145" t="s">
        <v>89</v>
      </c>
      <c r="F9" s="151" t="s">
        <v>129</v>
      </c>
      <c r="G9" s="151" t="s">
        <v>95</v>
      </c>
      <c r="H9" s="151" t="s">
        <v>95</v>
      </c>
      <c r="I9" s="183"/>
      <c r="J9" s="151" t="s">
        <v>91</v>
      </c>
      <c r="K9" s="109">
        <f>49.1*1.038*1.038</f>
        <v>52.902500400000001</v>
      </c>
      <c r="L9" s="156"/>
      <c r="M9" s="93">
        <v>1920</v>
      </c>
      <c r="N9" s="101">
        <f t="shared" ref="N9:N75" si="0">L9*M9</f>
        <v>0</v>
      </c>
      <c r="O9" s="121">
        <f>(K9*0.038)+K9</f>
        <v>54.912795415200002</v>
      </c>
      <c r="P9" s="100"/>
      <c r="Q9" s="93">
        <v>1920</v>
      </c>
      <c r="R9" s="101">
        <f t="shared" ref="R9:R74" si="1">P9*Q9</f>
        <v>0</v>
      </c>
      <c r="S9" s="121">
        <f>(O9*0.038)+O9</f>
        <v>56.999481640977599</v>
      </c>
      <c r="T9" s="118"/>
      <c r="U9" s="93">
        <v>1920</v>
      </c>
      <c r="V9" s="92">
        <f t="shared" ref="V9:V74" si="2">T9*U9</f>
        <v>0</v>
      </c>
      <c r="W9" s="121">
        <f>(S9*0.038)+S9</f>
        <v>59.165461943334748</v>
      </c>
      <c r="X9" s="88"/>
      <c r="Y9" s="93">
        <v>1920</v>
      </c>
      <c r="Z9" s="92">
        <f t="shared" ref="Z9:Z74" si="3">X9*Y9</f>
        <v>0</v>
      </c>
      <c r="AA9" s="121">
        <f>(W9*0.038)+W9</f>
        <v>61.41374949718147</v>
      </c>
      <c r="AB9" s="88"/>
      <c r="AC9" s="93">
        <v>1920</v>
      </c>
      <c r="AD9" s="95">
        <f t="shared" ref="AD9:AD74" si="4">AB9*AC9</f>
        <v>0</v>
      </c>
      <c r="AE9" s="103">
        <f t="shared" ref="AE9:AE58" si="5">M9+Q9+U9+Y9+AC9</f>
        <v>9600</v>
      </c>
      <c r="AF9" s="92">
        <f>N9+R9+V9+Z9+AD9</f>
        <v>0</v>
      </c>
    </row>
    <row r="10" spans="1:32" x14ac:dyDescent="0.2">
      <c r="A10" s="86"/>
      <c r="B10" s="41" t="s">
        <v>146</v>
      </c>
      <c r="C10" s="140" t="s">
        <v>5</v>
      </c>
      <c r="D10" s="53"/>
      <c r="E10" s="145" t="s">
        <v>89</v>
      </c>
      <c r="F10" s="173" t="s">
        <v>144</v>
      </c>
      <c r="G10" s="179" t="s">
        <v>95</v>
      </c>
      <c r="H10" s="151">
        <v>632</v>
      </c>
      <c r="I10" s="178"/>
      <c r="J10" s="151" t="s">
        <v>103</v>
      </c>
      <c r="K10" s="109">
        <f>34.73*1.038*1.038</f>
        <v>37.419630120000001</v>
      </c>
      <c r="L10" s="155"/>
      <c r="M10" s="93">
        <v>960</v>
      </c>
      <c r="N10" s="101">
        <f t="shared" si="0"/>
        <v>0</v>
      </c>
      <c r="O10" s="121">
        <f>(K10*0.038)+K10</f>
        <v>38.841576064560002</v>
      </c>
      <c r="P10" s="100"/>
      <c r="Q10" s="93">
        <v>960</v>
      </c>
      <c r="R10" s="101">
        <f t="shared" si="1"/>
        <v>0</v>
      </c>
      <c r="S10" s="121">
        <f>(O10*0.038)+O10</f>
        <v>40.317555955013283</v>
      </c>
      <c r="T10" s="118"/>
      <c r="U10" s="93">
        <v>960</v>
      </c>
      <c r="V10" s="92">
        <f t="shared" si="2"/>
        <v>0</v>
      </c>
      <c r="W10" s="121">
        <f>(S10*0.038)+S10</f>
        <v>41.84962308130379</v>
      </c>
      <c r="X10" s="88"/>
      <c r="Y10" s="93">
        <v>960</v>
      </c>
      <c r="Z10" s="92">
        <f t="shared" si="3"/>
        <v>0</v>
      </c>
      <c r="AA10" s="121">
        <f>(W10*0.038)+W10</f>
        <v>43.439908758393337</v>
      </c>
      <c r="AB10" s="88"/>
      <c r="AC10" s="93">
        <v>960</v>
      </c>
      <c r="AD10" s="95">
        <f t="shared" si="4"/>
        <v>0</v>
      </c>
      <c r="AE10" s="103">
        <f>M10+Q10+U10+Y10+AC10</f>
        <v>4800</v>
      </c>
      <c r="AF10" s="92">
        <f t="shared" ref="AF10:AF22" si="6">N10+R10+V10+Z10+AD10</f>
        <v>0</v>
      </c>
    </row>
    <row r="11" spans="1:32" x14ac:dyDescent="0.2">
      <c r="A11" s="86"/>
      <c r="B11" s="41" t="s">
        <v>147</v>
      </c>
      <c r="C11" s="140" t="s">
        <v>5</v>
      </c>
      <c r="D11" s="53"/>
      <c r="E11" s="145" t="s">
        <v>89</v>
      </c>
      <c r="F11" s="173" t="s">
        <v>144</v>
      </c>
      <c r="G11" s="179" t="s">
        <v>95</v>
      </c>
      <c r="H11" s="151">
        <v>632</v>
      </c>
      <c r="I11" s="178"/>
      <c r="J11" s="151" t="s">
        <v>103</v>
      </c>
      <c r="K11" s="109">
        <f>70*1.038*1.038</f>
        <v>75.421080000000003</v>
      </c>
      <c r="L11" s="155"/>
      <c r="M11" s="93">
        <v>480</v>
      </c>
      <c r="N11" s="101">
        <f t="shared" si="0"/>
        <v>0</v>
      </c>
      <c r="O11" s="121">
        <f>(K11*0.038)+K11</f>
        <v>78.287081040000004</v>
      </c>
      <c r="P11" s="100"/>
      <c r="Q11" s="93">
        <v>480</v>
      </c>
      <c r="R11" s="101">
        <f t="shared" si="1"/>
        <v>0</v>
      </c>
      <c r="S11" s="121">
        <f>(O11*0.038)+O11</f>
        <v>81.261990119520007</v>
      </c>
      <c r="T11" s="118"/>
      <c r="U11" s="93">
        <v>480</v>
      </c>
      <c r="V11" s="92">
        <f t="shared" si="2"/>
        <v>0</v>
      </c>
      <c r="W11" s="121">
        <f>(S11*0.038)+S11</f>
        <v>84.34994574406177</v>
      </c>
      <c r="X11" s="88"/>
      <c r="Y11" s="93">
        <v>480</v>
      </c>
      <c r="Z11" s="92">
        <f t="shared" si="3"/>
        <v>0</v>
      </c>
      <c r="AA11" s="121">
        <f>(W11*0.038)+W11</f>
        <v>87.555243682336112</v>
      </c>
      <c r="AB11" s="88"/>
      <c r="AC11" s="93">
        <v>480</v>
      </c>
      <c r="AD11" s="95">
        <f t="shared" si="4"/>
        <v>0</v>
      </c>
      <c r="AE11" s="103">
        <f>M11+Q11+U11+Y11+AC11</f>
        <v>2400</v>
      </c>
      <c r="AF11" s="92">
        <f t="shared" si="6"/>
        <v>0</v>
      </c>
    </row>
    <row r="12" spans="1:32" x14ac:dyDescent="0.2">
      <c r="A12" s="86"/>
      <c r="B12" s="41" t="s">
        <v>148</v>
      </c>
      <c r="C12" s="140" t="s">
        <v>5</v>
      </c>
      <c r="D12" s="53"/>
      <c r="E12" s="145" t="s">
        <v>89</v>
      </c>
      <c r="F12" s="173" t="s">
        <v>144</v>
      </c>
      <c r="G12" s="179" t="s">
        <v>95</v>
      </c>
      <c r="H12" s="151">
        <v>632</v>
      </c>
      <c r="I12" s="178"/>
      <c r="J12" s="151" t="s">
        <v>103</v>
      </c>
      <c r="K12" s="109">
        <f>76.76*1.038*1.038</f>
        <v>82.704601440000019</v>
      </c>
      <c r="L12" s="155"/>
      <c r="M12" s="93">
        <v>480</v>
      </c>
      <c r="N12" s="101">
        <f t="shared" si="0"/>
        <v>0</v>
      </c>
      <c r="O12" s="121">
        <f>(K12*0.038)+K12</f>
        <v>85.847376294720021</v>
      </c>
      <c r="P12" s="100"/>
      <c r="Q12" s="93">
        <v>480</v>
      </c>
      <c r="R12" s="101">
        <f t="shared" si="1"/>
        <v>0</v>
      </c>
      <c r="S12" s="121">
        <f>(O12*0.038)+O12</f>
        <v>89.109576593919385</v>
      </c>
      <c r="T12" s="118"/>
      <c r="U12" s="93">
        <v>480</v>
      </c>
      <c r="V12" s="92">
        <f t="shared" si="2"/>
        <v>0</v>
      </c>
      <c r="W12" s="121">
        <f>(S12*0.038)+S12</f>
        <v>92.495740504488325</v>
      </c>
      <c r="X12" s="88"/>
      <c r="Y12" s="93">
        <v>480</v>
      </c>
      <c r="Z12" s="92">
        <f t="shared" si="3"/>
        <v>0</v>
      </c>
      <c r="AA12" s="121">
        <f>(W12*0.038)+W12</f>
        <v>96.010578643658874</v>
      </c>
      <c r="AB12" s="88"/>
      <c r="AC12" s="93">
        <v>480</v>
      </c>
      <c r="AD12" s="95">
        <f t="shared" si="4"/>
        <v>0</v>
      </c>
      <c r="AE12" s="103">
        <f>M12+Q12+U12+Y12+AC12</f>
        <v>2400</v>
      </c>
      <c r="AF12" s="92">
        <f t="shared" si="6"/>
        <v>0</v>
      </c>
    </row>
    <row r="13" spans="1:32" x14ac:dyDescent="0.2">
      <c r="A13" s="86"/>
      <c r="B13" s="41" t="s">
        <v>149</v>
      </c>
      <c r="C13" s="140" t="s">
        <v>5</v>
      </c>
      <c r="D13" s="53"/>
      <c r="E13" s="145" t="s">
        <v>89</v>
      </c>
      <c r="F13" s="173" t="s">
        <v>145</v>
      </c>
      <c r="G13" s="179" t="s">
        <v>95</v>
      </c>
      <c r="H13" s="151">
        <v>441</v>
      </c>
      <c r="I13" s="178"/>
      <c r="J13" s="151" t="s">
        <v>103</v>
      </c>
      <c r="K13" s="109">
        <f>53.05*1.038*1.038</f>
        <v>57.1584042</v>
      </c>
      <c r="L13" s="155"/>
      <c r="M13" s="93">
        <v>960</v>
      </c>
      <c r="N13" s="101">
        <f t="shared" si="0"/>
        <v>0</v>
      </c>
      <c r="O13" s="121">
        <f t="shared" ref="O13:O14" si="7">(K13*0.038)+K13</f>
        <v>59.3304235596</v>
      </c>
      <c r="P13" s="100"/>
      <c r="Q13" s="93">
        <v>960</v>
      </c>
      <c r="R13" s="101">
        <f t="shared" si="1"/>
        <v>0</v>
      </c>
      <c r="S13" s="121">
        <f t="shared" ref="S13:S14" si="8">(O13*0.038)+O13</f>
        <v>61.584979654864803</v>
      </c>
      <c r="T13" s="118"/>
      <c r="U13" s="93">
        <v>960</v>
      </c>
      <c r="V13" s="92">
        <f t="shared" si="2"/>
        <v>0</v>
      </c>
      <c r="W13" s="121">
        <f t="shared" ref="W13:W14" si="9">(S13*0.038)+S13</f>
        <v>63.925208881749668</v>
      </c>
      <c r="X13" s="88"/>
      <c r="Y13" s="93">
        <v>960</v>
      </c>
      <c r="Z13" s="92">
        <f t="shared" si="3"/>
        <v>0</v>
      </c>
      <c r="AA13" s="121">
        <f t="shared" ref="AA13:AA14" si="10">(W13*0.038)+W13</f>
        <v>66.354366819256157</v>
      </c>
      <c r="AB13" s="88"/>
      <c r="AC13" s="93">
        <v>960</v>
      </c>
      <c r="AD13" s="95">
        <f t="shared" si="4"/>
        <v>0</v>
      </c>
      <c r="AE13" s="103">
        <f>M13+Q13+U13+Y13+AC13</f>
        <v>4800</v>
      </c>
      <c r="AF13" s="92">
        <f t="shared" si="6"/>
        <v>0</v>
      </c>
    </row>
    <row r="14" spans="1:32" x14ac:dyDescent="0.2">
      <c r="A14" s="86"/>
      <c r="B14" s="41" t="s">
        <v>150</v>
      </c>
      <c r="C14" s="140" t="s">
        <v>5</v>
      </c>
      <c r="D14" s="53"/>
      <c r="E14" s="145" t="s">
        <v>89</v>
      </c>
      <c r="F14" s="173" t="s">
        <v>145</v>
      </c>
      <c r="G14" s="179" t="s">
        <v>95</v>
      </c>
      <c r="H14" s="151">
        <v>441</v>
      </c>
      <c r="I14" s="178"/>
      <c r="J14" s="151" t="s">
        <v>103</v>
      </c>
      <c r="K14" s="109">
        <f>67.09*1.038*1.038</f>
        <v>72.285717959999999</v>
      </c>
      <c r="L14" s="155"/>
      <c r="M14" s="93">
        <v>480</v>
      </c>
      <c r="N14" s="101">
        <f t="shared" si="0"/>
        <v>0</v>
      </c>
      <c r="O14" s="121">
        <f t="shared" si="7"/>
        <v>75.032575242479993</v>
      </c>
      <c r="P14" s="100"/>
      <c r="Q14" s="93">
        <v>480</v>
      </c>
      <c r="R14" s="101">
        <f t="shared" si="1"/>
        <v>0</v>
      </c>
      <c r="S14" s="121">
        <f t="shared" si="8"/>
        <v>77.88381310169423</v>
      </c>
      <c r="T14" s="118"/>
      <c r="U14" s="93">
        <v>480</v>
      </c>
      <c r="V14" s="92">
        <f t="shared" si="2"/>
        <v>0</v>
      </c>
      <c r="W14" s="121">
        <f t="shared" si="9"/>
        <v>80.843397999558604</v>
      </c>
      <c r="X14" s="88"/>
      <c r="Y14" s="93">
        <v>480</v>
      </c>
      <c r="Z14" s="92">
        <f t="shared" si="3"/>
        <v>0</v>
      </c>
      <c r="AA14" s="121">
        <f t="shared" si="10"/>
        <v>83.915447123541838</v>
      </c>
      <c r="AB14" s="88"/>
      <c r="AC14" s="93">
        <v>480</v>
      </c>
      <c r="AD14" s="95">
        <f t="shared" si="4"/>
        <v>0</v>
      </c>
      <c r="AE14" s="103">
        <f>M14+Q14+U14+Y14+AC14</f>
        <v>2400</v>
      </c>
      <c r="AF14" s="92">
        <f t="shared" si="6"/>
        <v>0</v>
      </c>
    </row>
    <row r="15" spans="1:32" x14ac:dyDescent="0.2">
      <c r="A15" s="86"/>
      <c r="B15" s="41" t="s">
        <v>115</v>
      </c>
      <c r="C15" s="140" t="s">
        <v>5</v>
      </c>
      <c r="D15" s="53"/>
      <c r="E15" s="145" t="s">
        <v>89</v>
      </c>
      <c r="F15" s="151" t="s">
        <v>90</v>
      </c>
      <c r="G15" s="152" t="s">
        <v>127</v>
      </c>
      <c r="H15" s="151" t="s">
        <v>95</v>
      </c>
      <c r="I15" s="111"/>
      <c r="J15" s="151" t="s">
        <v>103</v>
      </c>
      <c r="K15" s="109">
        <f>30.4*1.0112</f>
        <v>30.740480000000002</v>
      </c>
      <c r="L15" s="155"/>
      <c r="M15" s="93">
        <v>960</v>
      </c>
      <c r="N15" s="101">
        <f t="shared" si="0"/>
        <v>0</v>
      </c>
      <c r="O15" s="121">
        <f>(K15*0.0112)+K15</f>
        <v>31.084773376000001</v>
      </c>
      <c r="P15" s="100"/>
      <c r="Q15" s="93">
        <v>960</v>
      </c>
      <c r="R15" s="101">
        <f t="shared" si="1"/>
        <v>0</v>
      </c>
      <c r="S15" s="121">
        <f>(O15*0.0112)+O15</f>
        <v>31.432922837811201</v>
      </c>
      <c r="T15" s="118"/>
      <c r="U15" s="93">
        <v>960</v>
      </c>
      <c r="V15" s="92">
        <f t="shared" si="2"/>
        <v>0</v>
      </c>
      <c r="W15" s="121">
        <f>(S15*0.0112)+S15</f>
        <v>31.784971573594685</v>
      </c>
      <c r="X15" s="88"/>
      <c r="Y15" s="93">
        <v>960</v>
      </c>
      <c r="Z15" s="92">
        <f t="shared" si="3"/>
        <v>0</v>
      </c>
      <c r="AA15" s="121">
        <f>(W15*0.0112)+W15</f>
        <v>32.140963255218942</v>
      </c>
      <c r="AB15" s="88"/>
      <c r="AC15" s="93">
        <v>960</v>
      </c>
      <c r="AD15" s="95">
        <f t="shared" si="4"/>
        <v>0</v>
      </c>
      <c r="AE15" s="103">
        <f t="shared" si="5"/>
        <v>4800</v>
      </c>
      <c r="AF15" s="92">
        <f t="shared" si="6"/>
        <v>0</v>
      </c>
    </row>
    <row r="16" spans="1:32" x14ac:dyDescent="0.2">
      <c r="A16" s="86"/>
      <c r="B16" s="41" t="s">
        <v>116</v>
      </c>
      <c r="C16" s="140" t="s">
        <v>5</v>
      </c>
      <c r="D16" s="53"/>
      <c r="E16" s="145" t="s">
        <v>89</v>
      </c>
      <c r="F16" s="151" t="s">
        <v>90</v>
      </c>
      <c r="G16" s="152">
        <v>30064</v>
      </c>
      <c r="H16" s="151" t="s">
        <v>95</v>
      </c>
      <c r="I16" s="111"/>
      <c r="J16" s="151" t="s">
        <v>103</v>
      </c>
      <c r="K16" s="109">
        <f>37.41*1.0112*1.0112</f>
        <v>38.252676710400003</v>
      </c>
      <c r="L16" s="155"/>
      <c r="M16" s="93">
        <v>960</v>
      </c>
      <c r="N16" s="101">
        <f t="shared" si="0"/>
        <v>0</v>
      </c>
      <c r="O16" s="121">
        <f>(K16*0.0112)+K16</f>
        <v>38.681106689556486</v>
      </c>
      <c r="P16" s="100"/>
      <c r="Q16" s="93">
        <v>960</v>
      </c>
      <c r="R16" s="101">
        <f t="shared" si="1"/>
        <v>0</v>
      </c>
      <c r="S16" s="121">
        <f>(O16*0.0112)+O16</f>
        <v>39.114335084479521</v>
      </c>
      <c r="T16" s="118"/>
      <c r="U16" s="93">
        <v>960</v>
      </c>
      <c r="V16" s="92">
        <f t="shared" si="2"/>
        <v>0</v>
      </c>
      <c r="W16" s="121">
        <f>(S16*0.0112)+S16</f>
        <v>39.552415637425689</v>
      </c>
      <c r="X16" s="88"/>
      <c r="Y16" s="93">
        <v>960</v>
      </c>
      <c r="Z16" s="92">
        <f t="shared" si="3"/>
        <v>0</v>
      </c>
      <c r="AA16" s="121">
        <f>(W16*0.0112)+W16</f>
        <v>39.995402692564859</v>
      </c>
      <c r="AB16" s="88"/>
      <c r="AC16" s="93">
        <v>960</v>
      </c>
      <c r="AD16" s="95">
        <f t="shared" si="4"/>
        <v>0</v>
      </c>
      <c r="AE16" s="103">
        <f t="shared" si="5"/>
        <v>4800</v>
      </c>
      <c r="AF16" s="92">
        <f t="shared" si="6"/>
        <v>0</v>
      </c>
    </row>
    <row r="17" spans="1:32" x14ac:dyDescent="0.2">
      <c r="A17" s="86"/>
      <c r="B17" s="41" t="s">
        <v>134</v>
      </c>
      <c r="C17" s="140" t="s">
        <v>5</v>
      </c>
      <c r="D17" s="53"/>
      <c r="E17" s="145" t="s">
        <v>89</v>
      </c>
      <c r="F17" s="151" t="s">
        <v>130</v>
      </c>
      <c r="G17" s="152" t="s">
        <v>95</v>
      </c>
      <c r="H17" s="151" t="s">
        <v>95</v>
      </c>
      <c r="I17" s="111"/>
      <c r="J17" s="151" t="s">
        <v>103</v>
      </c>
      <c r="K17" s="109">
        <f>42.16*1.038*1.038</f>
        <v>45.425039040000001</v>
      </c>
      <c r="L17" s="155"/>
      <c r="M17" s="93">
        <v>960</v>
      </c>
      <c r="N17" s="101">
        <f t="shared" si="0"/>
        <v>0</v>
      </c>
      <c r="O17" s="121">
        <f t="shared" ref="O17" si="11">(K17*0.04)+K17</f>
        <v>47.242040601600003</v>
      </c>
      <c r="P17" s="100"/>
      <c r="Q17" s="93">
        <v>960</v>
      </c>
      <c r="R17" s="101">
        <f t="shared" si="1"/>
        <v>0</v>
      </c>
      <c r="S17" s="121">
        <f>(O17*0.038)+O17</f>
        <v>49.037238144460801</v>
      </c>
      <c r="T17" s="118"/>
      <c r="U17" s="93">
        <v>960</v>
      </c>
      <c r="V17" s="92">
        <f t="shared" si="2"/>
        <v>0</v>
      </c>
      <c r="W17" s="121">
        <f>(S17*0.038)+S17</f>
        <v>50.900653193950312</v>
      </c>
      <c r="X17" s="88"/>
      <c r="Y17" s="93">
        <v>960</v>
      </c>
      <c r="Z17" s="92">
        <f t="shared" si="3"/>
        <v>0</v>
      </c>
      <c r="AA17" s="121">
        <f>(W17*0.038)+W17</f>
        <v>52.834878015320427</v>
      </c>
      <c r="AB17" s="88"/>
      <c r="AC17" s="93">
        <v>960</v>
      </c>
      <c r="AD17" s="95">
        <f t="shared" si="4"/>
        <v>0</v>
      </c>
      <c r="AE17" s="103">
        <f t="shared" si="5"/>
        <v>4800</v>
      </c>
      <c r="AF17" s="92">
        <f t="shared" si="6"/>
        <v>0</v>
      </c>
    </row>
    <row r="18" spans="1:32" x14ac:dyDescent="0.2">
      <c r="A18" s="86"/>
      <c r="B18" s="41" t="s">
        <v>132</v>
      </c>
      <c r="C18" s="140" t="s">
        <v>5</v>
      </c>
      <c r="D18" s="53"/>
      <c r="E18" s="145" t="s">
        <v>89</v>
      </c>
      <c r="F18" s="151" t="s">
        <v>131</v>
      </c>
      <c r="G18" s="152" t="s">
        <v>95</v>
      </c>
      <c r="H18" s="151" t="s">
        <v>95</v>
      </c>
      <c r="I18" s="111"/>
      <c r="J18" s="151" t="s">
        <v>103</v>
      </c>
      <c r="K18" s="109">
        <f>64.62*1.038*1.038</f>
        <v>69.62443128000001</v>
      </c>
      <c r="L18" s="157"/>
      <c r="M18" s="93">
        <v>1920</v>
      </c>
      <c r="N18" s="101">
        <f t="shared" ref="N18:N24" si="12">L18*M18</f>
        <v>0</v>
      </c>
      <c r="O18" s="121">
        <f>(K18*0.038)+K18</f>
        <v>72.270159668640005</v>
      </c>
      <c r="P18" s="100"/>
      <c r="Q18" s="93">
        <v>1920</v>
      </c>
      <c r="R18" s="101">
        <f t="shared" si="1"/>
        <v>0</v>
      </c>
      <c r="S18" s="121">
        <f>(O18*0.038)+O18</f>
        <v>75.016425736048319</v>
      </c>
      <c r="T18" s="118"/>
      <c r="U18" s="93">
        <v>1920</v>
      </c>
      <c r="V18" s="92">
        <f t="shared" si="2"/>
        <v>0</v>
      </c>
      <c r="W18" s="121">
        <f>(S18*0.038)+S18</f>
        <v>77.867049914018153</v>
      </c>
      <c r="X18" s="88"/>
      <c r="Y18" s="93">
        <v>1920</v>
      </c>
      <c r="Z18" s="92">
        <f t="shared" si="3"/>
        <v>0</v>
      </c>
      <c r="AA18" s="121">
        <f>(W18*0.038)+W18</f>
        <v>80.825997810750849</v>
      </c>
      <c r="AB18" s="88"/>
      <c r="AC18" s="93">
        <v>1920</v>
      </c>
      <c r="AD18" s="95">
        <f t="shared" si="4"/>
        <v>0</v>
      </c>
      <c r="AE18" s="103">
        <f t="shared" ref="AE18" si="13">M18+Q18+U18+Y18+AC18</f>
        <v>9600</v>
      </c>
      <c r="AF18" s="92">
        <f t="shared" si="6"/>
        <v>0</v>
      </c>
    </row>
    <row r="19" spans="1:32" ht="22.5" x14ac:dyDescent="0.2">
      <c r="A19" s="86"/>
      <c r="B19" s="180" t="s">
        <v>151</v>
      </c>
      <c r="C19" s="140" t="s">
        <v>5</v>
      </c>
      <c r="D19" s="53"/>
      <c r="E19" s="145" t="s">
        <v>89</v>
      </c>
      <c r="F19" s="151" t="s">
        <v>152</v>
      </c>
      <c r="G19" s="152" t="s">
        <v>95</v>
      </c>
      <c r="H19" s="151" t="s">
        <v>95</v>
      </c>
      <c r="I19" s="111"/>
      <c r="J19" s="151" t="s">
        <v>103</v>
      </c>
      <c r="K19" s="109">
        <f>39.9*1.038*1.038</f>
        <v>42.9900156</v>
      </c>
      <c r="L19" s="157"/>
      <c r="M19" s="93">
        <v>1536</v>
      </c>
      <c r="N19" s="101">
        <f t="shared" si="12"/>
        <v>0</v>
      </c>
      <c r="O19" s="121">
        <f>K19*1.038</f>
        <v>44.623636192799999</v>
      </c>
      <c r="P19" s="100"/>
      <c r="Q19" s="93">
        <v>1536</v>
      </c>
      <c r="R19" s="101">
        <f t="shared" si="1"/>
        <v>0</v>
      </c>
      <c r="S19" s="121">
        <f>O19*1.038</f>
        <v>46.319334368126398</v>
      </c>
      <c r="T19" s="118"/>
      <c r="U19" s="93">
        <v>1536</v>
      </c>
      <c r="V19" s="92">
        <f t="shared" si="2"/>
        <v>0</v>
      </c>
      <c r="W19" s="121">
        <f>S19*1.038</f>
        <v>48.079469074115202</v>
      </c>
      <c r="X19" s="88"/>
      <c r="Y19" s="93">
        <v>1536</v>
      </c>
      <c r="Z19" s="92">
        <f t="shared" si="3"/>
        <v>0</v>
      </c>
      <c r="AA19" s="121">
        <f>W19*1.038</f>
        <v>49.906488898931585</v>
      </c>
      <c r="AB19" s="88"/>
      <c r="AC19" s="93">
        <v>1536</v>
      </c>
      <c r="AD19" s="95">
        <f t="shared" si="4"/>
        <v>0</v>
      </c>
      <c r="AE19" s="103">
        <f>M19+Q19+U19+Y19+AC19</f>
        <v>7680</v>
      </c>
      <c r="AF19" s="92">
        <f t="shared" si="6"/>
        <v>0</v>
      </c>
    </row>
    <row r="20" spans="1:32" ht="22.5" x14ac:dyDescent="0.2">
      <c r="A20" s="86"/>
      <c r="B20" s="180" t="s">
        <v>155</v>
      </c>
      <c r="C20" s="140" t="s">
        <v>5</v>
      </c>
      <c r="D20" s="53"/>
      <c r="E20" s="145" t="s">
        <v>89</v>
      </c>
      <c r="F20" s="151" t="s">
        <v>152</v>
      </c>
      <c r="G20" s="152" t="s">
        <v>95</v>
      </c>
      <c r="H20" s="151" t="s">
        <v>95</v>
      </c>
      <c r="I20" s="111"/>
      <c r="J20" s="151" t="s">
        <v>103</v>
      </c>
      <c r="K20" s="109">
        <f>50.33*1.038*1.038</f>
        <v>54.22775652</v>
      </c>
      <c r="L20" s="157"/>
      <c r="M20" s="93">
        <v>384</v>
      </c>
      <c r="N20" s="101">
        <f t="shared" si="12"/>
        <v>0</v>
      </c>
      <c r="O20" s="121">
        <f>K20*1.038</f>
        <v>56.288411267760004</v>
      </c>
      <c r="P20" s="100"/>
      <c r="Q20" s="93">
        <v>384</v>
      </c>
      <c r="R20" s="101">
        <f t="shared" si="1"/>
        <v>0</v>
      </c>
      <c r="S20" s="121">
        <f>O20*1.038</f>
        <v>58.427370895934885</v>
      </c>
      <c r="T20" s="118"/>
      <c r="U20" s="93">
        <v>384</v>
      </c>
      <c r="V20" s="92">
        <f t="shared" si="2"/>
        <v>0</v>
      </c>
      <c r="W20" s="121">
        <f>S20*1.038</f>
        <v>60.647610989980414</v>
      </c>
      <c r="X20" s="88"/>
      <c r="Y20" s="93">
        <v>384</v>
      </c>
      <c r="Z20" s="92">
        <f t="shared" si="3"/>
        <v>0</v>
      </c>
      <c r="AA20" s="121">
        <f>W20*1.038</f>
        <v>62.952220207599673</v>
      </c>
      <c r="AB20" s="88"/>
      <c r="AC20" s="93">
        <v>384</v>
      </c>
      <c r="AD20" s="95">
        <f t="shared" si="4"/>
        <v>0</v>
      </c>
      <c r="AE20" s="103">
        <f>M20+Q20+U20+Y20+AC20</f>
        <v>1920</v>
      </c>
      <c r="AF20" s="92">
        <f t="shared" si="6"/>
        <v>0</v>
      </c>
    </row>
    <row r="21" spans="1:32" x14ac:dyDescent="0.2">
      <c r="A21" s="86"/>
      <c r="B21" s="180" t="s">
        <v>153</v>
      </c>
      <c r="C21" s="140" t="s">
        <v>5</v>
      </c>
      <c r="D21" s="53"/>
      <c r="E21" s="145" t="s">
        <v>89</v>
      </c>
      <c r="F21" s="151" t="s">
        <v>159</v>
      </c>
      <c r="G21" s="152" t="s">
        <v>95</v>
      </c>
      <c r="H21" s="151" t="s">
        <v>95</v>
      </c>
      <c r="I21" s="111"/>
      <c r="J21" s="151" t="s">
        <v>103</v>
      </c>
      <c r="K21" s="109">
        <f>82.72*1.038*1.038</f>
        <v>89.126167680000009</v>
      </c>
      <c r="L21" s="157"/>
      <c r="M21" s="93">
        <v>1536</v>
      </c>
      <c r="N21" s="101">
        <f>L21*M21</f>
        <v>0</v>
      </c>
      <c r="O21" s="121">
        <f>(K21*0.038)+K21</f>
        <v>92.512962051840006</v>
      </c>
      <c r="P21" s="100"/>
      <c r="Q21" s="93">
        <v>1536</v>
      </c>
      <c r="R21" s="101">
        <f t="shared" si="1"/>
        <v>0</v>
      </c>
      <c r="S21" s="121">
        <f>(O21*0.038)+O21</f>
        <v>96.028454609809927</v>
      </c>
      <c r="T21" s="118"/>
      <c r="U21" s="93">
        <v>1536</v>
      </c>
      <c r="V21" s="92">
        <f t="shared" si="2"/>
        <v>0</v>
      </c>
      <c r="W21" s="121">
        <f>(S21*0.038)+S21</f>
        <v>99.677535884982703</v>
      </c>
      <c r="X21" s="88"/>
      <c r="Y21" s="93">
        <v>1536</v>
      </c>
      <c r="Z21" s="92">
        <f t="shared" si="3"/>
        <v>0</v>
      </c>
      <c r="AA21" s="121">
        <f>(W21*0.038)+W21</f>
        <v>103.46528224861204</v>
      </c>
      <c r="AB21" s="88"/>
      <c r="AC21" s="93">
        <v>1536</v>
      </c>
      <c r="AD21" s="95">
        <f t="shared" si="4"/>
        <v>0</v>
      </c>
      <c r="AE21" s="103">
        <f>M21+Q21+U21+Y21+AC21</f>
        <v>7680</v>
      </c>
      <c r="AF21" s="92">
        <f t="shared" si="6"/>
        <v>0</v>
      </c>
    </row>
    <row r="22" spans="1:32" x14ac:dyDescent="0.2">
      <c r="A22" s="86"/>
      <c r="B22" s="180" t="s">
        <v>154</v>
      </c>
      <c r="C22" s="140" t="s">
        <v>5</v>
      </c>
      <c r="D22" s="53"/>
      <c r="E22" s="145" t="s">
        <v>89</v>
      </c>
      <c r="F22" s="151" t="s">
        <v>159</v>
      </c>
      <c r="G22" s="152" t="s">
        <v>95</v>
      </c>
      <c r="H22" s="151" t="s">
        <v>95</v>
      </c>
      <c r="I22" s="111"/>
      <c r="J22" s="151" t="s">
        <v>103</v>
      </c>
      <c r="K22" s="109">
        <f>88.22*1.038*1.038</f>
        <v>95.052109680000001</v>
      </c>
      <c r="L22" s="157"/>
      <c r="M22" s="93">
        <v>384</v>
      </c>
      <c r="N22" s="101">
        <f t="shared" si="12"/>
        <v>0</v>
      </c>
      <c r="O22" s="121">
        <f>(K22*0.038)+K22</f>
        <v>98.664089847840003</v>
      </c>
      <c r="P22" s="100"/>
      <c r="Q22" s="93">
        <v>384</v>
      </c>
      <c r="R22" s="101">
        <f t="shared" si="1"/>
        <v>0</v>
      </c>
      <c r="S22" s="121">
        <f>O22*1.038</f>
        <v>102.41332526205792</v>
      </c>
      <c r="T22" s="118"/>
      <c r="U22" s="93">
        <v>384</v>
      </c>
      <c r="V22" s="92">
        <f t="shared" si="2"/>
        <v>0</v>
      </c>
      <c r="W22" s="121">
        <f>S22*1.038</f>
        <v>106.30503162201613</v>
      </c>
      <c r="X22" s="88"/>
      <c r="Y22" s="93">
        <v>384</v>
      </c>
      <c r="Z22" s="92">
        <f t="shared" si="3"/>
        <v>0</v>
      </c>
      <c r="AA22" s="121">
        <f>W22*1.038</f>
        <v>110.34462282365274</v>
      </c>
      <c r="AB22" s="88"/>
      <c r="AC22" s="93">
        <v>384</v>
      </c>
      <c r="AD22" s="95">
        <f t="shared" si="4"/>
        <v>0</v>
      </c>
      <c r="AE22" s="103">
        <f>M22+Q22+U22+Y22+AC22</f>
        <v>1920</v>
      </c>
      <c r="AF22" s="92">
        <f t="shared" si="6"/>
        <v>0</v>
      </c>
    </row>
    <row r="23" spans="1:32" x14ac:dyDescent="0.2">
      <c r="A23" s="86"/>
      <c r="B23" s="41" t="s">
        <v>117</v>
      </c>
      <c r="C23" s="140" t="s">
        <v>5</v>
      </c>
      <c r="D23" s="53"/>
      <c r="E23" s="145" t="s">
        <v>89</v>
      </c>
      <c r="F23" s="151" t="s">
        <v>84</v>
      </c>
      <c r="G23" s="152" t="s">
        <v>128</v>
      </c>
      <c r="H23" s="152" t="s">
        <v>95</v>
      </c>
      <c r="I23" s="111"/>
      <c r="J23" s="151" t="s">
        <v>103</v>
      </c>
      <c r="K23" s="109">
        <f>29.46*1.0112*1.0112</f>
        <v>30.123599462400005</v>
      </c>
      <c r="L23" s="155"/>
      <c r="M23" s="93">
        <v>1920</v>
      </c>
      <c r="N23" s="101">
        <f t="shared" si="12"/>
        <v>0</v>
      </c>
      <c r="O23" s="121">
        <f>(K23*0.0112)+K23</f>
        <v>30.460983776378885</v>
      </c>
      <c r="P23" s="100"/>
      <c r="Q23" s="93">
        <v>1920</v>
      </c>
      <c r="R23" s="101">
        <f t="shared" ref="R23:R24" si="14">P23*Q23</f>
        <v>0</v>
      </c>
      <c r="S23" s="121">
        <f t="shared" ref="S23:S52" si="15">(O23*0.0112)+O23</f>
        <v>30.802146794674329</v>
      </c>
      <c r="T23" s="118"/>
      <c r="U23" s="93">
        <v>1920</v>
      </c>
      <c r="V23" s="92">
        <f t="shared" ref="V23:V24" si="16">T23*U23</f>
        <v>0</v>
      </c>
      <c r="W23" s="121">
        <f t="shared" ref="W23:W52" si="17">(S23*0.0112)+S23</f>
        <v>31.147130838774682</v>
      </c>
      <c r="X23" s="88"/>
      <c r="Y23" s="93">
        <v>1920</v>
      </c>
      <c r="Z23" s="92">
        <f t="shared" ref="Z23:Z24" si="18">X23*Y23</f>
        <v>0</v>
      </c>
      <c r="AA23" s="121">
        <f t="shared" ref="AA23:AA52" si="19">(W23*0.0112)+W23</f>
        <v>31.495978704168959</v>
      </c>
      <c r="AB23" s="88"/>
      <c r="AC23" s="93">
        <v>1920</v>
      </c>
      <c r="AD23" s="95">
        <f t="shared" ref="AD23:AD24" si="20">AB23*AC23</f>
        <v>0</v>
      </c>
      <c r="AE23" s="103">
        <f>M23+Q23+U23+Y23+AC23</f>
        <v>9600</v>
      </c>
      <c r="AF23" s="92">
        <f t="shared" ref="AF23:AF24" si="21">N23+R23+V23+Z23+AD23</f>
        <v>0</v>
      </c>
    </row>
    <row r="24" spans="1:32" x14ac:dyDescent="0.2">
      <c r="A24" s="86"/>
      <c r="B24" s="41" t="s">
        <v>117</v>
      </c>
      <c r="C24" s="140" t="s">
        <v>5</v>
      </c>
      <c r="D24" s="53"/>
      <c r="E24" s="145" t="s">
        <v>89</v>
      </c>
      <c r="F24" s="151" t="s">
        <v>84</v>
      </c>
      <c r="G24" s="152" t="s">
        <v>128</v>
      </c>
      <c r="H24" s="152" t="s">
        <v>95</v>
      </c>
      <c r="I24" s="111"/>
      <c r="J24" s="151" t="s">
        <v>103</v>
      </c>
      <c r="K24" s="109">
        <f>29.46*1.0112*1.0112</f>
        <v>30.123599462400005</v>
      </c>
      <c r="L24" s="155"/>
      <c r="M24" s="93">
        <v>1920</v>
      </c>
      <c r="N24" s="101">
        <f t="shared" si="12"/>
        <v>0</v>
      </c>
      <c r="O24" s="121">
        <f t="shared" ref="O24:O51" si="22">(K24*0.0112)+K24</f>
        <v>30.460983776378885</v>
      </c>
      <c r="P24" s="100"/>
      <c r="Q24" s="93">
        <v>1920</v>
      </c>
      <c r="R24" s="101">
        <f t="shared" si="14"/>
        <v>0</v>
      </c>
      <c r="S24" s="121">
        <f t="shared" si="15"/>
        <v>30.802146794674329</v>
      </c>
      <c r="T24" s="118"/>
      <c r="U24" s="93">
        <v>1920</v>
      </c>
      <c r="V24" s="92">
        <f t="shared" si="16"/>
        <v>0</v>
      </c>
      <c r="W24" s="121">
        <f t="shared" si="17"/>
        <v>31.147130838774682</v>
      </c>
      <c r="X24" s="88"/>
      <c r="Y24" s="93">
        <v>1920</v>
      </c>
      <c r="Z24" s="92">
        <f t="shared" si="18"/>
        <v>0</v>
      </c>
      <c r="AA24" s="121">
        <f t="shared" si="19"/>
        <v>31.495978704168959</v>
      </c>
      <c r="AB24" s="88"/>
      <c r="AC24" s="93">
        <v>1920</v>
      </c>
      <c r="AD24" s="95">
        <f t="shared" si="20"/>
        <v>0</v>
      </c>
      <c r="AE24" s="103">
        <f t="shared" ref="AE24" si="23">M24+Q24+U24+Y24+AC24</f>
        <v>9600</v>
      </c>
      <c r="AF24" s="92">
        <f t="shared" si="21"/>
        <v>0</v>
      </c>
    </row>
    <row r="25" spans="1:32" x14ac:dyDescent="0.2">
      <c r="A25" s="86"/>
      <c r="B25" s="41" t="s">
        <v>117</v>
      </c>
      <c r="C25" s="140" t="s">
        <v>5</v>
      </c>
      <c r="D25" s="53"/>
      <c r="E25" s="145" t="s">
        <v>89</v>
      </c>
      <c r="F25" s="151" t="s">
        <v>84</v>
      </c>
      <c r="G25" s="152" t="s">
        <v>128</v>
      </c>
      <c r="H25" s="152" t="s">
        <v>95</v>
      </c>
      <c r="I25" s="111"/>
      <c r="J25" s="151" t="s">
        <v>103</v>
      </c>
      <c r="K25" s="109">
        <f>29.46*1.0112*1.0112</f>
        <v>30.123599462400005</v>
      </c>
      <c r="L25" s="155"/>
      <c r="M25" s="93">
        <v>1440</v>
      </c>
      <c r="N25" s="101">
        <f t="shared" si="0"/>
        <v>0</v>
      </c>
      <c r="O25" s="121">
        <f t="shared" si="22"/>
        <v>30.460983776378885</v>
      </c>
      <c r="P25" s="100"/>
      <c r="Q25" s="93">
        <v>1440</v>
      </c>
      <c r="R25" s="101">
        <f t="shared" si="1"/>
        <v>0</v>
      </c>
      <c r="S25" s="121">
        <f t="shared" si="15"/>
        <v>30.802146794674329</v>
      </c>
      <c r="T25" s="118"/>
      <c r="U25" s="93">
        <v>1440</v>
      </c>
      <c r="V25" s="92">
        <f t="shared" si="2"/>
        <v>0</v>
      </c>
      <c r="W25" s="121">
        <f t="shared" si="17"/>
        <v>31.147130838774682</v>
      </c>
      <c r="X25" s="88"/>
      <c r="Y25" s="93">
        <v>1440</v>
      </c>
      <c r="Z25" s="92">
        <f t="shared" si="3"/>
        <v>0</v>
      </c>
      <c r="AA25" s="121">
        <f t="shared" si="19"/>
        <v>31.495978704168959</v>
      </c>
      <c r="AB25" s="88"/>
      <c r="AC25" s="93">
        <v>1440</v>
      </c>
      <c r="AD25" s="95">
        <f t="shared" si="4"/>
        <v>0</v>
      </c>
      <c r="AE25" s="103">
        <f t="shared" si="5"/>
        <v>7200</v>
      </c>
      <c r="AF25" s="92">
        <f t="shared" ref="AF15:AF54" si="24">N25+R25+V25+Z25+AD25</f>
        <v>0</v>
      </c>
    </row>
    <row r="26" spans="1:32" x14ac:dyDescent="0.2">
      <c r="A26" s="86"/>
      <c r="B26" s="41" t="s">
        <v>93</v>
      </c>
      <c r="C26" s="140" t="s">
        <v>5</v>
      </c>
      <c r="D26" s="53"/>
      <c r="E26" s="145" t="s">
        <v>89</v>
      </c>
      <c r="F26" s="173" t="s">
        <v>84</v>
      </c>
      <c r="G26" s="179">
        <v>23182</v>
      </c>
      <c r="H26" s="184" t="s">
        <v>95</v>
      </c>
      <c r="I26" s="112"/>
      <c r="J26" s="151" t="s">
        <v>103</v>
      </c>
      <c r="K26" s="109">
        <f>31.27*1.0112*1.0112</f>
        <v>31.974370508800007</v>
      </c>
      <c r="L26" s="156"/>
      <c r="M26" s="93">
        <v>1920</v>
      </c>
      <c r="N26" s="101">
        <f t="shared" ref="N26:N27" si="25">L26*M26</f>
        <v>0</v>
      </c>
      <c r="O26" s="121">
        <f t="shared" si="22"/>
        <v>32.332483458498565</v>
      </c>
      <c r="P26" s="100"/>
      <c r="Q26" s="93">
        <v>1920</v>
      </c>
      <c r="R26" s="101">
        <f t="shared" ref="R26:R27" si="26">P26*Q26</f>
        <v>0</v>
      </c>
      <c r="S26" s="121">
        <f t="shared" si="15"/>
        <v>32.69460727323375</v>
      </c>
      <c r="T26" s="118"/>
      <c r="U26" s="93">
        <v>1920</v>
      </c>
      <c r="V26" s="92">
        <f t="shared" ref="V26:V27" si="27">T26*U26</f>
        <v>0</v>
      </c>
      <c r="W26" s="121">
        <f t="shared" si="17"/>
        <v>33.060786874693967</v>
      </c>
      <c r="X26" s="88"/>
      <c r="Y26" s="93">
        <v>1920</v>
      </c>
      <c r="Z26" s="92">
        <f t="shared" ref="Z26:Z27" si="28">X26*Y26</f>
        <v>0</v>
      </c>
      <c r="AA26" s="121">
        <f t="shared" si="19"/>
        <v>33.431067687690543</v>
      </c>
      <c r="AB26" s="88"/>
      <c r="AC26" s="93">
        <v>1920</v>
      </c>
      <c r="AD26" s="95">
        <f t="shared" ref="AD26:AD27" si="29">AB26*AC26</f>
        <v>0</v>
      </c>
      <c r="AE26" s="103">
        <f t="shared" ref="AE26:AE27" si="30">M26+Q26+U26+Y26+AC26</f>
        <v>9600</v>
      </c>
      <c r="AF26" s="92">
        <f t="shared" ref="AF26:AF27" si="31">N26+R26+V26+Z26+AD26</f>
        <v>0</v>
      </c>
    </row>
    <row r="27" spans="1:32" x14ac:dyDescent="0.2">
      <c r="A27" s="86"/>
      <c r="B27" s="41" t="s">
        <v>93</v>
      </c>
      <c r="C27" s="140" t="s">
        <v>5</v>
      </c>
      <c r="D27" s="53"/>
      <c r="E27" s="145" t="s">
        <v>89</v>
      </c>
      <c r="F27" s="173" t="s">
        <v>84</v>
      </c>
      <c r="G27" s="179">
        <v>23182</v>
      </c>
      <c r="H27" s="184" t="s">
        <v>95</v>
      </c>
      <c r="I27" s="112"/>
      <c r="J27" s="151" t="s">
        <v>103</v>
      </c>
      <c r="K27" s="109">
        <f>31.27*1.0112*1.0112</f>
        <v>31.974370508800007</v>
      </c>
      <c r="L27" s="156"/>
      <c r="M27" s="93">
        <v>1920</v>
      </c>
      <c r="N27" s="101">
        <f t="shared" si="25"/>
        <v>0</v>
      </c>
      <c r="O27" s="121">
        <f t="shared" si="22"/>
        <v>32.332483458498565</v>
      </c>
      <c r="P27" s="100"/>
      <c r="Q27" s="93">
        <v>1920</v>
      </c>
      <c r="R27" s="101">
        <f t="shared" si="26"/>
        <v>0</v>
      </c>
      <c r="S27" s="121">
        <f t="shared" si="15"/>
        <v>32.69460727323375</v>
      </c>
      <c r="T27" s="118"/>
      <c r="U27" s="93">
        <v>1920</v>
      </c>
      <c r="V27" s="92">
        <f t="shared" si="27"/>
        <v>0</v>
      </c>
      <c r="W27" s="121">
        <f t="shared" si="17"/>
        <v>33.060786874693967</v>
      </c>
      <c r="X27" s="88"/>
      <c r="Y27" s="93">
        <v>1920</v>
      </c>
      <c r="Z27" s="92">
        <f t="shared" si="28"/>
        <v>0</v>
      </c>
      <c r="AA27" s="121">
        <f t="shared" si="19"/>
        <v>33.431067687690543</v>
      </c>
      <c r="AB27" s="88"/>
      <c r="AC27" s="93">
        <v>1920</v>
      </c>
      <c r="AD27" s="95">
        <f t="shared" si="29"/>
        <v>0</v>
      </c>
      <c r="AE27" s="103">
        <f t="shared" si="30"/>
        <v>9600</v>
      </c>
      <c r="AF27" s="92">
        <f t="shared" si="31"/>
        <v>0</v>
      </c>
    </row>
    <row r="28" spans="1:32" x14ac:dyDescent="0.2">
      <c r="A28" s="86"/>
      <c r="B28" s="41" t="s">
        <v>93</v>
      </c>
      <c r="C28" s="140" t="s">
        <v>5</v>
      </c>
      <c r="D28" s="53"/>
      <c r="E28" s="145" t="s">
        <v>89</v>
      </c>
      <c r="F28" s="173" t="s">
        <v>84</v>
      </c>
      <c r="G28" s="179">
        <v>23182</v>
      </c>
      <c r="H28" s="184" t="s">
        <v>95</v>
      </c>
      <c r="I28" s="112"/>
      <c r="J28" s="151" t="s">
        <v>103</v>
      </c>
      <c r="K28" s="109">
        <f>31.27*1.0112*1.0112</f>
        <v>31.974370508800007</v>
      </c>
      <c r="L28" s="156"/>
      <c r="M28" s="93">
        <v>1920</v>
      </c>
      <c r="N28" s="101">
        <f t="shared" si="0"/>
        <v>0</v>
      </c>
      <c r="O28" s="121">
        <f t="shared" si="22"/>
        <v>32.332483458498565</v>
      </c>
      <c r="P28" s="100"/>
      <c r="Q28" s="93">
        <v>1920</v>
      </c>
      <c r="R28" s="101">
        <f t="shared" si="1"/>
        <v>0</v>
      </c>
      <c r="S28" s="121">
        <f t="shared" si="15"/>
        <v>32.69460727323375</v>
      </c>
      <c r="T28" s="118"/>
      <c r="U28" s="93">
        <v>1920</v>
      </c>
      <c r="V28" s="92">
        <f t="shared" si="2"/>
        <v>0</v>
      </c>
      <c r="W28" s="121">
        <f t="shared" si="17"/>
        <v>33.060786874693967</v>
      </c>
      <c r="X28" s="88"/>
      <c r="Y28" s="93">
        <v>1920</v>
      </c>
      <c r="Z28" s="92">
        <f t="shared" si="3"/>
        <v>0</v>
      </c>
      <c r="AA28" s="121">
        <f t="shared" si="19"/>
        <v>33.431067687690543</v>
      </c>
      <c r="AB28" s="88"/>
      <c r="AC28" s="93">
        <v>1920</v>
      </c>
      <c r="AD28" s="95">
        <f t="shared" si="4"/>
        <v>0</v>
      </c>
      <c r="AE28" s="103">
        <f t="shared" si="5"/>
        <v>9600</v>
      </c>
      <c r="AF28" s="92">
        <f t="shared" si="24"/>
        <v>0</v>
      </c>
    </row>
    <row r="29" spans="1:32" x14ac:dyDescent="0.2">
      <c r="A29" s="86"/>
      <c r="B29" s="41" t="s">
        <v>93</v>
      </c>
      <c r="C29" s="140" t="s">
        <v>5</v>
      </c>
      <c r="D29" s="53"/>
      <c r="E29" s="145" t="s">
        <v>89</v>
      </c>
      <c r="F29" s="173" t="s">
        <v>84</v>
      </c>
      <c r="G29" s="179">
        <v>23182</v>
      </c>
      <c r="H29" s="184" t="s">
        <v>95</v>
      </c>
      <c r="I29" s="112"/>
      <c r="J29" s="151" t="s">
        <v>103</v>
      </c>
      <c r="K29" s="109">
        <f>31.27*1.0112*1.0112</f>
        <v>31.974370508800007</v>
      </c>
      <c r="L29" s="156"/>
      <c r="M29" s="93">
        <v>1920</v>
      </c>
      <c r="N29" s="101">
        <f t="shared" ref="N29" si="32">L29*M29</f>
        <v>0</v>
      </c>
      <c r="O29" s="121">
        <f t="shared" si="22"/>
        <v>32.332483458498565</v>
      </c>
      <c r="P29" s="100"/>
      <c r="Q29" s="93">
        <v>1920</v>
      </c>
      <c r="R29" s="101">
        <f t="shared" ref="R29" si="33">P29*Q29</f>
        <v>0</v>
      </c>
      <c r="S29" s="121">
        <f t="shared" si="15"/>
        <v>32.69460727323375</v>
      </c>
      <c r="T29" s="118"/>
      <c r="U29" s="93">
        <v>1920</v>
      </c>
      <c r="V29" s="92">
        <f t="shared" ref="V29" si="34">T29*U29</f>
        <v>0</v>
      </c>
      <c r="W29" s="121">
        <f t="shared" si="17"/>
        <v>33.060786874693967</v>
      </c>
      <c r="X29" s="88"/>
      <c r="Y29" s="93">
        <v>1920</v>
      </c>
      <c r="Z29" s="92">
        <f t="shared" ref="Z29" si="35">X29*Y29</f>
        <v>0</v>
      </c>
      <c r="AA29" s="121">
        <f t="shared" si="19"/>
        <v>33.431067687690543</v>
      </c>
      <c r="AB29" s="88"/>
      <c r="AC29" s="93">
        <v>1920</v>
      </c>
      <c r="AD29" s="95">
        <f t="shared" ref="AD29" si="36">AB29*AC29</f>
        <v>0</v>
      </c>
      <c r="AE29" s="103">
        <f t="shared" ref="AE29" si="37">M29+Q29+U29+Y29+AC29</f>
        <v>9600</v>
      </c>
      <c r="AF29" s="92">
        <f t="shared" ref="AF29" si="38">N29+R29+V29+Z29+AD29</f>
        <v>0</v>
      </c>
    </row>
    <row r="30" spans="1:32" x14ac:dyDescent="0.2">
      <c r="A30" s="86"/>
      <c r="B30" s="41" t="s">
        <v>93</v>
      </c>
      <c r="C30" s="140" t="s">
        <v>5</v>
      </c>
      <c r="D30" s="53"/>
      <c r="E30" s="145" t="s">
        <v>89</v>
      </c>
      <c r="F30" s="173" t="s">
        <v>84</v>
      </c>
      <c r="G30" s="179">
        <v>23182</v>
      </c>
      <c r="H30" s="184" t="s">
        <v>95</v>
      </c>
      <c r="I30" s="112"/>
      <c r="J30" s="151" t="s">
        <v>103</v>
      </c>
      <c r="K30" s="109">
        <f>31.27*1.0112*1.0112</f>
        <v>31.974370508800007</v>
      </c>
      <c r="L30" s="156"/>
      <c r="M30" s="93">
        <v>480</v>
      </c>
      <c r="N30" s="101">
        <f t="shared" ref="N30:N32" si="39">L30*M30</f>
        <v>0</v>
      </c>
      <c r="O30" s="121">
        <f t="shared" si="22"/>
        <v>32.332483458498565</v>
      </c>
      <c r="P30" s="100"/>
      <c r="Q30" s="93">
        <v>480</v>
      </c>
      <c r="R30" s="101">
        <f t="shared" ref="R30:R32" si="40">P30*Q30</f>
        <v>0</v>
      </c>
      <c r="S30" s="121">
        <f t="shared" si="15"/>
        <v>32.69460727323375</v>
      </c>
      <c r="T30" s="118"/>
      <c r="U30" s="93">
        <v>480</v>
      </c>
      <c r="V30" s="92">
        <f t="shared" ref="V30:V32" si="41">T30*U30</f>
        <v>0</v>
      </c>
      <c r="W30" s="121">
        <f t="shared" si="17"/>
        <v>33.060786874693967</v>
      </c>
      <c r="X30" s="88"/>
      <c r="Y30" s="93">
        <v>480</v>
      </c>
      <c r="Z30" s="92">
        <f t="shared" ref="Z30:Z32" si="42">X30*Y30</f>
        <v>0</v>
      </c>
      <c r="AA30" s="121">
        <f t="shared" si="19"/>
        <v>33.431067687690543</v>
      </c>
      <c r="AB30" s="88"/>
      <c r="AC30" s="93">
        <v>480</v>
      </c>
      <c r="AD30" s="95">
        <f t="shared" ref="AD30:AD32" si="43">AB30*AC30</f>
        <v>0</v>
      </c>
      <c r="AE30" s="103">
        <f t="shared" ref="AE30:AE32" si="44">M30+Q30+U30+Y30+AC30</f>
        <v>2400</v>
      </c>
      <c r="AF30" s="92">
        <f t="shared" ref="AF30:AF32" si="45">N30+R30+V30+Z30+AD30</f>
        <v>0</v>
      </c>
    </row>
    <row r="31" spans="1:32" x14ac:dyDescent="0.2">
      <c r="A31" s="86"/>
      <c r="B31" s="41" t="s">
        <v>118</v>
      </c>
      <c r="C31" s="140" t="s">
        <v>5</v>
      </c>
      <c r="D31" s="53"/>
      <c r="E31" s="145" t="s">
        <v>89</v>
      </c>
      <c r="F31" s="151" t="s">
        <v>84</v>
      </c>
      <c r="G31" s="154">
        <v>23183</v>
      </c>
      <c r="H31" s="152" t="s">
        <v>95</v>
      </c>
      <c r="I31" s="110"/>
      <c r="J31" s="151" t="s">
        <v>103</v>
      </c>
      <c r="K31" s="109">
        <f>32.92*1.0112*1.0112</f>
        <v>33.661537484800007</v>
      </c>
      <c r="L31" s="159"/>
      <c r="M31" s="93">
        <v>1920</v>
      </c>
      <c r="N31" s="101">
        <f t="shared" si="39"/>
        <v>0</v>
      </c>
      <c r="O31" s="121">
        <f t="shared" si="22"/>
        <v>34.038546704629766</v>
      </c>
      <c r="P31" s="100"/>
      <c r="Q31" s="93">
        <v>1920</v>
      </c>
      <c r="R31" s="101">
        <f t="shared" si="40"/>
        <v>0</v>
      </c>
      <c r="S31" s="121">
        <f t="shared" si="15"/>
        <v>34.419778427721617</v>
      </c>
      <c r="T31" s="118"/>
      <c r="U31" s="93">
        <v>1920</v>
      </c>
      <c r="V31" s="92">
        <f t="shared" si="41"/>
        <v>0</v>
      </c>
      <c r="W31" s="121">
        <f t="shared" si="17"/>
        <v>34.805279946112101</v>
      </c>
      <c r="X31" s="90"/>
      <c r="Y31" s="93">
        <v>1920</v>
      </c>
      <c r="Z31" s="92">
        <f t="shared" si="42"/>
        <v>0</v>
      </c>
      <c r="AA31" s="121">
        <f t="shared" si="19"/>
        <v>35.195099081508559</v>
      </c>
      <c r="AB31" s="90"/>
      <c r="AC31" s="93">
        <v>1920</v>
      </c>
      <c r="AD31" s="95">
        <f t="shared" si="43"/>
        <v>0</v>
      </c>
      <c r="AE31" s="103">
        <f t="shared" si="44"/>
        <v>9600</v>
      </c>
      <c r="AF31" s="92">
        <f t="shared" si="45"/>
        <v>0</v>
      </c>
    </row>
    <row r="32" spans="1:32" x14ac:dyDescent="0.2">
      <c r="A32" s="86"/>
      <c r="B32" s="41" t="s">
        <v>118</v>
      </c>
      <c r="C32" s="140" t="s">
        <v>5</v>
      </c>
      <c r="D32" s="53"/>
      <c r="E32" s="145" t="s">
        <v>89</v>
      </c>
      <c r="F32" s="151" t="s">
        <v>84</v>
      </c>
      <c r="G32" s="154">
        <v>23183</v>
      </c>
      <c r="H32" s="152" t="s">
        <v>95</v>
      </c>
      <c r="I32" s="110"/>
      <c r="J32" s="151" t="s">
        <v>103</v>
      </c>
      <c r="K32" s="109">
        <f>32.92*1.0112*1.0112</f>
        <v>33.661537484800007</v>
      </c>
      <c r="L32" s="159"/>
      <c r="M32" s="93">
        <v>1920</v>
      </c>
      <c r="N32" s="101">
        <f t="shared" si="39"/>
        <v>0</v>
      </c>
      <c r="O32" s="121">
        <f>(K32*0.0112)+K32</f>
        <v>34.038546704629766</v>
      </c>
      <c r="P32" s="100"/>
      <c r="Q32" s="93">
        <v>1920</v>
      </c>
      <c r="R32" s="101">
        <f t="shared" si="40"/>
        <v>0</v>
      </c>
      <c r="S32" s="121">
        <f t="shared" si="15"/>
        <v>34.419778427721617</v>
      </c>
      <c r="T32" s="118"/>
      <c r="U32" s="93">
        <v>1920</v>
      </c>
      <c r="V32" s="92">
        <f t="shared" si="41"/>
        <v>0</v>
      </c>
      <c r="W32" s="121">
        <f t="shared" si="17"/>
        <v>34.805279946112101</v>
      </c>
      <c r="X32" s="90"/>
      <c r="Y32" s="93">
        <v>1920</v>
      </c>
      <c r="Z32" s="92">
        <f t="shared" si="42"/>
        <v>0</v>
      </c>
      <c r="AA32" s="121">
        <f t="shared" si="19"/>
        <v>35.195099081508559</v>
      </c>
      <c r="AB32" s="90"/>
      <c r="AC32" s="93">
        <v>1920</v>
      </c>
      <c r="AD32" s="95">
        <f t="shared" si="43"/>
        <v>0</v>
      </c>
      <c r="AE32" s="103">
        <f t="shared" si="44"/>
        <v>9600</v>
      </c>
      <c r="AF32" s="92">
        <f t="shared" si="45"/>
        <v>0</v>
      </c>
    </row>
    <row r="33" spans="1:32" x14ac:dyDescent="0.2">
      <c r="A33" s="86"/>
      <c r="B33" s="41" t="s">
        <v>118</v>
      </c>
      <c r="C33" s="140" t="s">
        <v>5</v>
      </c>
      <c r="D33" s="53"/>
      <c r="E33" s="145" t="s">
        <v>89</v>
      </c>
      <c r="F33" s="151" t="s">
        <v>84</v>
      </c>
      <c r="G33" s="154">
        <v>23183</v>
      </c>
      <c r="H33" s="152" t="s">
        <v>95</v>
      </c>
      <c r="I33" s="110"/>
      <c r="J33" s="151" t="s">
        <v>103</v>
      </c>
      <c r="K33" s="109">
        <f>32.92*1.0112*1.0112</f>
        <v>33.661537484800007</v>
      </c>
      <c r="L33" s="159"/>
      <c r="M33" s="93">
        <v>1920</v>
      </c>
      <c r="N33" s="101">
        <f t="shared" si="0"/>
        <v>0</v>
      </c>
      <c r="O33" s="121">
        <f t="shared" si="22"/>
        <v>34.038546704629766</v>
      </c>
      <c r="P33" s="100"/>
      <c r="Q33" s="93">
        <v>1920</v>
      </c>
      <c r="R33" s="101">
        <f t="shared" si="1"/>
        <v>0</v>
      </c>
      <c r="S33" s="121">
        <f t="shared" si="15"/>
        <v>34.419778427721617</v>
      </c>
      <c r="T33" s="118"/>
      <c r="U33" s="93">
        <v>1920</v>
      </c>
      <c r="V33" s="92">
        <f t="shared" si="2"/>
        <v>0</v>
      </c>
      <c r="W33" s="121">
        <f t="shared" si="17"/>
        <v>34.805279946112101</v>
      </c>
      <c r="X33" s="90"/>
      <c r="Y33" s="93">
        <v>1920</v>
      </c>
      <c r="Z33" s="92">
        <f t="shared" si="3"/>
        <v>0</v>
      </c>
      <c r="AA33" s="121">
        <f t="shared" si="19"/>
        <v>35.195099081508559</v>
      </c>
      <c r="AB33" s="90"/>
      <c r="AC33" s="93">
        <v>1920</v>
      </c>
      <c r="AD33" s="95">
        <f t="shared" si="4"/>
        <v>0</v>
      </c>
      <c r="AE33" s="103">
        <f t="shared" si="5"/>
        <v>9600</v>
      </c>
      <c r="AF33" s="92">
        <f t="shared" si="24"/>
        <v>0</v>
      </c>
    </row>
    <row r="34" spans="1:32" x14ac:dyDescent="0.2">
      <c r="A34" s="86"/>
      <c r="B34" s="41" t="s">
        <v>119</v>
      </c>
      <c r="C34" s="140" t="s">
        <v>5</v>
      </c>
      <c r="D34" s="53"/>
      <c r="E34" s="145" t="s">
        <v>89</v>
      </c>
      <c r="F34" s="151" t="s">
        <v>94</v>
      </c>
      <c r="G34" s="154">
        <v>30082</v>
      </c>
      <c r="H34" s="152" t="s">
        <v>95</v>
      </c>
      <c r="I34" s="83"/>
      <c r="J34" s="151" t="s">
        <v>103</v>
      </c>
      <c r="K34" s="109">
        <f>25.72*1.0112*1.0112</f>
        <v>26.299354316800002</v>
      </c>
      <c r="L34" s="160"/>
      <c r="M34" s="93">
        <v>1920</v>
      </c>
      <c r="N34" s="101">
        <f t="shared" si="0"/>
        <v>0</v>
      </c>
      <c r="O34" s="121">
        <f t="shared" si="22"/>
        <v>26.593907085148164</v>
      </c>
      <c r="P34" s="100"/>
      <c r="Q34" s="93">
        <v>1920</v>
      </c>
      <c r="R34" s="101">
        <f t="shared" si="1"/>
        <v>0</v>
      </c>
      <c r="S34" s="121">
        <f t="shared" si="15"/>
        <v>26.891758844501823</v>
      </c>
      <c r="T34" s="91"/>
      <c r="U34" s="93">
        <v>1920</v>
      </c>
      <c r="V34" s="92">
        <f t="shared" si="2"/>
        <v>0</v>
      </c>
      <c r="W34" s="121">
        <f t="shared" si="17"/>
        <v>27.192946543560243</v>
      </c>
      <c r="X34" s="89"/>
      <c r="Y34" s="93">
        <v>1920</v>
      </c>
      <c r="Z34" s="92">
        <f t="shared" si="3"/>
        <v>0</v>
      </c>
      <c r="AA34" s="121">
        <f t="shared" si="19"/>
        <v>27.497507544848119</v>
      </c>
      <c r="AB34" s="89"/>
      <c r="AC34" s="93">
        <v>1920</v>
      </c>
      <c r="AD34" s="95">
        <f t="shared" si="4"/>
        <v>0</v>
      </c>
      <c r="AE34" s="103">
        <f t="shared" si="5"/>
        <v>9600</v>
      </c>
      <c r="AF34" s="92">
        <f t="shared" si="24"/>
        <v>0</v>
      </c>
    </row>
    <row r="35" spans="1:32" x14ac:dyDescent="0.2">
      <c r="A35" s="86"/>
      <c r="B35" s="41" t="s">
        <v>119</v>
      </c>
      <c r="C35" s="140" t="s">
        <v>5</v>
      </c>
      <c r="D35" s="53"/>
      <c r="E35" s="145" t="s">
        <v>89</v>
      </c>
      <c r="F35" s="151" t="s">
        <v>94</v>
      </c>
      <c r="G35" s="154">
        <v>30082</v>
      </c>
      <c r="H35" s="152" t="s">
        <v>95</v>
      </c>
      <c r="I35" s="83"/>
      <c r="J35" s="151" t="s">
        <v>103</v>
      </c>
      <c r="K35" s="109">
        <f>25.72*1.0112*1.0112</f>
        <v>26.299354316800002</v>
      </c>
      <c r="L35" s="160"/>
      <c r="M35" s="93">
        <v>1920</v>
      </c>
      <c r="N35" s="101">
        <f t="shared" ref="N35" si="46">L35*M35</f>
        <v>0</v>
      </c>
      <c r="O35" s="121">
        <f t="shared" si="22"/>
        <v>26.593907085148164</v>
      </c>
      <c r="P35" s="100"/>
      <c r="Q35" s="93">
        <v>1920</v>
      </c>
      <c r="R35" s="101">
        <f t="shared" ref="R35" si="47">P35*Q35</f>
        <v>0</v>
      </c>
      <c r="S35" s="121">
        <f t="shared" si="15"/>
        <v>26.891758844501823</v>
      </c>
      <c r="T35" s="91"/>
      <c r="U35" s="93">
        <v>1920</v>
      </c>
      <c r="V35" s="92">
        <f t="shared" ref="V35" si="48">T35*U35</f>
        <v>0</v>
      </c>
      <c r="W35" s="121">
        <f t="shared" si="17"/>
        <v>27.192946543560243</v>
      </c>
      <c r="X35" s="89"/>
      <c r="Y35" s="93">
        <v>1920</v>
      </c>
      <c r="Z35" s="92">
        <f t="shared" ref="Z35" si="49">X35*Y35</f>
        <v>0</v>
      </c>
      <c r="AA35" s="121">
        <f t="shared" si="19"/>
        <v>27.497507544848119</v>
      </c>
      <c r="AB35" s="89"/>
      <c r="AC35" s="93">
        <v>1920</v>
      </c>
      <c r="AD35" s="95">
        <f t="shared" ref="AD35" si="50">AB35*AC35</f>
        <v>0</v>
      </c>
      <c r="AE35" s="103">
        <f t="shared" ref="AE35" si="51">M35+Q35+U35+Y35+AC35</f>
        <v>9600</v>
      </c>
      <c r="AF35" s="92">
        <f t="shared" ref="AF35" si="52">N35+R35+V35+Z35+AD35</f>
        <v>0</v>
      </c>
    </row>
    <row r="36" spans="1:32" x14ac:dyDescent="0.2">
      <c r="A36" s="86"/>
      <c r="B36" s="41" t="s">
        <v>120</v>
      </c>
      <c r="C36" s="140" t="s">
        <v>5</v>
      </c>
      <c r="D36" s="53"/>
      <c r="E36" s="145" t="s">
        <v>92</v>
      </c>
      <c r="F36" s="151" t="s">
        <v>94</v>
      </c>
      <c r="G36" s="154">
        <v>30082</v>
      </c>
      <c r="H36" s="152" t="s">
        <v>95</v>
      </c>
      <c r="I36" s="83"/>
      <c r="J36" s="151" t="s">
        <v>103</v>
      </c>
      <c r="K36" s="109">
        <f>K35*1.5</f>
        <v>39.449031475200002</v>
      </c>
      <c r="L36" s="160"/>
      <c r="M36" s="93">
        <v>576</v>
      </c>
      <c r="N36" s="101">
        <f t="shared" si="0"/>
        <v>0</v>
      </c>
      <c r="O36" s="121">
        <f t="shared" si="22"/>
        <v>39.89086062772224</v>
      </c>
      <c r="P36" s="100"/>
      <c r="Q36" s="93">
        <v>576</v>
      </c>
      <c r="R36" s="101">
        <f t="shared" si="1"/>
        <v>0</v>
      </c>
      <c r="S36" s="121">
        <f t="shared" si="15"/>
        <v>40.337638266752727</v>
      </c>
      <c r="T36" s="91"/>
      <c r="U36" s="93">
        <v>576</v>
      </c>
      <c r="V36" s="92">
        <f t="shared" si="2"/>
        <v>0</v>
      </c>
      <c r="W36" s="121">
        <f t="shared" si="17"/>
        <v>40.789419815340359</v>
      </c>
      <c r="X36" s="89"/>
      <c r="Y36" s="93">
        <v>576</v>
      </c>
      <c r="Z36" s="92">
        <f t="shared" si="3"/>
        <v>0</v>
      </c>
      <c r="AA36" s="121">
        <f t="shared" si="19"/>
        <v>41.246261317272172</v>
      </c>
      <c r="AB36" s="89"/>
      <c r="AC36" s="93">
        <v>576</v>
      </c>
      <c r="AD36" s="95">
        <f t="shared" si="4"/>
        <v>0</v>
      </c>
      <c r="AE36" s="103">
        <f t="shared" si="5"/>
        <v>2880</v>
      </c>
      <c r="AF36" s="92">
        <f t="shared" si="24"/>
        <v>0</v>
      </c>
    </row>
    <row r="37" spans="1:32" x14ac:dyDescent="0.2">
      <c r="A37" s="86"/>
      <c r="B37" s="41" t="s">
        <v>121</v>
      </c>
      <c r="C37" s="140" t="s">
        <v>5</v>
      </c>
      <c r="D37" s="53"/>
      <c r="E37" s="145" t="s">
        <v>89</v>
      </c>
      <c r="F37" s="151" t="s">
        <v>94</v>
      </c>
      <c r="G37" s="154">
        <v>30083</v>
      </c>
      <c r="H37" s="152" t="s">
        <v>95</v>
      </c>
      <c r="I37" s="110"/>
      <c r="J37" s="151" t="s">
        <v>103</v>
      </c>
      <c r="K37" s="109">
        <f>28.79*1.0112*1.0112</f>
        <v>29.438507417600004</v>
      </c>
      <c r="L37" s="160"/>
      <c r="M37" s="93">
        <v>1920</v>
      </c>
      <c r="N37" s="101">
        <f t="shared" ref="N37" si="53">L37*M37</f>
        <v>0</v>
      </c>
      <c r="O37" s="121">
        <f t="shared" si="22"/>
        <v>29.768218700677124</v>
      </c>
      <c r="P37" s="100"/>
      <c r="Q37" s="93">
        <v>1920</v>
      </c>
      <c r="R37" s="101">
        <f t="shared" ref="R37" si="54">P37*Q37</f>
        <v>0</v>
      </c>
      <c r="S37" s="121">
        <f t="shared" si="15"/>
        <v>30.101622750124708</v>
      </c>
      <c r="T37" s="91"/>
      <c r="U37" s="93">
        <v>1920</v>
      </c>
      <c r="V37" s="92">
        <f t="shared" ref="V37" si="55">T37*U37</f>
        <v>0</v>
      </c>
      <c r="W37" s="121">
        <f t="shared" si="17"/>
        <v>30.438760924926104</v>
      </c>
      <c r="X37" s="89"/>
      <c r="Y37" s="93">
        <v>1920</v>
      </c>
      <c r="Z37" s="92">
        <f t="shared" ref="Z37" si="56">X37*Y37</f>
        <v>0</v>
      </c>
      <c r="AA37" s="121">
        <f t="shared" si="19"/>
        <v>30.779675047285277</v>
      </c>
      <c r="AB37" s="89"/>
      <c r="AC37" s="93">
        <v>1920</v>
      </c>
      <c r="AD37" s="95">
        <f t="shared" ref="AD37" si="57">AB37*AC37</f>
        <v>0</v>
      </c>
      <c r="AE37" s="103">
        <f t="shared" ref="AE37" si="58">M37+Q37+U37+Y37+AC37</f>
        <v>9600</v>
      </c>
      <c r="AF37" s="92">
        <f t="shared" ref="AF37" si="59">N37+R37+V37+Z37+AD37</f>
        <v>0</v>
      </c>
    </row>
    <row r="38" spans="1:32" x14ac:dyDescent="0.2">
      <c r="A38" s="86"/>
      <c r="B38" s="41" t="s">
        <v>121</v>
      </c>
      <c r="C38" s="140" t="s">
        <v>5</v>
      </c>
      <c r="D38" s="53"/>
      <c r="E38" s="145" t="s">
        <v>89</v>
      </c>
      <c r="F38" s="151" t="s">
        <v>94</v>
      </c>
      <c r="G38" s="154">
        <v>30083</v>
      </c>
      <c r="H38" s="152" t="s">
        <v>95</v>
      </c>
      <c r="I38" s="110"/>
      <c r="J38" s="151" t="s">
        <v>103</v>
      </c>
      <c r="K38" s="109">
        <f>28.79*1.0112*1.0112</f>
        <v>29.438507417600004</v>
      </c>
      <c r="L38" s="160"/>
      <c r="M38" s="93">
        <v>1920</v>
      </c>
      <c r="N38" s="101">
        <f t="shared" ref="N38:N39" si="60">L38*M38</f>
        <v>0</v>
      </c>
      <c r="O38" s="121">
        <f t="shared" si="22"/>
        <v>29.768218700677124</v>
      </c>
      <c r="P38" s="100"/>
      <c r="Q38" s="93">
        <v>1920</v>
      </c>
      <c r="R38" s="101">
        <f t="shared" ref="R38:R39" si="61">P38*Q38</f>
        <v>0</v>
      </c>
      <c r="S38" s="121">
        <f t="shared" si="15"/>
        <v>30.101622750124708</v>
      </c>
      <c r="T38" s="91"/>
      <c r="U38" s="93">
        <v>1920</v>
      </c>
      <c r="V38" s="92">
        <f t="shared" ref="V38:V39" si="62">T38*U38</f>
        <v>0</v>
      </c>
      <c r="W38" s="121">
        <f t="shared" si="17"/>
        <v>30.438760924926104</v>
      </c>
      <c r="X38" s="89"/>
      <c r="Y38" s="93">
        <v>1920</v>
      </c>
      <c r="Z38" s="92">
        <f t="shared" ref="Z38:Z39" si="63">X38*Y38</f>
        <v>0</v>
      </c>
      <c r="AA38" s="121">
        <f t="shared" si="19"/>
        <v>30.779675047285277</v>
      </c>
      <c r="AB38" s="89"/>
      <c r="AC38" s="93">
        <v>1920</v>
      </c>
      <c r="AD38" s="95">
        <f t="shared" ref="AD38:AD39" si="64">AB38*AC38</f>
        <v>0</v>
      </c>
      <c r="AE38" s="103">
        <f t="shared" ref="AE38:AE39" si="65">M38+Q38+U38+Y38+AC38</f>
        <v>9600</v>
      </c>
      <c r="AF38" s="92">
        <f t="shared" ref="AF38:AF39" si="66">N38+R38+V38+Z38+AD38</f>
        <v>0</v>
      </c>
    </row>
    <row r="39" spans="1:32" x14ac:dyDescent="0.2">
      <c r="A39" s="86"/>
      <c r="B39" s="41" t="s">
        <v>121</v>
      </c>
      <c r="C39" s="140" t="s">
        <v>5</v>
      </c>
      <c r="D39" s="53"/>
      <c r="E39" s="145" t="s">
        <v>89</v>
      </c>
      <c r="F39" s="151" t="s">
        <v>94</v>
      </c>
      <c r="G39" s="154">
        <v>30083</v>
      </c>
      <c r="H39" s="152" t="s">
        <v>95</v>
      </c>
      <c r="I39" s="110"/>
      <c r="J39" s="151" t="s">
        <v>103</v>
      </c>
      <c r="K39" s="109">
        <f>28.79*1.0112*1.0112</f>
        <v>29.438507417600004</v>
      </c>
      <c r="L39" s="160"/>
      <c r="M39" s="93">
        <v>1920</v>
      </c>
      <c r="N39" s="101">
        <f t="shared" si="60"/>
        <v>0</v>
      </c>
      <c r="O39" s="121">
        <f t="shared" si="22"/>
        <v>29.768218700677124</v>
      </c>
      <c r="P39" s="100"/>
      <c r="Q39" s="93">
        <v>1920</v>
      </c>
      <c r="R39" s="101">
        <f t="shared" si="61"/>
        <v>0</v>
      </c>
      <c r="S39" s="121">
        <f t="shared" si="15"/>
        <v>30.101622750124708</v>
      </c>
      <c r="T39" s="91"/>
      <c r="U39" s="93">
        <v>1920</v>
      </c>
      <c r="V39" s="92">
        <f t="shared" si="62"/>
        <v>0</v>
      </c>
      <c r="W39" s="121">
        <f t="shared" si="17"/>
        <v>30.438760924926104</v>
      </c>
      <c r="X39" s="89"/>
      <c r="Y39" s="93">
        <v>1920</v>
      </c>
      <c r="Z39" s="92">
        <f t="shared" si="63"/>
        <v>0</v>
      </c>
      <c r="AA39" s="121">
        <f t="shared" si="19"/>
        <v>30.779675047285277</v>
      </c>
      <c r="AB39" s="89"/>
      <c r="AC39" s="93">
        <v>1920</v>
      </c>
      <c r="AD39" s="95">
        <f t="shared" si="64"/>
        <v>0</v>
      </c>
      <c r="AE39" s="103">
        <f t="shared" si="65"/>
        <v>9600</v>
      </c>
      <c r="AF39" s="92">
        <f t="shared" si="66"/>
        <v>0</v>
      </c>
    </row>
    <row r="40" spans="1:32" x14ac:dyDescent="0.2">
      <c r="A40" s="86"/>
      <c r="B40" s="41" t="s">
        <v>121</v>
      </c>
      <c r="C40" s="140" t="s">
        <v>5</v>
      </c>
      <c r="D40" s="53"/>
      <c r="E40" s="145" t="s">
        <v>89</v>
      </c>
      <c r="F40" s="151" t="s">
        <v>94</v>
      </c>
      <c r="G40" s="154">
        <v>30083</v>
      </c>
      <c r="H40" s="152" t="s">
        <v>95</v>
      </c>
      <c r="I40" s="110"/>
      <c r="J40" s="151" t="s">
        <v>103</v>
      </c>
      <c r="K40" s="109">
        <f>28.79*1.0112*1.0112</f>
        <v>29.438507417600004</v>
      </c>
      <c r="L40" s="160"/>
      <c r="M40" s="93">
        <v>480</v>
      </c>
      <c r="N40" s="101">
        <f t="shared" si="0"/>
        <v>0</v>
      </c>
      <c r="O40" s="121">
        <f t="shared" si="22"/>
        <v>29.768218700677124</v>
      </c>
      <c r="P40" s="100"/>
      <c r="Q40" s="93">
        <v>480</v>
      </c>
      <c r="R40" s="101">
        <f t="shared" si="1"/>
        <v>0</v>
      </c>
      <c r="S40" s="121">
        <f t="shared" si="15"/>
        <v>30.101622750124708</v>
      </c>
      <c r="T40" s="91"/>
      <c r="U40" s="93">
        <v>480</v>
      </c>
      <c r="V40" s="92">
        <f t="shared" si="2"/>
        <v>0</v>
      </c>
      <c r="W40" s="121">
        <f t="shared" si="17"/>
        <v>30.438760924926104</v>
      </c>
      <c r="X40" s="89"/>
      <c r="Y40" s="93">
        <v>480</v>
      </c>
      <c r="Z40" s="92">
        <f t="shared" si="3"/>
        <v>0</v>
      </c>
      <c r="AA40" s="121">
        <f t="shared" si="19"/>
        <v>30.779675047285277</v>
      </c>
      <c r="AB40" s="89"/>
      <c r="AC40" s="93">
        <v>480</v>
      </c>
      <c r="AD40" s="95">
        <f t="shared" si="4"/>
        <v>0</v>
      </c>
      <c r="AE40" s="103">
        <f t="shared" si="5"/>
        <v>2400</v>
      </c>
      <c r="AF40" s="92">
        <f t="shared" si="24"/>
        <v>0</v>
      </c>
    </row>
    <row r="41" spans="1:32" ht="12" customHeight="1" x14ac:dyDescent="0.2">
      <c r="A41" s="86"/>
      <c r="B41" s="41" t="s">
        <v>122</v>
      </c>
      <c r="C41" s="140" t="s">
        <v>5</v>
      </c>
      <c r="D41" s="53"/>
      <c r="E41" s="145" t="s">
        <v>92</v>
      </c>
      <c r="F41" s="151" t="s">
        <v>94</v>
      </c>
      <c r="G41" s="154">
        <v>30083</v>
      </c>
      <c r="H41" s="152" t="s">
        <v>95</v>
      </c>
      <c r="I41" s="110"/>
      <c r="J41" s="151" t="s">
        <v>103</v>
      </c>
      <c r="K41" s="109">
        <f>K40*1.5</f>
        <v>44.157761126400004</v>
      </c>
      <c r="L41" s="161"/>
      <c r="M41" s="93">
        <v>960</v>
      </c>
      <c r="N41" s="101">
        <f t="shared" si="0"/>
        <v>0</v>
      </c>
      <c r="O41" s="121">
        <f t="shared" si="22"/>
        <v>44.652328051015687</v>
      </c>
      <c r="P41" s="100"/>
      <c r="Q41" s="93">
        <v>960</v>
      </c>
      <c r="R41" s="101">
        <f t="shared" si="1"/>
        <v>0</v>
      </c>
      <c r="S41" s="121">
        <f t="shared" si="15"/>
        <v>45.152434125187064</v>
      </c>
      <c r="T41" s="91"/>
      <c r="U41" s="93">
        <v>960</v>
      </c>
      <c r="V41" s="92">
        <f t="shared" si="2"/>
        <v>0</v>
      </c>
      <c r="W41" s="121">
        <f t="shared" si="17"/>
        <v>45.658141387389158</v>
      </c>
      <c r="X41" s="90"/>
      <c r="Y41" s="93">
        <v>960</v>
      </c>
      <c r="Z41" s="92">
        <f t="shared" si="3"/>
        <v>0</v>
      </c>
      <c r="AA41" s="121">
        <f t="shared" si="19"/>
        <v>46.169512570927914</v>
      </c>
      <c r="AB41" s="90"/>
      <c r="AC41" s="93">
        <v>960</v>
      </c>
      <c r="AD41" s="95">
        <f t="shared" si="4"/>
        <v>0</v>
      </c>
      <c r="AE41" s="103">
        <f t="shared" si="5"/>
        <v>4800</v>
      </c>
      <c r="AF41" s="92">
        <f t="shared" si="24"/>
        <v>0</v>
      </c>
    </row>
    <row r="42" spans="1:32" x14ac:dyDescent="0.2">
      <c r="A42" s="86"/>
      <c r="B42" s="41" t="s">
        <v>123</v>
      </c>
      <c r="C42" s="140" t="s">
        <v>5</v>
      </c>
      <c r="D42" s="53"/>
      <c r="E42" s="145" t="s">
        <v>89</v>
      </c>
      <c r="F42" s="151" t="s">
        <v>94</v>
      </c>
      <c r="G42" s="154">
        <v>30084</v>
      </c>
      <c r="H42" s="152" t="s">
        <v>95</v>
      </c>
      <c r="I42" s="110"/>
      <c r="J42" s="151" t="s">
        <v>103</v>
      </c>
      <c r="K42" s="109">
        <f>35.64*1.0112*1.0112</f>
        <v>36.442806681600004</v>
      </c>
      <c r="L42" s="160"/>
      <c r="M42" s="93">
        <v>1920</v>
      </c>
      <c r="N42" s="101">
        <f t="shared" ref="N42:N44" si="67">L42*M42</f>
        <v>0</v>
      </c>
      <c r="O42" s="121">
        <f t="shared" si="22"/>
        <v>36.850966116433924</v>
      </c>
      <c r="P42" s="100"/>
      <c r="Q42" s="93">
        <v>1920</v>
      </c>
      <c r="R42" s="101">
        <f t="shared" ref="R42:R44" si="68">P42*Q42</f>
        <v>0</v>
      </c>
      <c r="S42" s="121">
        <f t="shared" si="15"/>
        <v>37.263696936937983</v>
      </c>
      <c r="T42" s="91"/>
      <c r="U42" s="93">
        <v>1920</v>
      </c>
      <c r="V42" s="92">
        <f t="shared" ref="V42:V44" si="69">T42*U42</f>
        <v>0</v>
      </c>
      <c r="W42" s="121">
        <f t="shared" si="17"/>
        <v>37.681050342631686</v>
      </c>
      <c r="X42" s="90"/>
      <c r="Y42" s="93">
        <v>1920</v>
      </c>
      <c r="Z42" s="92">
        <f t="shared" ref="Z42:Z44" si="70">X42*Y42</f>
        <v>0</v>
      </c>
      <c r="AA42" s="121">
        <f t="shared" si="19"/>
        <v>38.103078106469162</v>
      </c>
      <c r="AB42" s="90"/>
      <c r="AC42" s="93">
        <v>1920</v>
      </c>
      <c r="AD42" s="95">
        <f t="shared" ref="AD42:AD44" si="71">AB42*AC42</f>
        <v>0</v>
      </c>
      <c r="AE42" s="103">
        <f t="shared" ref="AE42:AE44" si="72">M42+Q42+U42+Y42+AC42</f>
        <v>9600</v>
      </c>
      <c r="AF42" s="92">
        <f t="shared" ref="AF42:AF44" si="73">N42+R42+V42+Z42+AD42</f>
        <v>0</v>
      </c>
    </row>
    <row r="43" spans="1:32" x14ac:dyDescent="0.2">
      <c r="A43" s="86"/>
      <c r="B43" s="41" t="s">
        <v>123</v>
      </c>
      <c r="C43" s="140" t="s">
        <v>5</v>
      </c>
      <c r="D43" s="53"/>
      <c r="E43" s="145" t="s">
        <v>89</v>
      </c>
      <c r="F43" s="151" t="s">
        <v>94</v>
      </c>
      <c r="G43" s="154">
        <v>30084</v>
      </c>
      <c r="H43" s="152" t="s">
        <v>95</v>
      </c>
      <c r="I43" s="110"/>
      <c r="J43" s="151" t="s">
        <v>103</v>
      </c>
      <c r="K43" s="109">
        <f>35.64*1.0112*1.0112</f>
        <v>36.442806681600004</v>
      </c>
      <c r="L43" s="160"/>
      <c r="M43" s="93">
        <v>1920</v>
      </c>
      <c r="N43" s="101">
        <f t="shared" si="67"/>
        <v>0</v>
      </c>
      <c r="O43" s="121">
        <f t="shared" si="22"/>
        <v>36.850966116433924</v>
      </c>
      <c r="P43" s="100"/>
      <c r="Q43" s="93">
        <v>1920</v>
      </c>
      <c r="R43" s="101">
        <f t="shared" si="68"/>
        <v>0</v>
      </c>
      <c r="S43" s="121">
        <f t="shared" si="15"/>
        <v>37.263696936937983</v>
      </c>
      <c r="T43" s="91"/>
      <c r="U43" s="93">
        <v>1920</v>
      </c>
      <c r="V43" s="92">
        <f t="shared" si="69"/>
        <v>0</v>
      </c>
      <c r="W43" s="121">
        <f t="shared" si="17"/>
        <v>37.681050342631686</v>
      </c>
      <c r="X43" s="90"/>
      <c r="Y43" s="93">
        <v>1920</v>
      </c>
      <c r="Z43" s="92">
        <f t="shared" si="70"/>
        <v>0</v>
      </c>
      <c r="AA43" s="121">
        <f t="shared" si="19"/>
        <v>38.103078106469162</v>
      </c>
      <c r="AB43" s="90"/>
      <c r="AC43" s="93">
        <v>1920</v>
      </c>
      <c r="AD43" s="95">
        <f t="shared" si="71"/>
        <v>0</v>
      </c>
      <c r="AE43" s="103">
        <f t="shared" si="72"/>
        <v>9600</v>
      </c>
      <c r="AF43" s="92">
        <f t="shared" si="73"/>
        <v>0</v>
      </c>
    </row>
    <row r="44" spans="1:32" x14ac:dyDescent="0.2">
      <c r="A44" s="86"/>
      <c r="B44" s="41" t="s">
        <v>123</v>
      </c>
      <c r="C44" s="140" t="s">
        <v>5</v>
      </c>
      <c r="D44" s="53"/>
      <c r="E44" s="145" t="s">
        <v>89</v>
      </c>
      <c r="F44" s="151" t="s">
        <v>94</v>
      </c>
      <c r="G44" s="154">
        <v>30084</v>
      </c>
      <c r="H44" s="152" t="s">
        <v>95</v>
      </c>
      <c r="I44" s="110"/>
      <c r="J44" s="151" t="s">
        <v>103</v>
      </c>
      <c r="K44" s="109">
        <f>35.64*1.0112*1.0112</f>
        <v>36.442806681600004</v>
      </c>
      <c r="L44" s="160"/>
      <c r="M44" s="93">
        <v>1920</v>
      </c>
      <c r="N44" s="101">
        <f t="shared" si="67"/>
        <v>0</v>
      </c>
      <c r="O44" s="121">
        <f t="shared" si="22"/>
        <v>36.850966116433924</v>
      </c>
      <c r="P44" s="100"/>
      <c r="Q44" s="93">
        <v>1920</v>
      </c>
      <c r="R44" s="101">
        <f t="shared" si="68"/>
        <v>0</v>
      </c>
      <c r="S44" s="121">
        <f t="shared" si="15"/>
        <v>37.263696936937983</v>
      </c>
      <c r="T44" s="91"/>
      <c r="U44" s="93">
        <v>1920</v>
      </c>
      <c r="V44" s="92">
        <f t="shared" si="69"/>
        <v>0</v>
      </c>
      <c r="W44" s="121">
        <f t="shared" si="17"/>
        <v>37.681050342631686</v>
      </c>
      <c r="X44" s="90"/>
      <c r="Y44" s="93">
        <v>1920</v>
      </c>
      <c r="Z44" s="92">
        <f t="shared" si="70"/>
        <v>0</v>
      </c>
      <c r="AA44" s="121">
        <f t="shared" si="19"/>
        <v>38.103078106469162</v>
      </c>
      <c r="AB44" s="90"/>
      <c r="AC44" s="93">
        <v>1920</v>
      </c>
      <c r="AD44" s="95">
        <f t="shared" si="71"/>
        <v>0</v>
      </c>
      <c r="AE44" s="103">
        <f t="shared" si="72"/>
        <v>9600</v>
      </c>
      <c r="AF44" s="92">
        <f t="shared" si="73"/>
        <v>0</v>
      </c>
    </row>
    <row r="45" spans="1:32" x14ac:dyDescent="0.2">
      <c r="A45" s="86"/>
      <c r="B45" s="41" t="s">
        <v>123</v>
      </c>
      <c r="C45" s="140" t="s">
        <v>5</v>
      </c>
      <c r="D45" s="53"/>
      <c r="E45" s="145" t="s">
        <v>89</v>
      </c>
      <c r="F45" s="151" t="s">
        <v>94</v>
      </c>
      <c r="G45" s="154">
        <v>30084</v>
      </c>
      <c r="H45" s="152" t="s">
        <v>95</v>
      </c>
      <c r="I45" s="110"/>
      <c r="J45" s="151" t="s">
        <v>103</v>
      </c>
      <c r="K45" s="109">
        <f>35.64*1.0112*1.0112</f>
        <v>36.442806681600004</v>
      </c>
      <c r="L45" s="160"/>
      <c r="M45" s="93">
        <v>960</v>
      </c>
      <c r="N45" s="101">
        <f t="shared" si="0"/>
        <v>0</v>
      </c>
      <c r="O45" s="121">
        <f t="shared" si="22"/>
        <v>36.850966116433924</v>
      </c>
      <c r="P45" s="100"/>
      <c r="Q45" s="93">
        <v>960</v>
      </c>
      <c r="R45" s="101">
        <f t="shared" si="1"/>
        <v>0</v>
      </c>
      <c r="S45" s="121">
        <f t="shared" si="15"/>
        <v>37.263696936937983</v>
      </c>
      <c r="T45" s="91"/>
      <c r="U45" s="93">
        <v>960</v>
      </c>
      <c r="V45" s="92">
        <f t="shared" si="2"/>
        <v>0</v>
      </c>
      <c r="W45" s="121">
        <f t="shared" si="17"/>
        <v>37.681050342631686</v>
      </c>
      <c r="X45" s="90"/>
      <c r="Y45" s="93">
        <v>960</v>
      </c>
      <c r="Z45" s="92">
        <f t="shared" si="3"/>
        <v>0</v>
      </c>
      <c r="AA45" s="121">
        <f t="shared" si="19"/>
        <v>38.103078106469162</v>
      </c>
      <c r="AB45" s="90"/>
      <c r="AC45" s="93">
        <v>960</v>
      </c>
      <c r="AD45" s="95">
        <f t="shared" si="4"/>
        <v>0</v>
      </c>
      <c r="AE45" s="103">
        <f t="shared" si="5"/>
        <v>4800</v>
      </c>
      <c r="AF45" s="92">
        <f t="shared" si="24"/>
        <v>0</v>
      </c>
    </row>
    <row r="46" spans="1:32" x14ac:dyDescent="0.2">
      <c r="A46" s="86"/>
      <c r="B46" s="41" t="s">
        <v>124</v>
      </c>
      <c r="C46" s="140" t="s">
        <v>5</v>
      </c>
      <c r="D46" s="53"/>
      <c r="E46" s="145" t="s">
        <v>92</v>
      </c>
      <c r="F46" s="151" t="s">
        <v>94</v>
      </c>
      <c r="G46" s="154">
        <v>30084</v>
      </c>
      <c r="H46" s="152" t="s">
        <v>95</v>
      </c>
      <c r="I46" s="110"/>
      <c r="J46" s="151" t="s">
        <v>103</v>
      </c>
      <c r="K46" s="109">
        <f>K45*1.5</f>
        <v>54.664210022400006</v>
      </c>
      <c r="L46" s="158"/>
      <c r="M46" s="93">
        <v>960</v>
      </c>
      <c r="N46" s="101">
        <f t="shared" si="0"/>
        <v>0</v>
      </c>
      <c r="O46" s="121">
        <f t="shared" si="22"/>
        <v>55.276449174650885</v>
      </c>
      <c r="P46" s="100"/>
      <c r="Q46" s="93">
        <v>960</v>
      </c>
      <c r="R46" s="101">
        <f t="shared" si="1"/>
        <v>0</v>
      </c>
      <c r="S46" s="121">
        <f t="shared" si="15"/>
        <v>55.895545405406978</v>
      </c>
      <c r="T46" s="91"/>
      <c r="U46" s="93">
        <v>960</v>
      </c>
      <c r="V46" s="92">
        <f t="shared" si="2"/>
        <v>0</v>
      </c>
      <c r="W46" s="121">
        <f t="shared" si="17"/>
        <v>56.521575513947539</v>
      </c>
      <c r="X46" s="90"/>
      <c r="Y46" s="93">
        <v>960</v>
      </c>
      <c r="Z46" s="92">
        <f t="shared" si="3"/>
        <v>0</v>
      </c>
      <c r="AA46" s="121">
        <f t="shared" si="19"/>
        <v>57.154617159703754</v>
      </c>
      <c r="AB46" s="90"/>
      <c r="AC46" s="93">
        <v>960</v>
      </c>
      <c r="AD46" s="95">
        <f t="shared" si="4"/>
        <v>0</v>
      </c>
      <c r="AE46" s="103">
        <f t="shared" si="5"/>
        <v>4800</v>
      </c>
      <c r="AF46" s="92">
        <f t="shared" si="24"/>
        <v>0</v>
      </c>
    </row>
    <row r="47" spans="1:32" x14ac:dyDescent="0.2">
      <c r="A47" s="86"/>
      <c r="B47" s="41" t="s">
        <v>125</v>
      </c>
      <c r="C47" s="140" t="s">
        <v>5</v>
      </c>
      <c r="D47" s="53"/>
      <c r="E47" s="145" t="s">
        <v>89</v>
      </c>
      <c r="F47" s="151" t="s">
        <v>94</v>
      </c>
      <c r="G47" s="154">
        <v>30085</v>
      </c>
      <c r="H47" s="152" t="s">
        <v>95</v>
      </c>
      <c r="I47" s="110"/>
      <c r="J47" s="151" t="s">
        <v>103</v>
      </c>
      <c r="K47" s="109">
        <f>43.61*1.0112*1.0112</f>
        <v>44.592334438400009</v>
      </c>
      <c r="L47" s="160"/>
      <c r="M47" s="93">
        <v>1920</v>
      </c>
      <c r="N47" s="101">
        <f t="shared" ref="N47:N48" si="74">L47*M47</f>
        <v>0</v>
      </c>
      <c r="O47" s="121">
        <f t="shared" si="22"/>
        <v>45.091768584110092</v>
      </c>
      <c r="P47" s="100"/>
      <c r="Q47" s="93">
        <v>1920</v>
      </c>
      <c r="R47" s="101">
        <f t="shared" ref="R47:R48" si="75">P47*Q47</f>
        <v>0</v>
      </c>
      <c r="S47" s="121">
        <f t="shared" si="15"/>
        <v>45.596796392252124</v>
      </c>
      <c r="T47" s="91"/>
      <c r="U47" s="93">
        <v>1920</v>
      </c>
      <c r="V47" s="92">
        <f t="shared" ref="V47:V48" si="76">T47*U47</f>
        <v>0</v>
      </c>
      <c r="W47" s="121">
        <f t="shared" si="17"/>
        <v>46.107480511845345</v>
      </c>
      <c r="X47" s="90"/>
      <c r="Y47" s="93">
        <v>1920</v>
      </c>
      <c r="Z47" s="92">
        <f t="shared" ref="Z47:Z48" si="77">X47*Y47</f>
        <v>0</v>
      </c>
      <c r="AA47" s="121">
        <f t="shared" si="19"/>
        <v>46.623884293578016</v>
      </c>
      <c r="AB47" s="90"/>
      <c r="AC47" s="93">
        <v>1920</v>
      </c>
      <c r="AD47" s="95">
        <f t="shared" ref="AD47:AD48" si="78">AB47*AC47</f>
        <v>0</v>
      </c>
      <c r="AE47" s="103">
        <f t="shared" ref="AE47:AE48" si="79">M47+Q47+U47+Y47+AC47</f>
        <v>9600</v>
      </c>
      <c r="AF47" s="92">
        <f t="shared" ref="AF47:AF48" si="80">N47+R47+V47+Z47+AD47</f>
        <v>0</v>
      </c>
    </row>
    <row r="48" spans="1:32" x14ac:dyDescent="0.2">
      <c r="A48" s="86"/>
      <c r="B48" s="41" t="s">
        <v>125</v>
      </c>
      <c r="C48" s="140" t="s">
        <v>5</v>
      </c>
      <c r="D48" s="53"/>
      <c r="E48" s="145" t="s">
        <v>89</v>
      </c>
      <c r="F48" s="151" t="s">
        <v>94</v>
      </c>
      <c r="G48" s="154">
        <v>30085</v>
      </c>
      <c r="H48" s="152" t="s">
        <v>95</v>
      </c>
      <c r="I48" s="110"/>
      <c r="J48" s="151" t="s">
        <v>103</v>
      </c>
      <c r="K48" s="109">
        <f>43.61*1.0112*1.0112</f>
        <v>44.592334438400009</v>
      </c>
      <c r="L48" s="160"/>
      <c r="M48" s="93">
        <v>1920</v>
      </c>
      <c r="N48" s="101">
        <f t="shared" si="74"/>
        <v>0</v>
      </c>
      <c r="O48" s="121">
        <f t="shared" si="22"/>
        <v>45.091768584110092</v>
      </c>
      <c r="P48" s="100"/>
      <c r="Q48" s="93">
        <v>1920</v>
      </c>
      <c r="R48" s="101">
        <f t="shared" si="75"/>
        <v>0</v>
      </c>
      <c r="S48" s="121">
        <f t="shared" si="15"/>
        <v>45.596796392252124</v>
      </c>
      <c r="T48" s="91"/>
      <c r="U48" s="93">
        <v>1920</v>
      </c>
      <c r="V48" s="92">
        <f t="shared" si="76"/>
        <v>0</v>
      </c>
      <c r="W48" s="121">
        <f t="shared" si="17"/>
        <v>46.107480511845345</v>
      </c>
      <c r="X48" s="90"/>
      <c r="Y48" s="93">
        <v>1920</v>
      </c>
      <c r="Z48" s="92">
        <f t="shared" si="77"/>
        <v>0</v>
      </c>
      <c r="AA48" s="121">
        <f t="shared" si="19"/>
        <v>46.623884293578016</v>
      </c>
      <c r="AB48" s="90"/>
      <c r="AC48" s="93">
        <v>1920</v>
      </c>
      <c r="AD48" s="95">
        <f t="shared" si="78"/>
        <v>0</v>
      </c>
      <c r="AE48" s="103">
        <f t="shared" si="79"/>
        <v>9600</v>
      </c>
      <c r="AF48" s="92">
        <f t="shared" si="80"/>
        <v>0</v>
      </c>
    </row>
    <row r="49" spans="1:32" x14ac:dyDescent="0.2">
      <c r="A49" s="86"/>
      <c r="B49" s="41" t="s">
        <v>125</v>
      </c>
      <c r="C49" s="140" t="s">
        <v>5</v>
      </c>
      <c r="D49" s="53"/>
      <c r="E49" s="145" t="s">
        <v>89</v>
      </c>
      <c r="F49" s="151" t="s">
        <v>94</v>
      </c>
      <c r="G49" s="154">
        <v>30085</v>
      </c>
      <c r="H49" s="152" t="s">
        <v>95</v>
      </c>
      <c r="I49" s="110"/>
      <c r="J49" s="151" t="s">
        <v>103</v>
      </c>
      <c r="K49" s="109">
        <f>43.61*1.0112*1.0112</f>
        <v>44.592334438400009</v>
      </c>
      <c r="L49" s="160"/>
      <c r="M49" s="93">
        <v>1920</v>
      </c>
      <c r="N49" s="101">
        <f t="shared" ref="N49" si="81">L49*M49</f>
        <v>0</v>
      </c>
      <c r="O49" s="121">
        <f t="shared" si="22"/>
        <v>45.091768584110092</v>
      </c>
      <c r="P49" s="100"/>
      <c r="Q49" s="93">
        <v>1920</v>
      </c>
      <c r="R49" s="101">
        <f t="shared" ref="R49" si="82">P49*Q49</f>
        <v>0</v>
      </c>
      <c r="S49" s="121">
        <f t="shared" si="15"/>
        <v>45.596796392252124</v>
      </c>
      <c r="T49" s="91"/>
      <c r="U49" s="93">
        <v>1920</v>
      </c>
      <c r="V49" s="92">
        <f t="shared" ref="V49" si="83">T49*U49</f>
        <v>0</v>
      </c>
      <c r="W49" s="121">
        <f t="shared" si="17"/>
        <v>46.107480511845345</v>
      </c>
      <c r="X49" s="90"/>
      <c r="Y49" s="93">
        <v>1920</v>
      </c>
      <c r="Z49" s="92">
        <f t="shared" ref="Z49" si="84">X49*Y49</f>
        <v>0</v>
      </c>
      <c r="AA49" s="121">
        <f t="shared" si="19"/>
        <v>46.623884293578016</v>
      </c>
      <c r="AB49" s="90"/>
      <c r="AC49" s="93">
        <v>1920</v>
      </c>
      <c r="AD49" s="95">
        <f t="shared" ref="AD49" si="85">AB49*AC49</f>
        <v>0</v>
      </c>
      <c r="AE49" s="103">
        <f t="shared" ref="AE49" si="86">M49+Q49+U49+Y49+AC49</f>
        <v>9600</v>
      </c>
      <c r="AF49" s="92">
        <f t="shared" ref="AF49" si="87">N49+R49+V49+Z49+AD49</f>
        <v>0</v>
      </c>
    </row>
    <row r="50" spans="1:32" x14ac:dyDescent="0.2">
      <c r="A50" s="86"/>
      <c r="B50" s="41" t="s">
        <v>125</v>
      </c>
      <c r="C50" s="140" t="s">
        <v>5</v>
      </c>
      <c r="D50" s="53"/>
      <c r="E50" s="145" t="s">
        <v>89</v>
      </c>
      <c r="F50" s="151" t="s">
        <v>94</v>
      </c>
      <c r="G50" s="154">
        <v>30085</v>
      </c>
      <c r="H50" s="152" t="s">
        <v>95</v>
      </c>
      <c r="I50" s="110"/>
      <c r="J50" s="151" t="s">
        <v>103</v>
      </c>
      <c r="K50" s="109">
        <f>43.61*1.0112*1.0112</f>
        <v>44.592334438400009</v>
      </c>
      <c r="L50" s="160"/>
      <c r="M50" s="93">
        <v>960</v>
      </c>
      <c r="N50" s="101">
        <f t="shared" si="0"/>
        <v>0</v>
      </c>
      <c r="O50" s="121">
        <f t="shared" si="22"/>
        <v>45.091768584110092</v>
      </c>
      <c r="P50" s="100"/>
      <c r="Q50" s="93">
        <v>960</v>
      </c>
      <c r="R50" s="101">
        <f t="shared" si="1"/>
        <v>0</v>
      </c>
      <c r="S50" s="121">
        <f t="shared" si="15"/>
        <v>45.596796392252124</v>
      </c>
      <c r="T50" s="91"/>
      <c r="U50" s="93">
        <v>960</v>
      </c>
      <c r="V50" s="92">
        <f t="shared" si="2"/>
        <v>0</v>
      </c>
      <c r="W50" s="121">
        <f t="shared" si="17"/>
        <v>46.107480511845345</v>
      </c>
      <c r="X50" s="90"/>
      <c r="Y50" s="93">
        <v>960</v>
      </c>
      <c r="Z50" s="92">
        <f t="shared" si="3"/>
        <v>0</v>
      </c>
      <c r="AA50" s="121">
        <f t="shared" si="19"/>
        <v>46.623884293578016</v>
      </c>
      <c r="AB50" s="90"/>
      <c r="AC50" s="93">
        <v>960</v>
      </c>
      <c r="AD50" s="95">
        <f t="shared" si="4"/>
        <v>0</v>
      </c>
      <c r="AE50" s="103">
        <f t="shared" si="5"/>
        <v>4800</v>
      </c>
      <c r="AF50" s="92">
        <f t="shared" si="24"/>
        <v>0</v>
      </c>
    </row>
    <row r="51" spans="1:32" x14ac:dyDescent="0.2">
      <c r="A51" s="86"/>
      <c r="B51" s="41" t="s">
        <v>156</v>
      </c>
      <c r="C51" s="140" t="s">
        <v>5</v>
      </c>
      <c r="D51" s="56"/>
      <c r="E51" s="53" t="s">
        <v>89</v>
      </c>
      <c r="F51" s="182" t="s">
        <v>94</v>
      </c>
      <c r="G51" s="179">
        <v>30086</v>
      </c>
      <c r="H51" s="152" t="s">
        <v>95</v>
      </c>
      <c r="I51" s="181"/>
      <c r="J51" s="151" t="s">
        <v>103</v>
      </c>
      <c r="K51" s="109">
        <f>52.76*1.0112*1.0112</f>
        <v>53.948442214400004</v>
      </c>
      <c r="L51" s="149"/>
      <c r="M51" s="93">
        <v>1920</v>
      </c>
      <c r="N51" s="101">
        <f t="shared" si="0"/>
        <v>0</v>
      </c>
      <c r="O51" s="121">
        <f t="shared" si="22"/>
        <v>54.552664767201286</v>
      </c>
      <c r="P51" s="102"/>
      <c r="Q51" s="93">
        <v>1920</v>
      </c>
      <c r="R51" s="101">
        <f t="shared" si="1"/>
        <v>0</v>
      </c>
      <c r="S51" s="121">
        <f t="shared" si="15"/>
        <v>55.163654612593938</v>
      </c>
      <c r="T51" s="150"/>
      <c r="U51" s="93">
        <v>1920</v>
      </c>
      <c r="V51" s="92">
        <f t="shared" si="2"/>
        <v>0</v>
      </c>
      <c r="W51" s="121">
        <f t="shared" si="17"/>
        <v>55.781487544254986</v>
      </c>
      <c r="X51" s="150"/>
      <c r="Y51" s="93">
        <v>1920</v>
      </c>
      <c r="Z51" s="92">
        <f t="shared" si="3"/>
        <v>0</v>
      </c>
      <c r="AA51" s="121">
        <f t="shared" si="19"/>
        <v>56.406240204750645</v>
      </c>
      <c r="AB51" s="150"/>
      <c r="AC51" s="93">
        <v>1920</v>
      </c>
      <c r="AD51" s="95">
        <f t="shared" si="4"/>
        <v>0</v>
      </c>
      <c r="AE51" s="103">
        <f t="shared" si="5"/>
        <v>9600</v>
      </c>
      <c r="AF51" s="92">
        <f t="shared" si="24"/>
        <v>0</v>
      </c>
    </row>
    <row r="52" spans="1:32" x14ac:dyDescent="0.2">
      <c r="A52" s="86"/>
      <c r="B52" s="41" t="s">
        <v>156</v>
      </c>
      <c r="C52" s="140" t="s">
        <v>5</v>
      </c>
      <c r="D52" s="56"/>
      <c r="E52" s="53" t="s">
        <v>89</v>
      </c>
      <c r="F52" s="182" t="s">
        <v>94</v>
      </c>
      <c r="G52" s="179">
        <v>30086</v>
      </c>
      <c r="H52" s="152" t="s">
        <v>95</v>
      </c>
      <c r="I52" s="181"/>
      <c r="J52" s="151" t="s">
        <v>103</v>
      </c>
      <c r="K52" s="109">
        <f>52.76*1.0112*1.0112</f>
        <v>53.948442214400004</v>
      </c>
      <c r="L52" s="149"/>
      <c r="M52" s="93">
        <v>1920</v>
      </c>
      <c r="N52" s="101">
        <f t="shared" si="0"/>
        <v>0</v>
      </c>
      <c r="O52" s="121">
        <f>(K51*0.0112)+K51</f>
        <v>54.552664767201286</v>
      </c>
      <c r="P52" s="102"/>
      <c r="Q52" s="93">
        <v>1920</v>
      </c>
      <c r="R52" s="101">
        <f t="shared" si="1"/>
        <v>0</v>
      </c>
      <c r="S52" s="121">
        <f t="shared" si="15"/>
        <v>55.163654612593938</v>
      </c>
      <c r="T52" s="150"/>
      <c r="U52" s="93">
        <v>1920</v>
      </c>
      <c r="V52" s="92">
        <f t="shared" si="2"/>
        <v>0</v>
      </c>
      <c r="W52" s="121">
        <f t="shared" si="17"/>
        <v>55.781487544254986</v>
      </c>
      <c r="X52" s="150"/>
      <c r="Y52" s="93">
        <v>1920</v>
      </c>
      <c r="Z52" s="92">
        <f t="shared" si="3"/>
        <v>0</v>
      </c>
      <c r="AA52" s="121">
        <f t="shared" si="19"/>
        <v>56.406240204750645</v>
      </c>
      <c r="AB52" s="150"/>
      <c r="AC52" s="93">
        <v>1920</v>
      </c>
      <c r="AD52" s="95">
        <f t="shared" si="4"/>
        <v>0</v>
      </c>
      <c r="AE52" s="103">
        <f t="shared" si="5"/>
        <v>9600</v>
      </c>
      <c r="AF52" s="92">
        <f t="shared" si="24"/>
        <v>0</v>
      </c>
    </row>
    <row r="53" spans="1:32" x14ac:dyDescent="0.2">
      <c r="A53" s="86"/>
      <c r="B53" s="41" t="s">
        <v>156</v>
      </c>
      <c r="C53" s="140" t="s">
        <v>5</v>
      </c>
      <c r="D53" s="56"/>
      <c r="E53" s="53" t="s">
        <v>89</v>
      </c>
      <c r="F53" s="182" t="s">
        <v>94</v>
      </c>
      <c r="G53" s="179">
        <v>30086</v>
      </c>
      <c r="H53" s="152" t="s">
        <v>95</v>
      </c>
      <c r="I53" s="181"/>
      <c r="J53" s="151" t="s">
        <v>103</v>
      </c>
      <c r="K53" s="109">
        <f>52.76*1.0112*1.0112</f>
        <v>53.948442214400004</v>
      </c>
      <c r="L53" s="149"/>
      <c r="M53" s="93">
        <v>1920</v>
      </c>
      <c r="N53" s="101">
        <f t="shared" ref="N53" si="88">L53*M53</f>
        <v>0</v>
      </c>
      <c r="O53" s="121">
        <f>(K51*0.0112)+K51</f>
        <v>54.552664767201286</v>
      </c>
      <c r="P53" s="102"/>
      <c r="Q53" s="93">
        <v>1920</v>
      </c>
      <c r="R53" s="101">
        <f t="shared" si="1"/>
        <v>0</v>
      </c>
      <c r="S53" s="121">
        <f>(O52*0.0112)+O52</f>
        <v>55.163654612593938</v>
      </c>
      <c r="T53" s="150"/>
      <c r="U53" s="93">
        <v>1920</v>
      </c>
      <c r="V53" s="92">
        <f t="shared" si="2"/>
        <v>0</v>
      </c>
      <c r="W53" s="121">
        <f>(S52*0.0112)+S52</f>
        <v>55.781487544254986</v>
      </c>
      <c r="X53" s="150"/>
      <c r="Y53" s="93">
        <v>1920</v>
      </c>
      <c r="Z53" s="92">
        <f t="shared" si="3"/>
        <v>0</v>
      </c>
      <c r="AA53" s="121">
        <f>(W52*0.0112)+W52</f>
        <v>56.406240204750645</v>
      </c>
      <c r="AB53" s="150"/>
      <c r="AC53" s="93">
        <v>1920</v>
      </c>
      <c r="AD53" s="95">
        <f t="shared" si="4"/>
        <v>0</v>
      </c>
      <c r="AE53" s="103">
        <f t="shared" si="5"/>
        <v>9600</v>
      </c>
      <c r="AF53" s="92">
        <f t="shared" si="24"/>
        <v>0</v>
      </c>
    </row>
    <row r="54" spans="1:32" x14ac:dyDescent="0.2">
      <c r="A54" s="86"/>
      <c r="B54" s="41" t="s">
        <v>156</v>
      </c>
      <c r="C54" s="140" t="s">
        <v>5</v>
      </c>
      <c r="D54" s="56"/>
      <c r="E54" s="53" t="s">
        <v>89</v>
      </c>
      <c r="F54" s="182" t="s">
        <v>94</v>
      </c>
      <c r="G54" s="179">
        <v>30086</v>
      </c>
      <c r="H54" s="152" t="s">
        <v>95</v>
      </c>
      <c r="I54" s="181"/>
      <c r="J54" s="151" t="s">
        <v>103</v>
      </c>
      <c r="K54" s="109">
        <f>52.76*1.0112*1.0112</f>
        <v>53.948442214400004</v>
      </c>
      <c r="L54" s="149"/>
      <c r="M54" s="93">
        <v>960</v>
      </c>
      <c r="N54" s="101">
        <f t="shared" ref="N54" si="89">L54*M54</f>
        <v>0</v>
      </c>
      <c r="O54" s="121">
        <f>(K51*0.0112)+K51</f>
        <v>54.552664767201286</v>
      </c>
      <c r="P54" s="102"/>
      <c r="Q54" s="93">
        <v>960</v>
      </c>
      <c r="R54" s="101">
        <f t="shared" si="1"/>
        <v>0</v>
      </c>
      <c r="S54" s="121">
        <f>(O52*0.0112)+O52</f>
        <v>55.163654612593938</v>
      </c>
      <c r="T54" s="150"/>
      <c r="U54" s="93">
        <v>960</v>
      </c>
      <c r="V54" s="92">
        <f t="shared" si="2"/>
        <v>0</v>
      </c>
      <c r="W54" s="121">
        <f>(S52*0.0112)+S52</f>
        <v>55.781487544254986</v>
      </c>
      <c r="X54" s="150"/>
      <c r="Y54" s="93">
        <v>960</v>
      </c>
      <c r="Z54" s="92">
        <f t="shared" si="3"/>
        <v>0</v>
      </c>
      <c r="AA54" s="121">
        <f>(W52*0.0112)+W52</f>
        <v>56.406240204750645</v>
      </c>
      <c r="AB54" s="150"/>
      <c r="AC54" s="93">
        <v>960</v>
      </c>
      <c r="AD54" s="95">
        <f t="shared" si="4"/>
        <v>0</v>
      </c>
      <c r="AE54" s="103">
        <f t="shared" si="5"/>
        <v>4800</v>
      </c>
      <c r="AF54" s="92">
        <f t="shared" si="24"/>
        <v>0</v>
      </c>
    </row>
    <row r="55" spans="1:32" x14ac:dyDescent="0.2">
      <c r="A55" s="86"/>
      <c r="B55" s="41" t="s">
        <v>135</v>
      </c>
      <c r="C55" s="140" t="s">
        <v>5</v>
      </c>
      <c r="D55" s="53"/>
      <c r="E55" s="144" t="s">
        <v>89</v>
      </c>
      <c r="F55" s="151" t="s">
        <v>83</v>
      </c>
      <c r="G55" s="151" t="s">
        <v>95</v>
      </c>
      <c r="H55" s="152" t="s">
        <v>95</v>
      </c>
      <c r="I55" s="108"/>
      <c r="J55" s="151" t="s">
        <v>91</v>
      </c>
      <c r="K55" s="109">
        <f>104.11*1.038*1.038</f>
        <v>112.17269484000001</v>
      </c>
      <c r="L55" s="149"/>
      <c r="M55" s="93">
        <v>1536</v>
      </c>
      <c r="N55" s="101">
        <f t="shared" si="0"/>
        <v>0</v>
      </c>
      <c r="O55" s="121">
        <f>(K55*0.038)+K55</f>
        <v>116.43525724392001</v>
      </c>
      <c r="P55" s="102"/>
      <c r="Q55" s="93">
        <v>1536</v>
      </c>
      <c r="R55" s="101">
        <f t="shared" si="1"/>
        <v>0</v>
      </c>
      <c r="S55" s="121">
        <f>(O55*0.038)+O55</f>
        <v>120.85979701918896</v>
      </c>
      <c r="T55" s="150"/>
      <c r="U55" s="93">
        <v>1536</v>
      </c>
      <c r="V55" s="92">
        <f t="shared" si="2"/>
        <v>0</v>
      </c>
      <c r="W55" s="121">
        <f>(S55*0.038)+S55</f>
        <v>125.45246930591814</v>
      </c>
      <c r="X55" s="150"/>
      <c r="Y55" s="93">
        <v>1536</v>
      </c>
      <c r="Z55" s="92">
        <f t="shared" si="3"/>
        <v>0</v>
      </c>
      <c r="AA55" s="121">
        <f>(W55*0.038)+W55</f>
        <v>130.21966313954303</v>
      </c>
      <c r="AB55" s="150"/>
      <c r="AC55" s="93">
        <v>1536</v>
      </c>
      <c r="AD55" s="95">
        <f t="shared" si="4"/>
        <v>0</v>
      </c>
      <c r="AE55" s="103">
        <f t="shared" si="5"/>
        <v>7680</v>
      </c>
      <c r="AF55" s="92">
        <f t="shared" ref="AF55:AF75" si="90">N55+R55+V55+Z55+AD55</f>
        <v>0</v>
      </c>
    </row>
    <row r="56" spans="1:32" x14ac:dyDescent="0.2">
      <c r="A56" s="86"/>
      <c r="B56" s="41" t="s">
        <v>136</v>
      </c>
      <c r="C56" s="140" t="s">
        <v>5</v>
      </c>
      <c r="D56" s="53"/>
      <c r="E56" s="144" t="s">
        <v>89</v>
      </c>
      <c r="F56" s="151" t="s">
        <v>96</v>
      </c>
      <c r="G56" s="151" t="s">
        <v>95</v>
      </c>
      <c r="H56" s="151" t="s">
        <v>95</v>
      </c>
      <c r="I56" s="108"/>
      <c r="J56" s="151" t="s">
        <v>103</v>
      </c>
      <c r="K56" s="109">
        <f>78.41*1.038*1.038</f>
        <v>84.482384039999999</v>
      </c>
      <c r="L56" s="149"/>
      <c r="M56" s="93">
        <v>1920</v>
      </c>
      <c r="N56" s="101">
        <f t="shared" ref="N56" si="91">L56*M56</f>
        <v>0</v>
      </c>
      <c r="O56" s="121">
        <f>(K56*0.038)+K56</f>
        <v>87.692714633519998</v>
      </c>
      <c r="P56" s="102"/>
      <c r="Q56" s="93">
        <v>1920</v>
      </c>
      <c r="R56" s="101">
        <f t="shared" ref="R56" si="92">P56*Q56</f>
        <v>0</v>
      </c>
      <c r="S56" s="121">
        <f>(O56*0.038)+O56</f>
        <v>91.025037789593753</v>
      </c>
      <c r="T56" s="150"/>
      <c r="U56" s="93">
        <v>1920</v>
      </c>
      <c r="V56" s="92">
        <f t="shared" ref="V56" si="93">T56*U56</f>
        <v>0</v>
      </c>
      <c r="W56" s="121">
        <f>(S56*0.038)+S56</f>
        <v>94.483989225598322</v>
      </c>
      <c r="X56" s="150"/>
      <c r="Y56" s="93">
        <v>1920</v>
      </c>
      <c r="Z56" s="92">
        <f t="shared" ref="Z56" si="94">X56*Y56</f>
        <v>0</v>
      </c>
      <c r="AA56" s="121">
        <f>(W56*0.038)+W56</f>
        <v>98.074380816171058</v>
      </c>
      <c r="AB56" s="150"/>
      <c r="AC56" s="93">
        <v>1920</v>
      </c>
      <c r="AD56" s="95">
        <f t="shared" ref="AD56" si="95">AB56*AC56</f>
        <v>0</v>
      </c>
      <c r="AE56" s="103">
        <f t="shared" ref="AE56" si="96">M56+Q56+U56+Y56+AC56</f>
        <v>9600</v>
      </c>
      <c r="AF56" s="92">
        <f t="shared" ref="AF56" si="97">N56+R56+V56+Z56+AD56</f>
        <v>0</v>
      </c>
    </row>
    <row r="57" spans="1:32" x14ac:dyDescent="0.2">
      <c r="A57" s="86"/>
      <c r="B57" s="41" t="s">
        <v>143</v>
      </c>
      <c r="C57" s="140" t="s">
        <v>5</v>
      </c>
      <c r="D57" s="53"/>
      <c r="E57" s="144" t="s">
        <v>89</v>
      </c>
      <c r="F57" s="151" t="s">
        <v>85</v>
      </c>
      <c r="G57" s="151" t="s">
        <v>95</v>
      </c>
      <c r="H57" s="151" t="s">
        <v>95</v>
      </c>
      <c r="I57" s="108"/>
      <c r="J57" s="151" t="s">
        <v>103</v>
      </c>
      <c r="K57" s="109">
        <f>68.21*1.038*1.038</f>
        <v>73.492455239999998</v>
      </c>
      <c r="L57" s="149"/>
      <c r="M57" s="93">
        <v>1920</v>
      </c>
      <c r="N57" s="101">
        <f t="shared" ref="N57" si="98">L57*M57</f>
        <v>0</v>
      </c>
      <c r="O57" s="121">
        <f>(K57*0.038)+K57</f>
        <v>76.285168539119994</v>
      </c>
      <c r="P57" s="102"/>
      <c r="Q57" s="93">
        <v>1920</v>
      </c>
      <c r="R57" s="101">
        <f t="shared" ref="R57" si="99">P57*Q57</f>
        <v>0</v>
      </c>
      <c r="S57" s="121">
        <f t="shared" ref="S56:S58" si="100">(O57*0.04)+O57</f>
        <v>79.336575280684798</v>
      </c>
      <c r="T57" s="150"/>
      <c r="U57" s="93">
        <v>1920</v>
      </c>
      <c r="V57" s="92">
        <f t="shared" ref="V57" si="101">T57*U57</f>
        <v>0</v>
      </c>
      <c r="W57" s="121">
        <f>(S57*0.038)+S57</f>
        <v>82.351365141350826</v>
      </c>
      <c r="X57" s="150"/>
      <c r="Y57" s="93">
        <v>1920</v>
      </c>
      <c r="Z57" s="92">
        <f t="shared" ref="Z57" si="102">X57*Y57</f>
        <v>0</v>
      </c>
      <c r="AA57" s="121">
        <f>(W57*0.038)+W57</f>
        <v>85.480717016722153</v>
      </c>
      <c r="AB57" s="150"/>
      <c r="AC57" s="93">
        <v>1920</v>
      </c>
      <c r="AD57" s="95">
        <f t="shared" ref="AD57" si="103">AB57*AC57</f>
        <v>0</v>
      </c>
      <c r="AE57" s="103">
        <f t="shared" ref="AE57" si="104">M57+Q57+U57+Y57+AC57</f>
        <v>9600</v>
      </c>
      <c r="AF57" s="92">
        <f t="shared" ref="AF57" si="105">N57+R57+V57+Z57+AD57</f>
        <v>0</v>
      </c>
    </row>
    <row r="58" spans="1:32" x14ac:dyDescent="0.2">
      <c r="A58" s="86"/>
      <c r="B58" s="41" t="s">
        <v>137</v>
      </c>
      <c r="C58" s="140" t="s">
        <v>5</v>
      </c>
      <c r="D58" s="53"/>
      <c r="E58" s="144" t="s">
        <v>89</v>
      </c>
      <c r="F58" s="151" t="s">
        <v>85</v>
      </c>
      <c r="G58" s="151" t="s">
        <v>95</v>
      </c>
      <c r="H58" s="151" t="s">
        <v>95</v>
      </c>
      <c r="I58" s="108"/>
      <c r="J58" s="151" t="s">
        <v>103</v>
      </c>
      <c r="K58" s="109">
        <f>68.21*1.038*1.038</f>
        <v>73.492455239999998</v>
      </c>
      <c r="L58" s="149"/>
      <c r="M58" s="93">
        <v>1920</v>
      </c>
      <c r="N58" s="101">
        <f t="shared" si="0"/>
        <v>0</v>
      </c>
      <c r="O58" s="121">
        <f>(K58*0.038)+K58</f>
        <v>76.285168539119994</v>
      </c>
      <c r="P58" s="102"/>
      <c r="Q58" s="93">
        <v>1920</v>
      </c>
      <c r="R58" s="101">
        <f t="shared" si="1"/>
        <v>0</v>
      </c>
      <c r="S58" s="121">
        <f t="shared" si="100"/>
        <v>79.336575280684798</v>
      </c>
      <c r="T58" s="150"/>
      <c r="U58" s="93">
        <v>1920</v>
      </c>
      <c r="V58" s="92">
        <f t="shared" si="2"/>
        <v>0</v>
      </c>
      <c r="W58" s="121">
        <f>(S58*0.038)+S58</f>
        <v>82.351365141350826</v>
      </c>
      <c r="X58" s="150"/>
      <c r="Y58" s="93">
        <v>1920</v>
      </c>
      <c r="Z58" s="92">
        <f t="shared" si="3"/>
        <v>0</v>
      </c>
      <c r="AA58" s="121">
        <f>(W58*0.038)+W58</f>
        <v>85.480717016722153</v>
      </c>
      <c r="AB58" s="150"/>
      <c r="AC58" s="93">
        <v>1920</v>
      </c>
      <c r="AD58" s="95">
        <f t="shared" si="4"/>
        <v>0</v>
      </c>
      <c r="AE58" s="103">
        <f t="shared" si="5"/>
        <v>9600</v>
      </c>
      <c r="AF58" s="92">
        <f t="shared" si="90"/>
        <v>0</v>
      </c>
    </row>
    <row r="59" spans="1:32" x14ac:dyDescent="0.2">
      <c r="A59" s="86"/>
      <c r="B59" s="41" t="s">
        <v>157</v>
      </c>
      <c r="C59" s="140" t="s">
        <v>5</v>
      </c>
      <c r="D59" s="53"/>
      <c r="E59" s="144" t="s">
        <v>89</v>
      </c>
      <c r="F59" s="151" t="s">
        <v>160</v>
      </c>
      <c r="G59" s="151">
        <v>21030</v>
      </c>
      <c r="H59" s="151" t="s">
        <v>95</v>
      </c>
      <c r="I59" s="108"/>
      <c r="J59" s="151" t="s">
        <v>103</v>
      </c>
      <c r="K59" s="109">
        <f>29.27*1.0112*1.0112</f>
        <v>29.929319628800005</v>
      </c>
      <c r="L59" s="149"/>
      <c r="M59" s="93">
        <v>1920</v>
      </c>
      <c r="N59" s="101">
        <f t="shared" si="0"/>
        <v>0</v>
      </c>
      <c r="O59" s="121">
        <f>(K59*0.0112)+K59</f>
        <v>30.264528008642564</v>
      </c>
      <c r="P59" s="102"/>
      <c r="Q59" s="93">
        <v>1920</v>
      </c>
      <c r="R59" s="101">
        <f t="shared" si="1"/>
        <v>0</v>
      </c>
      <c r="S59" s="121">
        <f>(O59*0.0112)+O59</f>
        <v>30.603490722339362</v>
      </c>
      <c r="T59" s="150"/>
      <c r="U59" s="93">
        <v>1920</v>
      </c>
      <c r="V59" s="92">
        <f t="shared" si="2"/>
        <v>0</v>
      </c>
      <c r="W59" s="121">
        <f>(S59*0.0112)+S59</f>
        <v>30.946249818429564</v>
      </c>
      <c r="X59" s="150"/>
      <c r="Y59" s="93">
        <v>1920</v>
      </c>
      <c r="Z59" s="92">
        <f t="shared" si="3"/>
        <v>0</v>
      </c>
      <c r="AA59" s="121">
        <f>(W59*0.0112)+W59</f>
        <v>31.292847816395977</v>
      </c>
      <c r="AB59" s="150"/>
      <c r="AC59" s="93">
        <v>1920</v>
      </c>
      <c r="AD59" s="95">
        <f t="shared" si="4"/>
        <v>0</v>
      </c>
      <c r="AE59" s="103">
        <f t="shared" ref="AE59:AE76" si="106">M59+Q59+U59+Y59+AC59</f>
        <v>9600</v>
      </c>
      <c r="AF59" s="92">
        <f t="shared" si="90"/>
        <v>0</v>
      </c>
    </row>
    <row r="60" spans="1:32" x14ac:dyDescent="0.2">
      <c r="A60" s="86"/>
      <c r="B60" s="41" t="s">
        <v>161</v>
      </c>
      <c r="C60" s="140" t="s">
        <v>5</v>
      </c>
      <c r="D60" s="53"/>
      <c r="E60" s="144" t="s">
        <v>89</v>
      </c>
      <c r="F60" s="151" t="s">
        <v>176</v>
      </c>
      <c r="G60" s="151" t="s">
        <v>95</v>
      </c>
      <c r="H60" s="151" t="s">
        <v>95</v>
      </c>
      <c r="I60" s="108"/>
      <c r="J60" s="151" t="s">
        <v>103</v>
      </c>
      <c r="K60" s="109">
        <f>35.52*1.038*1.038</f>
        <v>38.270810880000006</v>
      </c>
      <c r="L60" s="149"/>
      <c r="M60" s="93">
        <v>1920</v>
      </c>
      <c r="N60" s="101">
        <f t="shared" si="0"/>
        <v>0</v>
      </c>
      <c r="O60" s="121">
        <f>K60*1.038</f>
        <v>39.72510169344001</v>
      </c>
      <c r="P60" s="102"/>
      <c r="Q60" s="93">
        <v>1920</v>
      </c>
      <c r="R60" s="101">
        <f t="shared" si="1"/>
        <v>0</v>
      </c>
      <c r="S60" s="121">
        <f>O60*1.038</f>
        <v>41.234655557790731</v>
      </c>
      <c r="T60" s="150"/>
      <c r="U60" s="93">
        <v>1920</v>
      </c>
      <c r="V60" s="92">
        <f t="shared" si="2"/>
        <v>0</v>
      </c>
      <c r="W60" s="121">
        <f>S60*1.038</f>
        <v>42.801572468986777</v>
      </c>
      <c r="X60" s="150"/>
      <c r="Y60" s="93">
        <v>1920</v>
      </c>
      <c r="Z60" s="92">
        <f t="shared" si="3"/>
        <v>0</v>
      </c>
      <c r="AA60" s="121">
        <f>W60*1.038</f>
        <v>44.428032222808277</v>
      </c>
      <c r="AB60" s="150"/>
      <c r="AC60" s="93">
        <v>1920</v>
      </c>
      <c r="AD60" s="95">
        <f t="shared" si="4"/>
        <v>0</v>
      </c>
      <c r="AE60" s="103">
        <f t="shared" si="106"/>
        <v>9600</v>
      </c>
      <c r="AF60" s="92">
        <f t="shared" si="90"/>
        <v>0</v>
      </c>
    </row>
    <row r="61" spans="1:32" x14ac:dyDescent="0.2">
      <c r="A61" s="86"/>
      <c r="B61" s="41" t="s">
        <v>162</v>
      </c>
      <c r="C61" s="140" t="s">
        <v>5</v>
      </c>
      <c r="D61" s="53"/>
      <c r="E61" s="144" t="s">
        <v>92</v>
      </c>
      <c r="F61" s="151" t="s">
        <v>176</v>
      </c>
      <c r="G61" s="151" t="s">
        <v>95</v>
      </c>
      <c r="H61" s="151" t="s">
        <v>95</v>
      </c>
      <c r="I61" s="108"/>
      <c r="J61" s="151" t="s">
        <v>103</v>
      </c>
      <c r="K61" s="109">
        <f>K60*1.5</f>
        <v>57.406216320000013</v>
      </c>
      <c r="L61" s="149"/>
      <c r="M61" s="93">
        <v>384</v>
      </c>
      <c r="N61" s="101">
        <f t="shared" si="0"/>
        <v>0</v>
      </c>
      <c r="O61" s="121">
        <f>K61*1.038</f>
        <v>59.587652540160015</v>
      </c>
      <c r="P61" s="102"/>
      <c r="Q61" s="93">
        <v>384</v>
      </c>
      <c r="R61" s="101">
        <f t="shared" si="1"/>
        <v>0</v>
      </c>
      <c r="S61" s="121">
        <f>O61*1.038</f>
        <v>61.851983336686096</v>
      </c>
      <c r="T61" s="150"/>
      <c r="U61" s="93">
        <v>384</v>
      </c>
      <c r="V61" s="92">
        <f t="shared" si="2"/>
        <v>0</v>
      </c>
      <c r="W61" s="121">
        <f>S61*1.038</f>
        <v>64.202358703480172</v>
      </c>
      <c r="X61" s="150"/>
      <c r="Y61" s="93">
        <v>384</v>
      </c>
      <c r="Z61" s="92">
        <f t="shared" si="3"/>
        <v>0</v>
      </c>
      <c r="AA61" s="121">
        <f>W61*1.038</f>
        <v>66.642048334212419</v>
      </c>
      <c r="AB61" s="150"/>
      <c r="AC61" s="93">
        <v>384</v>
      </c>
      <c r="AD61" s="95">
        <f t="shared" si="4"/>
        <v>0</v>
      </c>
      <c r="AE61" s="103">
        <f t="shared" si="106"/>
        <v>1920</v>
      </c>
      <c r="AF61" s="92">
        <f t="shared" si="90"/>
        <v>0</v>
      </c>
    </row>
    <row r="62" spans="1:32" x14ac:dyDescent="0.2">
      <c r="A62" s="86"/>
      <c r="B62" s="41" t="s">
        <v>175</v>
      </c>
      <c r="C62" s="140" t="s">
        <v>5</v>
      </c>
      <c r="D62" s="53"/>
      <c r="E62" s="144" t="s">
        <v>92</v>
      </c>
      <c r="F62" s="151" t="s">
        <v>177</v>
      </c>
      <c r="G62" s="151" t="s">
        <v>95</v>
      </c>
      <c r="H62" s="151" t="s">
        <v>95</v>
      </c>
      <c r="I62" s="108"/>
      <c r="J62" s="151" t="s">
        <v>103</v>
      </c>
      <c r="K62" s="109">
        <f>63.49*1.038*1.038</f>
        <v>68.406919560000006</v>
      </c>
      <c r="L62" s="149"/>
      <c r="M62" s="93">
        <v>1728</v>
      </c>
      <c r="N62" s="101">
        <f t="shared" ref="N62:N63" si="107">L62*M62</f>
        <v>0</v>
      </c>
      <c r="O62" s="121">
        <f>K62*1.038</f>
        <v>71.006382503280008</v>
      </c>
      <c r="P62" s="102"/>
      <c r="Q62" s="93">
        <v>1728</v>
      </c>
      <c r="R62" s="101">
        <f t="shared" si="1"/>
        <v>0</v>
      </c>
      <c r="S62" s="121">
        <f>O62*1.038</f>
        <v>73.704625038404657</v>
      </c>
      <c r="T62" s="150"/>
      <c r="U62" s="93">
        <v>1728</v>
      </c>
      <c r="V62" s="92">
        <f t="shared" si="2"/>
        <v>0</v>
      </c>
      <c r="W62" s="121">
        <f>S62*1.038</f>
        <v>76.505400789864041</v>
      </c>
      <c r="X62" s="150"/>
      <c r="Y62" s="93">
        <v>1728</v>
      </c>
      <c r="Z62" s="92">
        <f t="shared" si="3"/>
        <v>0</v>
      </c>
      <c r="AA62" s="121">
        <f>W62*1.038</f>
        <v>79.412606019878879</v>
      </c>
      <c r="AB62" s="150"/>
      <c r="AC62" s="93">
        <v>1728</v>
      </c>
      <c r="AD62" s="95">
        <f t="shared" si="4"/>
        <v>0</v>
      </c>
      <c r="AE62" s="103">
        <f t="shared" si="106"/>
        <v>8640</v>
      </c>
      <c r="AF62" s="92">
        <f t="shared" si="90"/>
        <v>0</v>
      </c>
    </row>
    <row r="63" spans="1:32" x14ac:dyDescent="0.2">
      <c r="A63" s="86"/>
      <c r="B63" s="41" t="s">
        <v>163</v>
      </c>
      <c r="C63" s="140" t="s">
        <v>5</v>
      </c>
      <c r="D63" s="53"/>
      <c r="E63" s="144" t="s">
        <v>89</v>
      </c>
      <c r="F63" s="151" t="s">
        <v>177</v>
      </c>
      <c r="G63" s="151" t="s">
        <v>95</v>
      </c>
      <c r="H63" s="151" t="s">
        <v>95</v>
      </c>
      <c r="I63" s="108"/>
      <c r="J63" s="151" t="s">
        <v>103</v>
      </c>
      <c r="K63" s="109">
        <f>38.12*1.038*1.038</f>
        <v>41.07216528</v>
      </c>
      <c r="L63" s="149"/>
      <c r="M63" s="93">
        <v>768</v>
      </c>
      <c r="N63" s="101">
        <f t="shared" si="107"/>
        <v>0</v>
      </c>
      <c r="O63" s="121">
        <f>K63*1.038</f>
        <v>42.63290756064</v>
      </c>
      <c r="P63" s="102"/>
      <c r="Q63" s="93">
        <v>768</v>
      </c>
      <c r="R63" s="101">
        <f t="shared" si="1"/>
        <v>0</v>
      </c>
      <c r="S63" s="121">
        <f>O63*1.038</f>
        <v>44.252958047944318</v>
      </c>
      <c r="T63" s="150"/>
      <c r="U63" s="93">
        <v>768</v>
      </c>
      <c r="V63" s="92">
        <f t="shared" si="2"/>
        <v>0</v>
      </c>
      <c r="W63" s="121">
        <f>S63*1.038</f>
        <v>45.934570453766206</v>
      </c>
      <c r="X63" s="150"/>
      <c r="Y63" s="93">
        <v>768</v>
      </c>
      <c r="Z63" s="92">
        <f t="shared" si="3"/>
        <v>0</v>
      </c>
      <c r="AA63" s="121">
        <f>W63*1.038</f>
        <v>47.680084131009323</v>
      </c>
      <c r="AB63" s="150"/>
      <c r="AC63" s="93">
        <v>768</v>
      </c>
      <c r="AD63" s="95">
        <f t="shared" si="4"/>
        <v>0</v>
      </c>
      <c r="AE63" s="103">
        <f t="shared" si="106"/>
        <v>3840</v>
      </c>
      <c r="AF63" s="92">
        <f t="shared" si="90"/>
        <v>0</v>
      </c>
    </row>
    <row r="64" spans="1:32" x14ac:dyDescent="0.2">
      <c r="A64" s="86"/>
      <c r="B64" s="41" t="s">
        <v>164</v>
      </c>
      <c r="C64" s="140" t="s">
        <v>5</v>
      </c>
      <c r="D64" s="53"/>
      <c r="E64" s="144" t="s">
        <v>89</v>
      </c>
      <c r="F64" s="151" t="s">
        <v>177</v>
      </c>
      <c r="G64" s="151" t="s">
        <v>95</v>
      </c>
      <c r="H64" s="151" t="s">
        <v>95</v>
      </c>
      <c r="I64" s="108"/>
      <c r="J64" s="151" t="s">
        <v>103</v>
      </c>
      <c r="K64" s="109">
        <f>46.45*1.038*1.038</f>
        <v>50.047273800000006</v>
      </c>
      <c r="L64" s="149"/>
      <c r="M64" s="93">
        <v>768</v>
      </c>
      <c r="N64" s="101">
        <f t="shared" si="0"/>
        <v>0</v>
      </c>
      <c r="O64" s="121">
        <f>K64*1.038</f>
        <v>51.949070204400009</v>
      </c>
      <c r="P64" s="102"/>
      <c r="Q64" s="93">
        <v>768</v>
      </c>
      <c r="R64" s="101">
        <f t="shared" si="1"/>
        <v>0</v>
      </c>
      <c r="S64" s="121">
        <f>O64*1.038</f>
        <v>53.923134872167211</v>
      </c>
      <c r="T64" s="150"/>
      <c r="U64" s="93">
        <v>768</v>
      </c>
      <c r="V64" s="92">
        <f t="shared" si="2"/>
        <v>0</v>
      </c>
      <c r="W64" s="121">
        <f>S64*1.038</f>
        <v>55.972213997309566</v>
      </c>
      <c r="X64" s="150"/>
      <c r="Y64" s="93">
        <v>768</v>
      </c>
      <c r="Z64" s="92">
        <f t="shared" si="3"/>
        <v>0</v>
      </c>
      <c r="AA64" s="121">
        <f>W64*1.038</f>
        <v>58.099158129207332</v>
      </c>
      <c r="AB64" s="150"/>
      <c r="AC64" s="93">
        <v>768</v>
      </c>
      <c r="AD64" s="95">
        <f t="shared" si="4"/>
        <v>0</v>
      </c>
      <c r="AE64" s="103">
        <f t="shared" si="106"/>
        <v>3840</v>
      </c>
      <c r="AF64" s="92">
        <f t="shared" si="90"/>
        <v>0</v>
      </c>
    </row>
    <row r="65" spans="1:32" x14ac:dyDescent="0.2">
      <c r="A65" s="86"/>
      <c r="B65" s="41" t="s">
        <v>165</v>
      </c>
      <c r="C65" s="140" t="s">
        <v>5</v>
      </c>
      <c r="D65" s="53"/>
      <c r="E65" s="144" t="s">
        <v>89</v>
      </c>
      <c r="F65" s="151" t="s">
        <v>178</v>
      </c>
      <c r="G65" s="151" t="s">
        <v>95</v>
      </c>
      <c r="H65" s="151">
        <v>451</v>
      </c>
      <c r="I65" s="108"/>
      <c r="J65" s="151" t="s">
        <v>103</v>
      </c>
      <c r="K65" s="109">
        <f>65.99*1.038*1.038</f>
        <v>71.100529559999998</v>
      </c>
      <c r="L65" s="149"/>
      <c r="M65" s="93">
        <v>960</v>
      </c>
      <c r="N65" s="101">
        <f t="shared" si="0"/>
        <v>0</v>
      </c>
      <c r="O65" s="121">
        <f>K65*1.038</f>
        <v>73.802349683279999</v>
      </c>
      <c r="P65" s="102"/>
      <c r="Q65" s="93">
        <v>960</v>
      </c>
      <c r="R65" s="101">
        <f t="shared" si="1"/>
        <v>0</v>
      </c>
      <c r="S65" s="121">
        <f>O65*1.038</f>
        <v>76.606838971244642</v>
      </c>
      <c r="T65" s="150"/>
      <c r="U65" s="93">
        <v>960</v>
      </c>
      <c r="V65" s="92">
        <f t="shared" si="2"/>
        <v>0</v>
      </c>
      <c r="W65" s="121">
        <f>S65*1.038</f>
        <v>79.517898852151944</v>
      </c>
      <c r="X65" s="150"/>
      <c r="Y65" s="93">
        <v>960</v>
      </c>
      <c r="Z65" s="92">
        <f t="shared" si="3"/>
        <v>0</v>
      </c>
      <c r="AA65" s="121">
        <f>W65*1.038</f>
        <v>82.539579008533721</v>
      </c>
      <c r="AB65" s="150"/>
      <c r="AC65" s="93">
        <v>960</v>
      </c>
      <c r="AD65" s="95">
        <f t="shared" si="4"/>
        <v>0</v>
      </c>
      <c r="AE65" s="103">
        <f t="shared" si="106"/>
        <v>4800</v>
      </c>
      <c r="AF65" s="92">
        <f t="shared" si="90"/>
        <v>0</v>
      </c>
    </row>
    <row r="66" spans="1:32" x14ac:dyDescent="0.2">
      <c r="A66" s="86"/>
      <c r="B66" s="41" t="s">
        <v>166</v>
      </c>
      <c r="C66" s="140" t="s">
        <v>5</v>
      </c>
      <c r="D66" s="53"/>
      <c r="E66" s="144" t="s">
        <v>89</v>
      </c>
      <c r="F66" s="151" t="s">
        <v>178</v>
      </c>
      <c r="G66" s="151" t="s">
        <v>95</v>
      </c>
      <c r="H66" s="151">
        <v>452</v>
      </c>
      <c r="I66" s="108"/>
      <c r="J66" s="151" t="s">
        <v>103</v>
      </c>
      <c r="K66" s="109">
        <f>77.33*1.038*1.038</f>
        <v>83.31874452000001</v>
      </c>
      <c r="L66" s="149"/>
      <c r="M66" s="93">
        <v>960</v>
      </c>
      <c r="N66" s="101">
        <f t="shared" ref="N66:N67" si="108">L66*M66</f>
        <v>0</v>
      </c>
      <c r="O66" s="121">
        <f>K66*1.038</f>
        <v>86.484856811760011</v>
      </c>
      <c r="P66" s="102"/>
      <c r="Q66" s="93">
        <v>960</v>
      </c>
      <c r="R66" s="101">
        <f t="shared" si="1"/>
        <v>0</v>
      </c>
      <c r="S66" s="121">
        <f>O66*1.038</f>
        <v>89.7712813706069</v>
      </c>
      <c r="T66" s="150"/>
      <c r="U66" s="93">
        <v>960</v>
      </c>
      <c r="V66" s="92">
        <f t="shared" si="2"/>
        <v>0</v>
      </c>
      <c r="W66" s="121">
        <f>S66*1.038</f>
        <v>93.182590062689968</v>
      </c>
      <c r="X66" s="150"/>
      <c r="Y66" s="93">
        <v>960</v>
      </c>
      <c r="Z66" s="92">
        <f t="shared" si="3"/>
        <v>0</v>
      </c>
      <c r="AA66" s="121">
        <f>W66*1.038</f>
        <v>96.723528485072194</v>
      </c>
      <c r="AB66" s="150"/>
      <c r="AC66" s="93">
        <v>960</v>
      </c>
      <c r="AD66" s="95">
        <f t="shared" si="4"/>
        <v>0</v>
      </c>
      <c r="AE66" s="103">
        <f t="shared" si="106"/>
        <v>4800</v>
      </c>
      <c r="AF66" s="92">
        <f t="shared" si="90"/>
        <v>0</v>
      </c>
    </row>
    <row r="67" spans="1:32" x14ac:dyDescent="0.2">
      <c r="A67" s="86"/>
      <c r="B67" s="41" t="s">
        <v>167</v>
      </c>
      <c r="C67" s="140" t="s">
        <v>5</v>
      </c>
      <c r="D67" s="53"/>
      <c r="E67" s="144" t="s">
        <v>89</v>
      </c>
      <c r="F67" s="151" t="s">
        <v>179</v>
      </c>
      <c r="G67" s="151" t="s">
        <v>95</v>
      </c>
      <c r="H67" s="151" t="s">
        <v>95</v>
      </c>
      <c r="I67" s="108"/>
      <c r="J67" s="151" t="s">
        <v>103</v>
      </c>
      <c r="K67" s="109">
        <f>68.42*1.038*1.038</f>
        <v>73.718718480000007</v>
      </c>
      <c r="L67" s="149"/>
      <c r="M67" s="93">
        <f>1920*0.8</f>
        <v>1536</v>
      </c>
      <c r="N67" s="101">
        <f t="shared" si="108"/>
        <v>0</v>
      </c>
      <c r="O67" s="121">
        <f>K67*1.038</f>
        <v>76.520029782240016</v>
      </c>
      <c r="P67" s="102"/>
      <c r="Q67" s="93">
        <v>1536</v>
      </c>
      <c r="R67" s="101">
        <f t="shared" si="1"/>
        <v>0</v>
      </c>
      <c r="S67" s="121">
        <f>O67*1.038</f>
        <v>79.42779091396514</v>
      </c>
      <c r="T67" s="150"/>
      <c r="U67" s="93">
        <v>1536</v>
      </c>
      <c r="V67" s="92">
        <f t="shared" si="2"/>
        <v>0</v>
      </c>
      <c r="W67" s="121">
        <f>S67*1.038</f>
        <v>82.446046968695825</v>
      </c>
      <c r="X67" s="150"/>
      <c r="Y67" s="93">
        <v>1536</v>
      </c>
      <c r="Z67" s="92">
        <f t="shared" si="3"/>
        <v>0</v>
      </c>
      <c r="AA67" s="121">
        <f>W67*1.038</f>
        <v>85.578996753506274</v>
      </c>
      <c r="AB67" s="150"/>
      <c r="AC67" s="93">
        <v>1536</v>
      </c>
      <c r="AD67" s="95">
        <f t="shared" si="4"/>
        <v>0</v>
      </c>
      <c r="AE67" s="103">
        <f t="shared" si="106"/>
        <v>7680</v>
      </c>
      <c r="AF67" s="92">
        <f t="shared" si="90"/>
        <v>0</v>
      </c>
    </row>
    <row r="68" spans="1:32" x14ac:dyDescent="0.2">
      <c r="A68" s="86"/>
      <c r="B68" s="41" t="s">
        <v>167</v>
      </c>
      <c r="C68" s="140" t="s">
        <v>5</v>
      </c>
      <c r="D68" s="53"/>
      <c r="E68" s="144" t="s">
        <v>89</v>
      </c>
      <c r="F68" s="151" t="s">
        <v>179</v>
      </c>
      <c r="G68" s="151" t="s">
        <v>95</v>
      </c>
      <c r="H68" s="151" t="s">
        <v>95</v>
      </c>
      <c r="I68" s="108"/>
      <c r="J68" s="151" t="s">
        <v>91</v>
      </c>
      <c r="K68" s="109">
        <f>68.42*1.038*1.038</f>
        <v>73.718718480000007</v>
      </c>
      <c r="L68" s="149"/>
      <c r="M68" s="93">
        <f>1920*0.1</f>
        <v>192</v>
      </c>
      <c r="N68" s="101">
        <f t="shared" si="0"/>
        <v>0</v>
      </c>
      <c r="O68" s="121">
        <f>K68*1.038</f>
        <v>76.520029782240016</v>
      </c>
      <c r="P68" s="102"/>
      <c r="Q68" s="93">
        <v>192</v>
      </c>
      <c r="R68" s="101">
        <f t="shared" si="1"/>
        <v>0</v>
      </c>
      <c r="S68" s="121">
        <f>O68*1.038</f>
        <v>79.42779091396514</v>
      </c>
      <c r="T68" s="150"/>
      <c r="U68" s="93">
        <v>192</v>
      </c>
      <c r="V68" s="92">
        <f t="shared" si="2"/>
        <v>0</v>
      </c>
      <c r="W68" s="121">
        <f>S68*1.038</f>
        <v>82.446046968695825</v>
      </c>
      <c r="X68" s="150"/>
      <c r="Y68" s="93">
        <v>192</v>
      </c>
      <c r="Z68" s="92">
        <f t="shared" si="3"/>
        <v>0</v>
      </c>
      <c r="AA68" s="121">
        <f>W68*1.038</f>
        <v>85.578996753506274</v>
      </c>
      <c r="AB68" s="150"/>
      <c r="AC68" s="93">
        <v>192</v>
      </c>
      <c r="AD68" s="95">
        <f t="shared" si="4"/>
        <v>0</v>
      </c>
      <c r="AE68" s="103">
        <f t="shared" si="106"/>
        <v>960</v>
      </c>
      <c r="AF68" s="92">
        <f t="shared" si="90"/>
        <v>0</v>
      </c>
    </row>
    <row r="69" spans="1:32" x14ac:dyDescent="0.2">
      <c r="A69" s="86"/>
      <c r="B69" s="41" t="s">
        <v>168</v>
      </c>
      <c r="C69" s="140" t="s">
        <v>5</v>
      </c>
      <c r="D69" s="53"/>
      <c r="E69" s="144" t="s">
        <v>92</v>
      </c>
      <c r="F69" s="151" t="s">
        <v>180</v>
      </c>
      <c r="G69" s="151" t="s">
        <v>95</v>
      </c>
      <c r="H69" s="151" t="s">
        <v>95</v>
      </c>
      <c r="I69" s="108"/>
      <c r="J69" s="151" t="s">
        <v>91</v>
      </c>
      <c r="K69" s="109">
        <f>K68*1.5</f>
        <v>110.57807772000001</v>
      </c>
      <c r="L69" s="149"/>
      <c r="M69" s="93">
        <v>192</v>
      </c>
      <c r="N69" s="101">
        <f t="shared" ref="N69" si="109">L69*M69</f>
        <v>0</v>
      </c>
      <c r="O69" s="121">
        <f>K69*1.038</f>
        <v>114.78004467336001</v>
      </c>
      <c r="P69" s="102"/>
      <c r="Q69" s="93">
        <v>192</v>
      </c>
      <c r="R69" s="101">
        <f t="shared" si="1"/>
        <v>0</v>
      </c>
      <c r="S69" s="121">
        <f>O69*1.038</f>
        <v>119.1416863709477</v>
      </c>
      <c r="T69" s="150"/>
      <c r="U69" s="93">
        <v>192</v>
      </c>
      <c r="V69" s="92">
        <f t="shared" si="2"/>
        <v>0</v>
      </c>
      <c r="W69" s="121">
        <f>S69*1.038</f>
        <v>123.66907045304372</v>
      </c>
      <c r="X69" s="150"/>
      <c r="Y69" s="93">
        <v>192</v>
      </c>
      <c r="Z69" s="92">
        <f t="shared" si="3"/>
        <v>0</v>
      </c>
      <c r="AA69" s="121">
        <f>W69*1.038</f>
        <v>128.36849513025939</v>
      </c>
      <c r="AB69" s="150"/>
      <c r="AC69" s="93">
        <v>192</v>
      </c>
      <c r="AD69" s="95">
        <f t="shared" si="4"/>
        <v>0</v>
      </c>
      <c r="AE69" s="103">
        <f t="shared" si="106"/>
        <v>960</v>
      </c>
      <c r="AF69" s="92">
        <f t="shared" si="90"/>
        <v>0</v>
      </c>
    </row>
    <row r="70" spans="1:32" x14ac:dyDescent="0.2">
      <c r="A70" s="86"/>
      <c r="B70" s="41" t="s">
        <v>169</v>
      </c>
      <c r="C70" s="140" t="s">
        <v>5</v>
      </c>
      <c r="D70" s="53"/>
      <c r="E70" s="144" t="s">
        <v>89</v>
      </c>
      <c r="F70" s="151" t="s">
        <v>180</v>
      </c>
      <c r="G70" s="151" t="s">
        <v>95</v>
      </c>
      <c r="H70" s="151">
        <v>621</v>
      </c>
      <c r="I70" s="108"/>
      <c r="J70" s="154" t="s">
        <v>103</v>
      </c>
      <c r="K70" s="109">
        <f>42.15*1.038*1.038</f>
        <v>45.414264600000003</v>
      </c>
      <c r="L70" s="149"/>
      <c r="M70" s="93">
        <v>960</v>
      </c>
      <c r="N70" s="101">
        <f t="shared" si="0"/>
        <v>0</v>
      </c>
      <c r="O70" s="121">
        <f>K70*1.038</f>
        <v>47.140006654800004</v>
      </c>
      <c r="P70" s="102"/>
      <c r="Q70" s="93">
        <v>960</v>
      </c>
      <c r="R70" s="101">
        <f t="shared" si="1"/>
        <v>0</v>
      </c>
      <c r="S70" s="121">
        <f>O70*1.038</f>
        <v>48.931326907682404</v>
      </c>
      <c r="T70" s="150"/>
      <c r="U70" s="93">
        <v>960</v>
      </c>
      <c r="V70" s="92">
        <f t="shared" si="2"/>
        <v>0</v>
      </c>
      <c r="W70" s="121">
        <f>S70*1.038</f>
        <v>50.790717330174338</v>
      </c>
      <c r="X70" s="150"/>
      <c r="Y70" s="93">
        <v>960</v>
      </c>
      <c r="Z70" s="92">
        <f t="shared" si="3"/>
        <v>0</v>
      </c>
      <c r="AA70" s="121">
        <f>W70*1.038</f>
        <v>52.720764588720968</v>
      </c>
      <c r="AB70" s="150"/>
      <c r="AC70" s="93">
        <v>960</v>
      </c>
      <c r="AD70" s="95">
        <f t="shared" si="4"/>
        <v>0</v>
      </c>
      <c r="AE70" s="103">
        <f t="shared" si="106"/>
        <v>4800</v>
      </c>
      <c r="AF70" s="92">
        <f t="shared" si="90"/>
        <v>0</v>
      </c>
    </row>
    <row r="71" spans="1:32" x14ac:dyDescent="0.2">
      <c r="A71" s="86"/>
      <c r="B71" s="41" t="s">
        <v>170</v>
      </c>
      <c r="C71" s="140" t="s">
        <v>5</v>
      </c>
      <c r="D71" s="53"/>
      <c r="E71" s="144" t="s">
        <v>89</v>
      </c>
      <c r="F71" s="151" t="s">
        <v>180</v>
      </c>
      <c r="G71" s="151" t="s">
        <v>95</v>
      </c>
      <c r="H71" s="151">
        <v>622</v>
      </c>
      <c r="I71" s="108"/>
      <c r="J71" s="154" t="s">
        <v>103</v>
      </c>
      <c r="K71" s="109">
        <f>79.59*1.038*1.038</f>
        <v>85.753767960000019</v>
      </c>
      <c r="L71" s="149"/>
      <c r="M71" s="93">
        <v>1536</v>
      </c>
      <c r="N71" s="101">
        <f t="shared" si="0"/>
        <v>0</v>
      </c>
      <c r="O71" s="121">
        <f>K71*1.038</f>
        <v>89.012411142480019</v>
      </c>
      <c r="P71" s="102"/>
      <c r="Q71" s="93">
        <v>1536</v>
      </c>
      <c r="R71" s="101">
        <f t="shared" si="1"/>
        <v>0</v>
      </c>
      <c r="S71" s="121">
        <f>O71*1.038</f>
        <v>92.394882765894266</v>
      </c>
      <c r="T71" s="150"/>
      <c r="U71" s="93">
        <v>1536</v>
      </c>
      <c r="V71" s="92">
        <f t="shared" si="2"/>
        <v>0</v>
      </c>
      <c r="W71" s="121">
        <f>S71*1.038</f>
        <v>95.90588831099825</v>
      </c>
      <c r="X71" s="150"/>
      <c r="Y71" s="93">
        <v>1536</v>
      </c>
      <c r="Z71" s="92">
        <f t="shared" si="3"/>
        <v>0</v>
      </c>
      <c r="AA71" s="121">
        <f>W71*1.038</f>
        <v>99.55031206681619</v>
      </c>
      <c r="AB71" s="150"/>
      <c r="AC71" s="93">
        <v>1536</v>
      </c>
      <c r="AD71" s="95">
        <f t="shared" si="4"/>
        <v>0</v>
      </c>
      <c r="AE71" s="103">
        <f t="shared" si="106"/>
        <v>7680</v>
      </c>
      <c r="AF71" s="92">
        <f t="shared" si="90"/>
        <v>0</v>
      </c>
    </row>
    <row r="72" spans="1:32" x14ac:dyDescent="0.2">
      <c r="A72" s="86"/>
      <c r="B72" s="41" t="s">
        <v>171</v>
      </c>
      <c r="C72" s="140" t="s">
        <v>5</v>
      </c>
      <c r="D72" s="53"/>
      <c r="E72" s="144" t="s">
        <v>89</v>
      </c>
      <c r="F72" s="151" t="s">
        <v>97</v>
      </c>
      <c r="G72" s="151" t="s">
        <v>95</v>
      </c>
      <c r="H72" s="151">
        <v>623</v>
      </c>
      <c r="I72" s="108"/>
      <c r="J72" s="154" t="s">
        <v>103</v>
      </c>
      <c r="K72" s="109">
        <f>94.37*1.038*1.038</f>
        <v>101.67839028000002</v>
      </c>
      <c r="L72" s="149"/>
      <c r="M72" s="93">
        <v>864</v>
      </c>
      <c r="N72" s="101">
        <f t="shared" ref="N72:N73" si="110">L72*M72</f>
        <v>0</v>
      </c>
      <c r="O72" s="121">
        <f>K72*1.038</f>
        <v>105.54216911064002</v>
      </c>
      <c r="P72" s="102"/>
      <c r="Q72" s="93">
        <v>864</v>
      </c>
      <c r="R72" s="101">
        <f t="shared" si="1"/>
        <v>0</v>
      </c>
      <c r="S72" s="121">
        <f>O72*1.038</f>
        <v>109.55277153684435</v>
      </c>
      <c r="T72" s="150"/>
      <c r="U72" s="93">
        <v>864</v>
      </c>
      <c r="V72" s="92">
        <f t="shared" si="2"/>
        <v>0</v>
      </c>
      <c r="W72" s="121">
        <f>S72*1.038</f>
        <v>113.71577685524444</v>
      </c>
      <c r="X72" s="150"/>
      <c r="Y72" s="93">
        <v>864</v>
      </c>
      <c r="Z72" s="92">
        <f t="shared" si="3"/>
        <v>0</v>
      </c>
      <c r="AA72" s="121">
        <f>W72*1.038</f>
        <v>118.03697637574373</v>
      </c>
      <c r="AB72" s="150"/>
      <c r="AC72" s="93">
        <v>864</v>
      </c>
      <c r="AD72" s="95">
        <f t="shared" si="4"/>
        <v>0</v>
      </c>
      <c r="AE72" s="103">
        <f t="shared" si="106"/>
        <v>4320</v>
      </c>
      <c r="AF72" s="92">
        <f t="shared" si="90"/>
        <v>0</v>
      </c>
    </row>
    <row r="73" spans="1:32" x14ac:dyDescent="0.2">
      <c r="A73" s="86"/>
      <c r="B73" s="41" t="s">
        <v>174</v>
      </c>
      <c r="C73" s="140" t="s">
        <v>5</v>
      </c>
      <c r="D73" s="53"/>
      <c r="E73" s="144" t="s">
        <v>89</v>
      </c>
      <c r="F73" s="151" t="s">
        <v>97</v>
      </c>
      <c r="G73" s="185" t="s">
        <v>181</v>
      </c>
      <c r="H73" s="151" t="s">
        <v>95</v>
      </c>
      <c r="I73" s="108"/>
      <c r="J73" s="154" t="s">
        <v>103</v>
      </c>
      <c r="K73" s="109">
        <f>36.12*1.0112*1.0112</f>
        <v>36.933618892800006</v>
      </c>
      <c r="L73" s="149"/>
      <c r="M73" s="93">
        <v>1920</v>
      </c>
      <c r="N73" s="101">
        <f t="shared" si="110"/>
        <v>0</v>
      </c>
      <c r="O73" s="121">
        <f>(K73*0.0112)+K73</f>
        <v>37.347275424399363</v>
      </c>
      <c r="P73" s="102"/>
      <c r="Q73" s="93">
        <v>1920</v>
      </c>
      <c r="R73" s="101">
        <f t="shared" si="1"/>
        <v>0</v>
      </c>
      <c r="S73" s="121">
        <f>(O73*0.0112)+O73</f>
        <v>37.765564909152637</v>
      </c>
      <c r="T73" s="150"/>
      <c r="U73" s="93">
        <v>1920</v>
      </c>
      <c r="V73" s="92">
        <f t="shared" si="2"/>
        <v>0</v>
      </c>
      <c r="W73" s="121">
        <f>(S73*0.0112)+S73</f>
        <v>38.188539236135149</v>
      </c>
      <c r="X73" s="150"/>
      <c r="Y73" s="93">
        <v>1920</v>
      </c>
      <c r="Z73" s="92">
        <f t="shared" si="3"/>
        <v>0</v>
      </c>
      <c r="AA73" s="121">
        <f>(W73*0.0112)+W73</f>
        <v>38.616250875579865</v>
      </c>
      <c r="AB73" s="150"/>
      <c r="AC73" s="93">
        <v>1920</v>
      </c>
      <c r="AD73" s="95">
        <f t="shared" si="4"/>
        <v>0</v>
      </c>
      <c r="AE73" s="103">
        <f t="shared" si="106"/>
        <v>9600</v>
      </c>
      <c r="AF73" s="92">
        <f t="shared" si="90"/>
        <v>0</v>
      </c>
    </row>
    <row r="74" spans="1:32" x14ac:dyDescent="0.2">
      <c r="A74" s="86"/>
      <c r="B74" s="41" t="s">
        <v>126</v>
      </c>
      <c r="C74" s="140" t="s">
        <v>5</v>
      </c>
      <c r="D74" s="53"/>
      <c r="E74" s="144" t="s">
        <v>89</v>
      </c>
      <c r="F74" s="151" t="s">
        <v>98</v>
      </c>
      <c r="G74" s="151">
        <v>30463</v>
      </c>
      <c r="H74" s="151" t="s">
        <v>95</v>
      </c>
      <c r="I74" s="108"/>
      <c r="J74" s="151" t="s">
        <v>91</v>
      </c>
      <c r="K74" s="109">
        <f>42.72*1.0112*1.0112</f>
        <v>43.682286796800007</v>
      </c>
      <c r="L74" s="149"/>
      <c r="M74" s="93">
        <v>1920</v>
      </c>
      <c r="N74" s="101">
        <f t="shared" si="0"/>
        <v>0</v>
      </c>
      <c r="O74" s="121">
        <f>(K74*0.0112)+K74</f>
        <v>44.171528408924168</v>
      </c>
      <c r="P74" s="102"/>
      <c r="Q74" s="93">
        <v>1920</v>
      </c>
      <c r="R74" s="101">
        <f t="shared" si="1"/>
        <v>0</v>
      </c>
      <c r="S74" s="121">
        <f>(O74*0.0112)+O74</f>
        <v>44.666249527104121</v>
      </c>
      <c r="T74" s="150"/>
      <c r="U74" s="93">
        <v>1920</v>
      </c>
      <c r="V74" s="92">
        <f t="shared" si="2"/>
        <v>0</v>
      </c>
      <c r="W74" s="121">
        <f>(S74*0.0112)+S74</f>
        <v>45.166511521807685</v>
      </c>
      <c r="X74" s="150"/>
      <c r="Y74" s="93">
        <v>1920</v>
      </c>
      <c r="Z74" s="92">
        <f t="shared" si="3"/>
        <v>0</v>
      </c>
      <c r="AA74" s="121">
        <f>(W74*0.0112)+W74</f>
        <v>45.672376450851928</v>
      </c>
      <c r="AB74" s="150"/>
      <c r="AC74" s="93">
        <v>1920</v>
      </c>
      <c r="AD74" s="95">
        <f t="shared" si="4"/>
        <v>0</v>
      </c>
      <c r="AE74" s="103">
        <f t="shared" si="106"/>
        <v>9600</v>
      </c>
      <c r="AF74" s="92">
        <f t="shared" si="90"/>
        <v>0</v>
      </c>
    </row>
    <row r="75" spans="1:32" x14ac:dyDescent="0.2">
      <c r="A75" s="86"/>
      <c r="B75" s="41" t="s">
        <v>172</v>
      </c>
      <c r="C75" s="140" t="s">
        <v>5</v>
      </c>
      <c r="D75" s="53"/>
      <c r="E75" s="144" t="s">
        <v>89</v>
      </c>
      <c r="F75" s="151" t="s">
        <v>173</v>
      </c>
      <c r="G75" s="151" t="s">
        <v>95</v>
      </c>
      <c r="H75" s="151">
        <v>621</v>
      </c>
      <c r="I75" s="108"/>
      <c r="J75" s="154" t="s">
        <v>103</v>
      </c>
      <c r="K75" s="109">
        <f>67.07*1.038*1.038</f>
        <v>72.264169079999988</v>
      </c>
      <c r="L75" s="149"/>
      <c r="M75" s="93">
        <v>960</v>
      </c>
      <c r="N75" s="101">
        <f t="shared" si="0"/>
        <v>0</v>
      </c>
      <c r="O75" s="121">
        <f>K75*1.038</f>
        <v>75.010207505039986</v>
      </c>
      <c r="P75" s="102"/>
      <c r="Q75" s="93">
        <v>960</v>
      </c>
      <c r="R75" s="101">
        <f t="shared" ref="R75" si="111">P75*Q75</f>
        <v>0</v>
      </c>
      <c r="S75" s="121">
        <f>O75*1.038</f>
        <v>77.860595390231509</v>
      </c>
      <c r="T75" s="150"/>
      <c r="U75" s="93">
        <v>960</v>
      </c>
      <c r="V75" s="92">
        <f t="shared" ref="V75" si="112">T75*U75</f>
        <v>0</v>
      </c>
      <c r="W75" s="121">
        <f>S75*1.038</f>
        <v>80.819298015060312</v>
      </c>
      <c r="X75" s="150"/>
      <c r="Y75" s="93">
        <v>960</v>
      </c>
      <c r="Z75" s="92">
        <f t="shared" ref="Z75" si="113">X75*Y75</f>
        <v>0</v>
      </c>
      <c r="AA75" s="121">
        <f>W75*1.038</f>
        <v>83.890431339632613</v>
      </c>
      <c r="AB75" s="150"/>
      <c r="AC75" s="93">
        <v>960</v>
      </c>
      <c r="AD75" s="95">
        <f t="shared" ref="AD75" si="114">AB75*AC75</f>
        <v>0</v>
      </c>
      <c r="AE75" s="103">
        <f t="shared" si="106"/>
        <v>4800</v>
      </c>
      <c r="AF75" s="92">
        <f t="shared" si="90"/>
        <v>0</v>
      </c>
    </row>
    <row r="76" spans="1:32" x14ac:dyDescent="0.2">
      <c r="A76" s="70"/>
      <c r="B76" s="84" t="s">
        <v>20</v>
      </c>
      <c r="C76" s="144"/>
      <c r="D76" s="53"/>
      <c r="E76" s="144"/>
      <c r="F76" s="110"/>
      <c r="G76" s="110"/>
      <c r="H76" s="110"/>
      <c r="I76" s="110"/>
      <c r="J76" s="110"/>
      <c r="K76" s="108"/>
      <c r="L76" s="102"/>
      <c r="M76" s="96">
        <f>SUM(M9:M75)</f>
        <v>92640</v>
      </c>
      <c r="N76" s="114">
        <f>SUM(N9:N75)</f>
        <v>0</v>
      </c>
      <c r="O76" s="122"/>
      <c r="P76" s="119"/>
      <c r="Q76" s="96">
        <f>SUM(Q9:Q75)</f>
        <v>92640</v>
      </c>
      <c r="R76" s="114">
        <f>SUM(R9:R75)</f>
        <v>0</v>
      </c>
      <c r="S76" s="122"/>
      <c r="T76" s="119"/>
      <c r="U76" s="96">
        <f>SUM(U9:U75)</f>
        <v>92640</v>
      </c>
      <c r="V76" s="97">
        <f>SUM(V9:V75)</f>
        <v>0</v>
      </c>
      <c r="W76" s="122"/>
      <c r="X76" s="97"/>
      <c r="Y76" s="96">
        <f>SUM(Y9:Y75)</f>
        <v>92640</v>
      </c>
      <c r="Z76" s="97">
        <f>SUM(Z9:Z75)</f>
        <v>0</v>
      </c>
      <c r="AA76" s="122"/>
      <c r="AB76" s="97"/>
      <c r="AC76" s="96">
        <f>SUM(AC9:AC75)</f>
        <v>92640</v>
      </c>
      <c r="AD76" s="94">
        <f>SUM(AD9:AD75)</f>
        <v>0</v>
      </c>
      <c r="AE76" s="175">
        <f t="shared" si="106"/>
        <v>463200</v>
      </c>
      <c r="AF76" s="94">
        <f>SUM(AF9:AF75)</f>
        <v>0</v>
      </c>
    </row>
    <row r="77" spans="1:32" x14ac:dyDescent="0.2">
      <c r="A77" s="70"/>
      <c r="B77" s="75" t="s">
        <v>19</v>
      </c>
      <c r="C77" s="145"/>
      <c r="D77" s="53"/>
      <c r="E77" s="145"/>
      <c r="F77" s="108"/>
      <c r="G77" s="110"/>
      <c r="H77" s="110"/>
      <c r="I77" s="110"/>
      <c r="J77" s="110"/>
      <c r="K77" s="110"/>
      <c r="L77" s="100"/>
      <c r="M77" s="13"/>
      <c r="N77" s="115"/>
      <c r="O77" s="108"/>
      <c r="P77" s="100"/>
      <c r="Q77" s="13"/>
      <c r="R77" s="115"/>
      <c r="S77" s="108"/>
      <c r="T77" s="100"/>
      <c r="U77" s="13"/>
      <c r="V77" s="11"/>
      <c r="W77" s="108"/>
      <c r="X77" s="12"/>
      <c r="Y77" s="13"/>
      <c r="Z77" s="11"/>
      <c r="AA77" s="108"/>
      <c r="AB77" s="12"/>
      <c r="AC77" s="13"/>
      <c r="AD77" s="11"/>
      <c r="AE77" s="100"/>
      <c r="AF77" s="11"/>
    </row>
    <row r="78" spans="1:32" x14ac:dyDescent="0.2">
      <c r="A78" s="70"/>
      <c r="B78" s="77" t="s">
        <v>7</v>
      </c>
      <c r="C78" s="145"/>
      <c r="D78" s="53"/>
      <c r="E78" s="145"/>
      <c r="F78" s="108"/>
      <c r="G78" s="110"/>
      <c r="H78" s="110"/>
      <c r="I78" s="110"/>
      <c r="J78" s="110"/>
      <c r="K78" s="110"/>
      <c r="L78" s="162"/>
      <c r="M78" s="13"/>
      <c r="N78" s="55"/>
      <c r="O78" s="123"/>
      <c r="P78" s="100"/>
      <c r="Q78" s="13"/>
      <c r="R78" s="55"/>
      <c r="S78" s="123"/>
      <c r="T78" s="100"/>
      <c r="U78" s="13"/>
      <c r="V78" s="42"/>
      <c r="W78" s="123"/>
      <c r="X78" s="12"/>
      <c r="Y78" s="13"/>
      <c r="Z78" s="42"/>
      <c r="AA78" s="123"/>
      <c r="AB78" s="12"/>
      <c r="AC78" s="13"/>
      <c r="AD78" s="42"/>
      <c r="AE78" s="100"/>
      <c r="AF78" s="42"/>
    </row>
    <row r="79" spans="1:32" x14ac:dyDescent="0.2">
      <c r="A79" s="70"/>
      <c r="B79" s="77" t="s">
        <v>8</v>
      </c>
      <c r="C79" s="145"/>
      <c r="D79" s="53"/>
      <c r="E79" s="145"/>
      <c r="F79" s="108"/>
      <c r="G79" s="110"/>
      <c r="H79" s="110"/>
      <c r="I79" s="110"/>
      <c r="J79" s="110"/>
      <c r="K79" s="110"/>
      <c r="L79" s="162"/>
      <c r="M79" s="13"/>
      <c r="N79" s="55"/>
      <c r="O79" s="123"/>
      <c r="P79" s="100"/>
      <c r="Q79" s="13"/>
      <c r="R79" s="55"/>
      <c r="S79" s="123"/>
      <c r="T79" s="100"/>
      <c r="U79" s="13"/>
      <c r="V79" s="42"/>
      <c r="W79" s="123"/>
      <c r="X79" s="12"/>
      <c r="Y79" s="13"/>
      <c r="Z79" s="42"/>
      <c r="AA79" s="123"/>
      <c r="AB79" s="12"/>
      <c r="AC79" s="13"/>
      <c r="AD79" s="42"/>
      <c r="AE79" s="100"/>
      <c r="AF79" s="42"/>
    </row>
    <row r="80" spans="1:32" x14ac:dyDescent="0.2">
      <c r="A80" s="70"/>
      <c r="B80" s="77" t="s">
        <v>9</v>
      </c>
      <c r="C80" s="145"/>
      <c r="D80" s="53"/>
      <c r="E80" s="145"/>
      <c r="F80" s="108"/>
      <c r="G80" s="110"/>
      <c r="H80" s="110"/>
      <c r="I80" s="110"/>
      <c r="J80" s="110"/>
      <c r="K80" s="110"/>
      <c r="L80" s="162"/>
      <c r="M80" s="13"/>
      <c r="N80" s="55"/>
      <c r="O80" s="123"/>
      <c r="P80" s="100"/>
      <c r="Q80" s="13"/>
      <c r="R80" s="55"/>
      <c r="S80" s="123"/>
      <c r="T80" s="100"/>
      <c r="U80" s="13"/>
      <c r="V80" s="42"/>
      <c r="W80" s="123"/>
      <c r="X80" s="12"/>
      <c r="Y80" s="13"/>
      <c r="Z80" s="42"/>
      <c r="AA80" s="123"/>
      <c r="AB80" s="12"/>
      <c r="AC80" s="13"/>
      <c r="AD80" s="42"/>
      <c r="AE80" s="100"/>
      <c r="AF80" s="42"/>
    </row>
    <row r="81" spans="1:32" x14ac:dyDescent="0.2">
      <c r="A81" s="70"/>
      <c r="B81" s="77" t="s">
        <v>21</v>
      </c>
      <c r="C81" s="145"/>
      <c r="D81" s="53"/>
      <c r="E81" s="145"/>
      <c r="F81" s="108"/>
      <c r="G81" s="110"/>
      <c r="H81" s="110"/>
      <c r="I81" s="110"/>
      <c r="J81" s="110"/>
      <c r="K81" s="110"/>
      <c r="L81" s="100"/>
      <c r="M81" s="13"/>
      <c r="N81" s="116"/>
      <c r="O81" s="124"/>
      <c r="P81" s="100"/>
      <c r="Q81" s="13"/>
      <c r="R81" s="116"/>
      <c r="S81" s="124"/>
      <c r="T81" s="100"/>
      <c r="U81" s="13"/>
      <c r="V81" s="95"/>
      <c r="W81" s="124"/>
      <c r="X81" s="12"/>
      <c r="Y81" s="13"/>
      <c r="Z81" s="95"/>
      <c r="AA81" s="124"/>
      <c r="AB81" s="12"/>
      <c r="AC81" s="13"/>
      <c r="AD81" s="95"/>
      <c r="AE81" s="100"/>
      <c r="AF81" s="95"/>
    </row>
    <row r="82" spans="1:32" x14ac:dyDescent="0.2">
      <c r="A82" s="70"/>
      <c r="B82" s="75" t="s">
        <v>22</v>
      </c>
      <c r="C82" s="145"/>
      <c r="D82" s="53"/>
      <c r="E82" s="145"/>
      <c r="F82" s="108"/>
      <c r="G82" s="110"/>
      <c r="H82" s="110"/>
      <c r="I82" s="110"/>
      <c r="J82" s="110"/>
      <c r="K82" s="110"/>
      <c r="L82" s="100"/>
      <c r="M82" s="13"/>
      <c r="N82" s="116"/>
      <c r="O82" s="124"/>
      <c r="P82" s="100"/>
      <c r="Q82" s="13"/>
      <c r="R82" s="116"/>
      <c r="S82" s="124"/>
      <c r="T82" s="100"/>
      <c r="U82" s="13"/>
      <c r="V82" s="95"/>
      <c r="W82" s="124"/>
      <c r="X82" s="12"/>
      <c r="Y82" s="13"/>
      <c r="Z82" s="95"/>
      <c r="AA82" s="124"/>
      <c r="AB82" s="12"/>
      <c r="AC82" s="13"/>
      <c r="AD82" s="95"/>
      <c r="AE82" s="100"/>
      <c r="AF82" s="95"/>
    </row>
    <row r="83" spans="1:32" x14ac:dyDescent="0.2">
      <c r="A83" s="70"/>
      <c r="B83" s="75" t="s">
        <v>13</v>
      </c>
      <c r="C83" s="145"/>
      <c r="D83" s="53"/>
      <c r="E83" s="145"/>
      <c r="F83" s="108"/>
      <c r="G83" s="110"/>
      <c r="H83" s="110"/>
      <c r="I83" s="110"/>
      <c r="J83" s="110"/>
      <c r="K83" s="110"/>
      <c r="L83" s="100"/>
      <c r="M83" s="13"/>
      <c r="N83" s="55"/>
      <c r="O83" s="123"/>
      <c r="P83" s="100"/>
      <c r="Q83" s="13"/>
      <c r="R83" s="55"/>
      <c r="S83" s="123"/>
      <c r="T83" s="100"/>
      <c r="U83" s="13"/>
      <c r="V83" s="42"/>
      <c r="W83" s="123"/>
      <c r="X83" s="12"/>
      <c r="Y83" s="13"/>
      <c r="Z83" s="42"/>
      <c r="AA83" s="123"/>
      <c r="AB83" s="12"/>
      <c r="AC83" s="13"/>
      <c r="AD83" s="42"/>
      <c r="AE83" s="100"/>
      <c r="AF83" s="42"/>
    </row>
    <row r="84" spans="1:32" x14ac:dyDescent="0.2">
      <c r="A84" s="70"/>
      <c r="B84" s="75" t="s">
        <v>10</v>
      </c>
      <c r="C84" s="145"/>
      <c r="D84" s="53"/>
      <c r="E84" s="145"/>
      <c r="F84" s="108"/>
      <c r="G84" s="110"/>
      <c r="H84" s="110"/>
      <c r="I84" s="110"/>
      <c r="J84" s="110"/>
      <c r="K84" s="110"/>
      <c r="L84" s="100"/>
      <c r="M84" s="13"/>
      <c r="N84" s="116"/>
      <c r="O84" s="124"/>
      <c r="P84" s="100"/>
      <c r="Q84" s="13"/>
      <c r="R84" s="116"/>
      <c r="S84" s="124"/>
      <c r="T84" s="100"/>
      <c r="U84" s="13"/>
      <c r="V84" s="95"/>
      <c r="W84" s="124"/>
      <c r="X84" s="12"/>
      <c r="Y84" s="13"/>
      <c r="Z84" s="95"/>
      <c r="AA84" s="124"/>
      <c r="AB84" s="12"/>
      <c r="AC84" s="13"/>
      <c r="AD84" s="95"/>
      <c r="AE84" s="100"/>
      <c r="AF84" s="95"/>
    </row>
    <row r="85" spans="1:32" x14ac:dyDescent="0.2">
      <c r="A85" s="70"/>
      <c r="B85" s="78"/>
      <c r="C85" s="145"/>
      <c r="D85" s="53"/>
      <c r="E85" s="145"/>
      <c r="F85" s="108"/>
      <c r="G85" s="110"/>
      <c r="H85" s="110"/>
      <c r="I85" s="110"/>
      <c r="J85" s="110"/>
      <c r="K85" s="110"/>
      <c r="L85" s="100"/>
      <c r="M85" s="13"/>
      <c r="N85" s="115"/>
      <c r="O85" s="108"/>
      <c r="P85" s="100"/>
      <c r="Q85" s="13"/>
      <c r="R85" s="115"/>
      <c r="S85" s="108"/>
      <c r="T85" s="100"/>
      <c r="U85" s="13"/>
      <c r="V85" s="11"/>
      <c r="W85" s="108"/>
      <c r="X85" s="12"/>
      <c r="Y85" s="13"/>
      <c r="Z85" s="11"/>
      <c r="AA85" s="108"/>
      <c r="AB85" s="12"/>
      <c r="AC85" s="13"/>
      <c r="AD85" s="11"/>
      <c r="AE85" s="100"/>
      <c r="AF85" s="11"/>
    </row>
    <row r="86" spans="1:32" x14ac:dyDescent="0.2">
      <c r="A86" s="70"/>
      <c r="B86" s="79" t="s">
        <v>12</v>
      </c>
      <c r="C86" s="145"/>
      <c r="D86" s="53"/>
      <c r="E86" s="145"/>
      <c r="F86" s="108"/>
      <c r="G86" s="110"/>
      <c r="H86" s="110"/>
      <c r="I86" s="110"/>
      <c r="J86" s="110"/>
      <c r="K86" s="110"/>
      <c r="L86" s="100"/>
      <c r="M86" s="13"/>
      <c r="N86" s="115"/>
      <c r="O86" s="108"/>
      <c r="P86" s="100"/>
      <c r="Q86" s="13"/>
      <c r="R86" s="115"/>
      <c r="S86" s="108"/>
      <c r="T86" s="100"/>
      <c r="U86" s="13"/>
      <c r="V86" s="11"/>
      <c r="W86" s="108"/>
      <c r="X86" s="12"/>
      <c r="Y86" s="13"/>
      <c r="Z86" s="11"/>
      <c r="AA86" s="108"/>
      <c r="AB86" s="12"/>
      <c r="AC86" s="13"/>
      <c r="AD86" s="11"/>
      <c r="AE86" s="100"/>
      <c r="AF86" s="11"/>
    </row>
    <row r="87" spans="1:32" x14ac:dyDescent="0.2">
      <c r="A87" s="70"/>
      <c r="B87" s="75" t="s">
        <v>15</v>
      </c>
      <c r="C87" s="145"/>
      <c r="D87" s="53"/>
      <c r="E87" s="145"/>
      <c r="F87" s="108"/>
      <c r="G87" s="110"/>
      <c r="H87" s="110"/>
      <c r="I87" s="110"/>
      <c r="J87" s="110"/>
      <c r="K87" s="110"/>
      <c r="L87" s="100"/>
      <c r="M87" s="13"/>
      <c r="N87" s="115"/>
      <c r="O87" s="108"/>
      <c r="P87" s="100"/>
      <c r="Q87" s="13"/>
      <c r="R87" s="115"/>
      <c r="S87" s="108"/>
      <c r="T87" s="100"/>
      <c r="U87" s="13"/>
      <c r="V87" s="11"/>
      <c r="W87" s="108"/>
      <c r="X87" s="12"/>
      <c r="Y87" s="13"/>
      <c r="Z87" s="11"/>
      <c r="AA87" s="108"/>
      <c r="AB87" s="12"/>
      <c r="AC87" s="13"/>
      <c r="AD87" s="11"/>
      <c r="AE87" s="100"/>
      <c r="AF87" s="11"/>
    </row>
    <row r="88" spans="1:32" x14ac:dyDescent="0.2">
      <c r="A88" s="71"/>
      <c r="B88" s="76" t="s">
        <v>76</v>
      </c>
      <c r="C88" s="146"/>
      <c r="D88" s="174"/>
      <c r="E88" s="146"/>
      <c r="F88" s="108"/>
      <c r="G88" s="110"/>
      <c r="H88" s="110"/>
      <c r="I88" s="110"/>
      <c r="J88" s="110"/>
      <c r="K88" s="110"/>
      <c r="L88" s="163"/>
      <c r="M88" s="41"/>
      <c r="N88" s="101"/>
      <c r="O88" s="121"/>
      <c r="P88" s="100"/>
      <c r="Q88" s="41"/>
      <c r="R88" s="101"/>
      <c r="S88" s="121"/>
      <c r="T88" s="100"/>
      <c r="U88" s="41"/>
      <c r="V88" s="92"/>
      <c r="W88" s="121"/>
      <c r="X88" s="12"/>
      <c r="Y88" s="41"/>
      <c r="Z88" s="92"/>
      <c r="AA88" s="121"/>
      <c r="AB88" s="12"/>
      <c r="AC88" s="41"/>
      <c r="AD88" s="92"/>
      <c r="AE88" s="103"/>
      <c r="AF88" s="92"/>
    </row>
    <row r="89" spans="1:32" x14ac:dyDescent="0.2">
      <c r="A89" s="71"/>
      <c r="B89" s="76" t="s">
        <v>78</v>
      </c>
      <c r="C89" s="146" t="s">
        <v>3</v>
      </c>
      <c r="D89" s="174"/>
      <c r="E89" s="146"/>
      <c r="F89" s="108"/>
      <c r="G89" s="110"/>
      <c r="H89" s="110"/>
      <c r="I89" s="110"/>
      <c r="J89" s="110"/>
      <c r="K89" s="110"/>
      <c r="L89" s="163"/>
      <c r="M89" s="41"/>
      <c r="N89" s="101"/>
      <c r="O89" s="121"/>
      <c r="P89" s="100"/>
      <c r="Q89" s="41"/>
      <c r="R89" s="101"/>
      <c r="S89" s="121"/>
      <c r="T89" s="100"/>
      <c r="U89" s="41"/>
      <c r="V89" s="92"/>
      <c r="W89" s="121"/>
      <c r="X89" s="12"/>
      <c r="Y89" s="41"/>
      <c r="Z89" s="92"/>
      <c r="AA89" s="121"/>
      <c r="AB89" s="12"/>
      <c r="AC89" s="41"/>
      <c r="AD89" s="92"/>
      <c r="AE89" s="172"/>
      <c r="AF89" s="92"/>
    </row>
    <row r="90" spans="1:32" x14ac:dyDescent="0.2">
      <c r="A90" s="71"/>
      <c r="B90" s="76"/>
      <c r="C90" s="146" t="s">
        <v>4</v>
      </c>
      <c r="D90" s="174"/>
      <c r="E90" s="146"/>
      <c r="F90" s="108"/>
      <c r="G90" s="110"/>
      <c r="H90" s="110"/>
      <c r="I90" s="110"/>
      <c r="J90" s="110"/>
      <c r="K90" s="110"/>
      <c r="L90" s="163"/>
      <c r="M90" s="41"/>
      <c r="N90" s="101"/>
      <c r="O90" s="121"/>
      <c r="P90" s="100"/>
      <c r="Q90" s="41"/>
      <c r="R90" s="101"/>
      <c r="S90" s="121"/>
      <c r="T90" s="100"/>
      <c r="U90" s="41"/>
      <c r="V90" s="92"/>
      <c r="W90" s="121"/>
      <c r="X90" s="12"/>
      <c r="Y90" s="41"/>
      <c r="Z90" s="92"/>
      <c r="AA90" s="121"/>
      <c r="AB90" s="12"/>
      <c r="AC90" s="41"/>
      <c r="AD90" s="92"/>
      <c r="AE90" s="172"/>
      <c r="AF90" s="92"/>
    </row>
    <row r="91" spans="1:32" x14ac:dyDescent="0.2">
      <c r="A91" s="71"/>
      <c r="B91" s="76"/>
      <c r="C91" s="146" t="s">
        <v>5</v>
      </c>
      <c r="D91" s="174"/>
      <c r="E91" s="146"/>
      <c r="F91" s="108"/>
      <c r="G91" s="110"/>
      <c r="H91" s="110"/>
      <c r="I91" s="110"/>
      <c r="J91" s="110"/>
      <c r="K91" s="110"/>
      <c r="L91" s="163"/>
      <c r="M91" s="41"/>
      <c r="N91" s="101"/>
      <c r="O91" s="121"/>
      <c r="P91" s="100"/>
      <c r="Q91" s="41"/>
      <c r="R91" s="101"/>
      <c r="S91" s="121"/>
      <c r="T91" s="100"/>
      <c r="U91" s="41"/>
      <c r="V91" s="92"/>
      <c r="W91" s="121"/>
      <c r="X91" s="12"/>
      <c r="Y91" s="41"/>
      <c r="Z91" s="92"/>
      <c r="AA91" s="121"/>
      <c r="AB91" s="12"/>
      <c r="AC91" s="41"/>
      <c r="AD91" s="92"/>
      <c r="AE91" s="172"/>
      <c r="AF91" s="92"/>
    </row>
    <row r="92" spans="1:32" x14ac:dyDescent="0.2">
      <c r="A92" s="71"/>
      <c r="B92" s="76"/>
      <c r="C92" s="146" t="s">
        <v>5</v>
      </c>
      <c r="D92" s="174"/>
      <c r="E92" s="146"/>
      <c r="F92" s="108"/>
      <c r="G92" s="110"/>
      <c r="H92" s="110"/>
      <c r="I92" s="110"/>
      <c r="J92" s="110"/>
      <c r="K92" s="110"/>
      <c r="L92" s="163"/>
      <c r="M92" s="41"/>
      <c r="N92" s="101"/>
      <c r="O92" s="121"/>
      <c r="P92" s="100"/>
      <c r="Q92" s="41"/>
      <c r="R92" s="101"/>
      <c r="S92" s="121"/>
      <c r="T92" s="100"/>
      <c r="U92" s="41"/>
      <c r="V92" s="92"/>
      <c r="W92" s="121"/>
      <c r="X92" s="12"/>
      <c r="Y92" s="41"/>
      <c r="Z92" s="92"/>
      <c r="AA92" s="121"/>
      <c r="AB92" s="12"/>
      <c r="AC92" s="41"/>
      <c r="AD92" s="92"/>
      <c r="AE92" s="172"/>
      <c r="AF92" s="92"/>
    </row>
    <row r="93" spans="1:32" x14ac:dyDescent="0.2">
      <c r="A93" s="71"/>
      <c r="B93" s="76"/>
      <c r="C93" s="146" t="s">
        <v>5</v>
      </c>
      <c r="D93" s="174"/>
      <c r="E93" s="146"/>
      <c r="F93" s="108"/>
      <c r="G93" s="110"/>
      <c r="H93" s="110"/>
      <c r="I93" s="110"/>
      <c r="J93" s="110"/>
      <c r="K93" s="110"/>
      <c r="L93" s="163"/>
      <c r="M93" s="41"/>
      <c r="N93" s="101"/>
      <c r="O93" s="121"/>
      <c r="P93" s="100"/>
      <c r="Q93" s="41"/>
      <c r="R93" s="101"/>
      <c r="S93" s="121"/>
      <c r="T93" s="100"/>
      <c r="U93" s="41"/>
      <c r="V93" s="92"/>
      <c r="W93" s="121"/>
      <c r="X93" s="12"/>
      <c r="Y93" s="41"/>
      <c r="Z93" s="92"/>
      <c r="AA93" s="121"/>
      <c r="AB93" s="12"/>
      <c r="AC93" s="41"/>
      <c r="AD93" s="92"/>
      <c r="AE93" s="172"/>
      <c r="AF93" s="92"/>
    </row>
    <row r="94" spans="1:32" x14ac:dyDescent="0.2">
      <c r="A94" s="71"/>
      <c r="B94" s="76"/>
      <c r="C94" s="146" t="s">
        <v>5</v>
      </c>
      <c r="D94" s="174"/>
      <c r="E94" s="146"/>
      <c r="F94" s="108"/>
      <c r="G94" s="110"/>
      <c r="H94" s="110"/>
      <c r="I94" s="110"/>
      <c r="J94" s="110"/>
      <c r="K94" s="110"/>
      <c r="L94" s="163"/>
      <c r="M94" s="41"/>
      <c r="N94" s="101"/>
      <c r="O94" s="121"/>
      <c r="P94" s="100"/>
      <c r="Q94" s="41"/>
      <c r="R94" s="101"/>
      <c r="S94" s="121"/>
      <c r="T94" s="100"/>
      <c r="U94" s="41"/>
      <c r="V94" s="92"/>
      <c r="W94" s="121"/>
      <c r="X94" s="12"/>
      <c r="Y94" s="41"/>
      <c r="Z94" s="92"/>
      <c r="AA94" s="121"/>
      <c r="AB94" s="12"/>
      <c r="AC94" s="41"/>
      <c r="AD94" s="92"/>
      <c r="AE94" s="172"/>
      <c r="AF94" s="92"/>
    </row>
    <row r="95" spans="1:32" x14ac:dyDescent="0.2">
      <c r="A95" s="71"/>
      <c r="B95" s="76"/>
      <c r="C95" s="146" t="s">
        <v>5</v>
      </c>
      <c r="D95" s="174"/>
      <c r="E95" s="146"/>
      <c r="F95" s="108"/>
      <c r="G95" s="110"/>
      <c r="H95" s="110"/>
      <c r="I95" s="110"/>
      <c r="J95" s="110"/>
      <c r="K95" s="110"/>
      <c r="L95" s="163"/>
      <c r="M95" s="41"/>
      <c r="N95" s="101"/>
      <c r="O95" s="121"/>
      <c r="P95" s="100"/>
      <c r="Q95" s="41"/>
      <c r="R95" s="101"/>
      <c r="S95" s="121"/>
      <c r="T95" s="100"/>
      <c r="U95" s="41"/>
      <c r="V95" s="92"/>
      <c r="W95" s="121"/>
      <c r="X95" s="12"/>
      <c r="Y95" s="41"/>
      <c r="Z95" s="92"/>
      <c r="AA95" s="121"/>
      <c r="AB95" s="12"/>
      <c r="AC95" s="41"/>
      <c r="AD95" s="92"/>
      <c r="AE95" s="172"/>
      <c r="AF95" s="92"/>
    </row>
    <row r="96" spans="1:32" x14ac:dyDescent="0.2">
      <c r="A96" s="71"/>
      <c r="B96" s="76"/>
      <c r="C96" s="146" t="s">
        <v>5</v>
      </c>
      <c r="D96" s="174"/>
      <c r="E96" s="146"/>
      <c r="F96" s="108"/>
      <c r="G96" s="110"/>
      <c r="H96" s="110"/>
      <c r="I96" s="110"/>
      <c r="J96" s="110"/>
      <c r="K96" s="110"/>
      <c r="L96" s="163"/>
      <c r="M96" s="41"/>
      <c r="N96" s="101"/>
      <c r="O96" s="121"/>
      <c r="P96" s="100"/>
      <c r="Q96" s="41"/>
      <c r="R96" s="101"/>
      <c r="S96" s="121"/>
      <c r="T96" s="100"/>
      <c r="U96" s="41"/>
      <c r="V96" s="92"/>
      <c r="W96" s="121"/>
      <c r="X96" s="12"/>
      <c r="Y96" s="41"/>
      <c r="Z96" s="92"/>
      <c r="AA96" s="121"/>
      <c r="AB96" s="12"/>
      <c r="AC96" s="41"/>
      <c r="AD96" s="92"/>
      <c r="AE96" s="172"/>
      <c r="AF96" s="92"/>
    </row>
    <row r="97" spans="1:32" x14ac:dyDescent="0.2">
      <c r="A97" s="71"/>
      <c r="B97" s="76"/>
      <c r="C97" s="146" t="s">
        <v>5</v>
      </c>
      <c r="D97" s="174"/>
      <c r="E97" s="146"/>
      <c r="F97" s="108"/>
      <c r="G97" s="110"/>
      <c r="H97" s="110"/>
      <c r="I97" s="110"/>
      <c r="J97" s="110"/>
      <c r="K97" s="110"/>
      <c r="L97" s="163"/>
      <c r="M97" s="41"/>
      <c r="N97" s="101"/>
      <c r="O97" s="121"/>
      <c r="P97" s="100"/>
      <c r="Q97" s="41"/>
      <c r="R97" s="101"/>
      <c r="S97" s="121"/>
      <c r="T97" s="100"/>
      <c r="U97" s="41"/>
      <c r="V97" s="92"/>
      <c r="W97" s="121"/>
      <c r="X97" s="12"/>
      <c r="Y97" s="41"/>
      <c r="Z97" s="92"/>
      <c r="AA97" s="121"/>
      <c r="AB97" s="12"/>
      <c r="AC97" s="41"/>
      <c r="AD97" s="92"/>
      <c r="AE97" s="172"/>
      <c r="AF97" s="92"/>
    </row>
    <row r="98" spans="1:32" x14ac:dyDescent="0.2">
      <c r="A98" s="71"/>
      <c r="B98" s="76"/>
      <c r="C98" s="146" t="s">
        <v>5</v>
      </c>
      <c r="D98" s="174"/>
      <c r="E98" s="146"/>
      <c r="F98" s="108"/>
      <c r="G98" s="110"/>
      <c r="H98" s="110"/>
      <c r="I98" s="110"/>
      <c r="J98" s="110"/>
      <c r="K98" s="110"/>
      <c r="L98" s="163"/>
      <c r="M98" s="41"/>
      <c r="N98" s="101"/>
      <c r="O98" s="121"/>
      <c r="P98" s="100"/>
      <c r="Q98" s="41"/>
      <c r="R98" s="101"/>
      <c r="S98" s="121"/>
      <c r="T98" s="100"/>
      <c r="U98" s="41"/>
      <c r="V98" s="92"/>
      <c r="W98" s="121"/>
      <c r="X98" s="12"/>
      <c r="Y98" s="41"/>
      <c r="Z98" s="92"/>
      <c r="AA98" s="121"/>
      <c r="AB98" s="12"/>
      <c r="AC98" s="41"/>
      <c r="AD98" s="92"/>
      <c r="AE98" s="172"/>
      <c r="AF98" s="92"/>
    </row>
    <row r="99" spans="1:32" x14ac:dyDescent="0.2">
      <c r="A99" s="71"/>
      <c r="B99" s="76" t="s">
        <v>76</v>
      </c>
      <c r="C99" s="146"/>
      <c r="D99" s="174"/>
      <c r="E99" s="146"/>
      <c r="F99" s="108"/>
      <c r="G99" s="110"/>
      <c r="H99" s="110"/>
      <c r="I99" s="110"/>
      <c r="J99" s="110"/>
      <c r="K99" s="110"/>
      <c r="L99" s="163"/>
      <c r="M99" s="41"/>
      <c r="N99" s="101"/>
      <c r="O99" s="121"/>
      <c r="P99" s="100"/>
      <c r="Q99" s="41"/>
      <c r="R99" s="101"/>
      <c r="S99" s="121"/>
      <c r="T99" s="100"/>
      <c r="U99" s="41"/>
      <c r="V99" s="92"/>
      <c r="W99" s="121"/>
      <c r="X99" s="12"/>
      <c r="Y99" s="41"/>
      <c r="Z99" s="92"/>
      <c r="AA99" s="121"/>
      <c r="AB99" s="12"/>
      <c r="AC99" s="41"/>
      <c r="AD99" s="92"/>
      <c r="AE99" s="172"/>
      <c r="AF99" s="92"/>
    </row>
    <row r="100" spans="1:32" x14ac:dyDescent="0.2">
      <c r="A100" s="71"/>
      <c r="B100" s="76" t="s">
        <v>78</v>
      </c>
      <c r="C100" s="146" t="s">
        <v>3</v>
      </c>
      <c r="D100" s="174"/>
      <c r="E100" s="146"/>
      <c r="F100" s="108"/>
      <c r="G100" s="110"/>
      <c r="H100" s="110"/>
      <c r="I100" s="110"/>
      <c r="J100" s="110"/>
      <c r="K100" s="110"/>
      <c r="L100" s="163"/>
      <c r="M100" s="41"/>
      <c r="N100" s="101"/>
      <c r="O100" s="121"/>
      <c r="P100" s="100"/>
      <c r="Q100" s="41"/>
      <c r="R100" s="101"/>
      <c r="S100" s="121"/>
      <c r="T100" s="100"/>
      <c r="U100" s="41"/>
      <c r="V100" s="92"/>
      <c r="W100" s="121"/>
      <c r="X100" s="12"/>
      <c r="Y100" s="41"/>
      <c r="Z100" s="92"/>
      <c r="AA100" s="121"/>
      <c r="AB100" s="12"/>
      <c r="AC100" s="41"/>
      <c r="AD100" s="92"/>
      <c r="AE100" s="172"/>
      <c r="AF100" s="92"/>
    </row>
    <row r="101" spans="1:32" x14ac:dyDescent="0.2">
      <c r="A101" s="71"/>
      <c r="B101" s="76"/>
      <c r="C101" s="146" t="s">
        <v>4</v>
      </c>
      <c r="D101" s="174"/>
      <c r="E101" s="146"/>
      <c r="F101" s="108"/>
      <c r="G101" s="110"/>
      <c r="H101" s="110"/>
      <c r="I101" s="110"/>
      <c r="J101" s="110"/>
      <c r="K101" s="110"/>
      <c r="L101" s="163"/>
      <c r="M101" s="41"/>
      <c r="N101" s="101"/>
      <c r="O101" s="121"/>
      <c r="P101" s="100"/>
      <c r="Q101" s="41"/>
      <c r="R101" s="101"/>
      <c r="S101" s="121"/>
      <c r="T101" s="100"/>
      <c r="U101" s="41"/>
      <c r="V101" s="92"/>
      <c r="W101" s="121"/>
      <c r="X101" s="12"/>
      <c r="Y101" s="41"/>
      <c r="Z101" s="92"/>
      <c r="AA101" s="121"/>
      <c r="AB101" s="12"/>
      <c r="AC101" s="41"/>
      <c r="AD101" s="92"/>
      <c r="AE101" s="172"/>
      <c r="AF101" s="92"/>
    </row>
    <row r="102" spans="1:32" x14ac:dyDescent="0.2">
      <c r="A102" s="71"/>
      <c r="B102" s="76"/>
      <c r="C102" s="146" t="s">
        <v>5</v>
      </c>
      <c r="D102" s="174"/>
      <c r="E102" s="146"/>
      <c r="F102" s="108"/>
      <c r="G102" s="110"/>
      <c r="H102" s="110"/>
      <c r="I102" s="110"/>
      <c r="J102" s="110"/>
      <c r="K102" s="110"/>
      <c r="L102" s="163"/>
      <c r="M102" s="41"/>
      <c r="N102" s="101"/>
      <c r="O102" s="121"/>
      <c r="P102" s="100"/>
      <c r="Q102" s="41"/>
      <c r="R102" s="101"/>
      <c r="S102" s="121"/>
      <c r="T102" s="100"/>
      <c r="U102" s="41"/>
      <c r="V102" s="92"/>
      <c r="W102" s="121"/>
      <c r="X102" s="12"/>
      <c r="Y102" s="41"/>
      <c r="Z102" s="92"/>
      <c r="AA102" s="121"/>
      <c r="AB102" s="12"/>
      <c r="AC102" s="41"/>
      <c r="AD102" s="92"/>
      <c r="AE102" s="172"/>
      <c r="AF102" s="92"/>
    </row>
    <row r="103" spans="1:32" x14ac:dyDescent="0.2">
      <c r="A103" s="71"/>
      <c r="B103" s="76"/>
      <c r="C103" s="146" t="s">
        <v>5</v>
      </c>
      <c r="D103" s="174"/>
      <c r="E103" s="146"/>
      <c r="F103" s="108"/>
      <c r="G103" s="110"/>
      <c r="H103" s="110"/>
      <c r="I103" s="110"/>
      <c r="J103" s="110"/>
      <c r="K103" s="110"/>
      <c r="L103" s="163"/>
      <c r="M103" s="41"/>
      <c r="N103" s="101"/>
      <c r="O103" s="121"/>
      <c r="P103" s="100"/>
      <c r="Q103" s="41"/>
      <c r="R103" s="101"/>
      <c r="S103" s="121"/>
      <c r="T103" s="100"/>
      <c r="U103" s="41"/>
      <c r="V103" s="92"/>
      <c r="W103" s="121"/>
      <c r="X103" s="12"/>
      <c r="Y103" s="41"/>
      <c r="Z103" s="92"/>
      <c r="AA103" s="121"/>
      <c r="AB103" s="12"/>
      <c r="AC103" s="41"/>
      <c r="AD103" s="92"/>
      <c r="AE103" s="172"/>
      <c r="AF103" s="92"/>
    </row>
    <row r="104" spans="1:32" x14ac:dyDescent="0.2">
      <c r="A104" s="71"/>
      <c r="B104" s="76"/>
      <c r="C104" s="146" t="s">
        <v>5</v>
      </c>
      <c r="D104" s="174"/>
      <c r="E104" s="146"/>
      <c r="F104" s="108"/>
      <c r="G104" s="110"/>
      <c r="H104" s="110"/>
      <c r="I104" s="110"/>
      <c r="J104" s="110"/>
      <c r="K104" s="110"/>
      <c r="L104" s="163"/>
      <c r="M104" s="41"/>
      <c r="N104" s="101"/>
      <c r="O104" s="121"/>
      <c r="P104" s="100"/>
      <c r="Q104" s="41"/>
      <c r="R104" s="101"/>
      <c r="S104" s="121"/>
      <c r="T104" s="100"/>
      <c r="U104" s="41"/>
      <c r="V104" s="92"/>
      <c r="W104" s="121"/>
      <c r="X104" s="12"/>
      <c r="Y104" s="41"/>
      <c r="Z104" s="92"/>
      <c r="AA104" s="121"/>
      <c r="AB104" s="12"/>
      <c r="AC104" s="41"/>
      <c r="AD104" s="92"/>
      <c r="AE104" s="172"/>
      <c r="AF104" s="92"/>
    </row>
    <row r="105" spans="1:32" x14ac:dyDescent="0.2">
      <c r="A105" s="71"/>
      <c r="B105" s="76"/>
      <c r="C105" s="146" t="s">
        <v>5</v>
      </c>
      <c r="D105" s="174"/>
      <c r="E105" s="146"/>
      <c r="F105" s="108"/>
      <c r="G105" s="110"/>
      <c r="H105" s="110"/>
      <c r="I105" s="110"/>
      <c r="J105" s="110"/>
      <c r="K105" s="110"/>
      <c r="L105" s="163"/>
      <c r="M105" s="41"/>
      <c r="N105" s="101"/>
      <c r="O105" s="121"/>
      <c r="P105" s="100"/>
      <c r="Q105" s="41"/>
      <c r="R105" s="101"/>
      <c r="S105" s="121"/>
      <c r="T105" s="100"/>
      <c r="U105" s="41"/>
      <c r="V105" s="92"/>
      <c r="W105" s="121"/>
      <c r="X105" s="12"/>
      <c r="Y105" s="41"/>
      <c r="Z105" s="92"/>
      <c r="AA105" s="121"/>
      <c r="AB105" s="12"/>
      <c r="AC105" s="41"/>
      <c r="AD105" s="92"/>
      <c r="AE105" s="172"/>
      <c r="AF105" s="92"/>
    </row>
    <row r="106" spans="1:32" x14ac:dyDescent="0.2">
      <c r="A106" s="71"/>
      <c r="B106" s="76"/>
      <c r="C106" s="146" t="s">
        <v>5</v>
      </c>
      <c r="D106" s="174"/>
      <c r="E106" s="146"/>
      <c r="F106" s="108"/>
      <c r="G106" s="110"/>
      <c r="H106" s="110"/>
      <c r="I106" s="110"/>
      <c r="J106" s="110"/>
      <c r="K106" s="110"/>
      <c r="L106" s="163"/>
      <c r="M106" s="41"/>
      <c r="N106" s="101"/>
      <c r="O106" s="121"/>
      <c r="P106" s="100"/>
      <c r="Q106" s="41"/>
      <c r="R106" s="101"/>
      <c r="S106" s="121"/>
      <c r="T106" s="100"/>
      <c r="U106" s="41"/>
      <c r="V106" s="92"/>
      <c r="W106" s="121"/>
      <c r="X106" s="12"/>
      <c r="Y106" s="41"/>
      <c r="Z106" s="92"/>
      <c r="AA106" s="121"/>
      <c r="AB106" s="12"/>
      <c r="AC106" s="41"/>
      <c r="AD106" s="92"/>
      <c r="AE106" s="172"/>
      <c r="AF106" s="92"/>
    </row>
    <row r="107" spans="1:32" x14ac:dyDescent="0.2">
      <c r="A107" s="71"/>
      <c r="B107" s="76"/>
      <c r="C107" s="146" t="s">
        <v>5</v>
      </c>
      <c r="D107" s="174"/>
      <c r="E107" s="146"/>
      <c r="F107" s="108"/>
      <c r="G107" s="110"/>
      <c r="H107" s="110"/>
      <c r="I107" s="110"/>
      <c r="J107" s="110"/>
      <c r="K107" s="110"/>
      <c r="L107" s="163"/>
      <c r="M107" s="41"/>
      <c r="N107" s="101"/>
      <c r="O107" s="121"/>
      <c r="P107" s="100"/>
      <c r="Q107" s="41"/>
      <c r="R107" s="101"/>
      <c r="S107" s="121"/>
      <c r="T107" s="100"/>
      <c r="U107" s="41"/>
      <c r="V107" s="92"/>
      <c r="W107" s="121"/>
      <c r="X107" s="12"/>
      <c r="Y107" s="41"/>
      <c r="Z107" s="92"/>
      <c r="AA107" s="121"/>
      <c r="AB107" s="12"/>
      <c r="AC107" s="41"/>
      <c r="AD107" s="92"/>
      <c r="AE107" s="172"/>
      <c r="AF107" s="92"/>
    </row>
    <row r="108" spans="1:32" x14ac:dyDescent="0.2">
      <c r="A108" s="71"/>
      <c r="B108" s="76"/>
      <c r="C108" s="146" t="s">
        <v>5</v>
      </c>
      <c r="D108" s="174"/>
      <c r="E108" s="146"/>
      <c r="F108" s="108"/>
      <c r="G108" s="110"/>
      <c r="H108" s="110"/>
      <c r="I108" s="110"/>
      <c r="J108" s="110"/>
      <c r="K108" s="110"/>
      <c r="L108" s="163"/>
      <c r="M108" s="41"/>
      <c r="N108" s="101"/>
      <c r="O108" s="121"/>
      <c r="P108" s="100"/>
      <c r="Q108" s="41"/>
      <c r="R108" s="101"/>
      <c r="S108" s="121"/>
      <c r="T108" s="100"/>
      <c r="U108" s="41"/>
      <c r="V108" s="92"/>
      <c r="W108" s="121"/>
      <c r="X108" s="12"/>
      <c r="Y108" s="41"/>
      <c r="Z108" s="92"/>
      <c r="AA108" s="121"/>
      <c r="AB108" s="12"/>
      <c r="AC108" s="41"/>
      <c r="AD108" s="92"/>
      <c r="AE108" s="172"/>
      <c r="AF108" s="92"/>
    </row>
    <row r="109" spans="1:32" x14ac:dyDescent="0.2">
      <c r="A109" s="71"/>
      <c r="B109" s="76"/>
      <c r="C109" s="146" t="s">
        <v>5</v>
      </c>
      <c r="D109" s="174"/>
      <c r="E109" s="146"/>
      <c r="F109" s="108"/>
      <c r="G109" s="110"/>
      <c r="H109" s="110"/>
      <c r="I109" s="110"/>
      <c r="J109" s="110"/>
      <c r="K109" s="110"/>
      <c r="L109" s="163"/>
      <c r="M109" s="41"/>
      <c r="N109" s="101"/>
      <c r="O109" s="121"/>
      <c r="P109" s="100"/>
      <c r="Q109" s="41"/>
      <c r="R109" s="101"/>
      <c r="S109" s="121"/>
      <c r="T109" s="100"/>
      <c r="U109" s="41"/>
      <c r="V109" s="92"/>
      <c r="W109" s="121"/>
      <c r="X109" s="12"/>
      <c r="Y109" s="41"/>
      <c r="Z109" s="92"/>
      <c r="AA109" s="121"/>
      <c r="AB109" s="12"/>
      <c r="AC109" s="41"/>
      <c r="AD109" s="92"/>
      <c r="AE109" s="172"/>
      <c r="AF109" s="92"/>
    </row>
    <row r="110" spans="1:32" x14ac:dyDescent="0.2">
      <c r="A110" s="71"/>
      <c r="B110" s="76" t="s">
        <v>76</v>
      </c>
      <c r="C110" s="146"/>
      <c r="D110" s="174"/>
      <c r="E110" s="146"/>
      <c r="F110" s="108"/>
      <c r="G110" s="110"/>
      <c r="H110" s="110"/>
      <c r="I110" s="110"/>
      <c r="J110" s="110"/>
      <c r="K110" s="110"/>
      <c r="L110" s="163"/>
      <c r="M110" s="41"/>
      <c r="N110" s="101"/>
      <c r="O110" s="121"/>
      <c r="P110" s="100"/>
      <c r="Q110" s="41"/>
      <c r="R110" s="101"/>
      <c r="S110" s="121"/>
      <c r="T110" s="100"/>
      <c r="U110" s="41"/>
      <c r="V110" s="92"/>
      <c r="W110" s="121"/>
      <c r="X110" s="12"/>
      <c r="Y110" s="41"/>
      <c r="Z110" s="92"/>
      <c r="AA110" s="121"/>
      <c r="AB110" s="12"/>
      <c r="AC110" s="41"/>
      <c r="AD110" s="92"/>
      <c r="AE110" s="172"/>
      <c r="AF110" s="92"/>
    </row>
    <row r="111" spans="1:32" x14ac:dyDescent="0.2">
      <c r="A111" s="71"/>
      <c r="B111" s="76" t="s">
        <v>78</v>
      </c>
      <c r="C111" s="146" t="s">
        <v>3</v>
      </c>
      <c r="D111" s="174"/>
      <c r="E111" s="146"/>
      <c r="F111" s="108"/>
      <c r="G111" s="110"/>
      <c r="H111" s="110"/>
      <c r="I111" s="110"/>
      <c r="J111" s="110"/>
      <c r="K111" s="110"/>
      <c r="L111" s="163"/>
      <c r="M111" s="41"/>
      <c r="N111" s="101"/>
      <c r="O111" s="121"/>
      <c r="P111" s="100"/>
      <c r="Q111" s="41"/>
      <c r="R111" s="101"/>
      <c r="S111" s="121"/>
      <c r="T111" s="100"/>
      <c r="U111" s="41"/>
      <c r="V111" s="92"/>
      <c r="W111" s="121"/>
      <c r="X111" s="12"/>
      <c r="Y111" s="41"/>
      <c r="Z111" s="92"/>
      <c r="AA111" s="121"/>
      <c r="AB111" s="12"/>
      <c r="AC111" s="41"/>
      <c r="AD111" s="92"/>
      <c r="AE111" s="172"/>
      <c r="AF111" s="92"/>
    </row>
    <row r="112" spans="1:32" x14ac:dyDescent="0.2">
      <c r="A112" s="71"/>
      <c r="B112" s="76"/>
      <c r="C112" s="146" t="s">
        <v>4</v>
      </c>
      <c r="D112" s="174"/>
      <c r="E112" s="146"/>
      <c r="F112" s="108"/>
      <c r="G112" s="110"/>
      <c r="H112" s="110"/>
      <c r="I112" s="110"/>
      <c r="J112" s="110"/>
      <c r="K112" s="110"/>
      <c r="L112" s="163"/>
      <c r="M112" s="41"/>
      <c r="N112" s="101"/>
      <c r="O112" s="121"/>
      <c r="P112" s="100"/>
      <c r="Q112" s="41"/>
      <c r="R112" s="101"/>
      <c r="S112" s="121"/>
      <c r="T112" s="100"/>
      <c r="U112" s="41"/>
      <c r="V112" s="92"/>
      <c r="W112" s="121"/>
      <c r="X112" s="12"/>
      <c r="Y112" s="41"/>
      <c r="Z112" s="92"/>
      <c r="AA112" s="121"/>
      <c r="AB112" s="12"/>
      <c r="AC112" s="41"/>
      <c r="AD112" s="92"/>
      <c r="AE112" s="172"/>
      <c r="AF112" s="92"/>
    </row>
    <row r="113" spans="1:32" x14ac:dyDescent="0.2">
      <c r="A113" s="71"/>
      <c r="B113" s="76"/>
      <c r="C113" s="146" t="s">
        <v>5</v>
      </c>
      <c r="D113" s="174"/>
      <c r="E113" s="146"/>
      <c r="F113" s="108"/>
      <c r="G113" s="110"/>
      <c r="H113" s="110"/>
      <c r="I113" s="110"/>
      <c r="J113" s="110"/>
      <c r="K113" s="110"/>
      <c r="L113" s="163"/>
      <c r="M113" s="41"/>
      <c r="N113" s="101"/>
      <c r="O113" s="121"/>
      <c r="P113" s="100"/>
      <c r="Q113" s="41"/>
      <c r="R113" s="101"/>
      <c r="S113" s="121"/>
      <c r="T113" s="100"/>
      <c r="U113" s="41"/>
      <c r="V113" s="92"/>
      <c r="W113" s="121"/>
      <c r="X113" s="12"/>
      <c r="Y113" s="41"/>
      <c r="Z113" s="92"/>
      <c r="AA113" s="121"/>
      <c r="AB113" s="12"/>
      <c r="AC113" s="41"/>
      <c r="AD113" s="92"/>
      <c r="AE113" s="172"/>
      <c r="AF113" s="92"/>
    </row>
    <row r="114" spans="1:32" x14ac:dyDescent="0.2">
      <c r="A114" s="71"/>
      <c r="B114" s="76"/>
      <c r="C114" s="146" t="s">
        <v>5</v>
      </c>
      <c r="D114" s="174"/>
      <c r="E114" s="146"/>
      <c r="F114" s="108"/>
      <c r="G114" s="110"/>
      <c r="H114" s="110"/>
      <c r="I114" s="110"/>
      <c r="J114" s="110"/>
      <c r="K114" s="110"/>
      <c r="L114" s="163"/>
      <c r="M114" s="41"/>
      <c r="N114" s="101"/>
      <c r="O114" s="121"/>
      <c r="P114" s="100"/>
      <c r="Q114" s="41"/>
      <c r="R114" s="101"/>
      <c r="S114" s="121"/>
      <c r="T114" s="100"/>
      <c r="U114" s="41"/>
      <c r="V114" s="92"/>
      <c r="W114" s="121"/>
      <c r="X114" s="12"/>
      <c r="Y114" s="41"/>
      <c r="Z114" s="92"/>
      <c r="AA114" s="121"/>
      <c r="AB114" s="12"/>
      <c r="AC114" s="41"/>
      <c r="AD114" s="92"/>
      <c r="AE114" s="172"/>
      <c r="AF114" s="92"/>
    </row>
    <row r="115" spans="1:32" x14ac:dyDescent="0.2">
      <c r="A115" s="71"/>
      <c r="B115" s="76"/>
      <c r="C115" s="146" t="s">
        <v>5</v>
      </c>
      <c r="D115" s="174"/>
      <c r="E115" s="146"/>
      <c r="F115" s="108"/>
      <c r="G115" s="110"/>
      <c r="H115" s="110"/>
      <c r="I115" s="110"/>
      <c r="J115" s="110"/>
      <c r="K115" s="110"/>
      <c r="L115" s="163"/>
      <c r="M115" s="41"/>
      <c r="N115" s="101"/>
      <c r="O115" s="121"/>
      <c r="P115" s="100"/>
      <c r="Q115" s="41"/>
      <c r="R115" s="101"/>
      <c r="S115" s="121"/>
      <c r="T115" s="100"/>
      <c r="U115" s="41"/>
      <c r="V115" s="92"/>
      <c r="W115" s="121"/>
      <c r="X115" s="12"/>
      <c r="Y115" s="41"/>
      <c r="Z115" s="92"/>
      <c r="AA115" s="121"/>
      <c r="AB115" s="12"/>
      <c r="AC115" s="41"/>
      <c r="AD115" s="92"/>
      <c r="AE115" s="172"/>
      <c r="AF115" s="92"/>
    </row>
    <row r="116" spans="1:32" x14ac:dyDescent="0.2">
      <c r="A116" s="71"/>
      <c r="B116" s="76"/>
      <c r="C116" s="146" t="s">
        <v>5</v>
      </c>
      <c r="D116" s="174"/>
      <c r="E116" s="146"/>
      <c r="F116" s="108"/>
      <c r="G116" s="110"/>
      <c r="H116" s="110"/>
      <c r="I116" s="110"/>
      <c r="J116" s="110"/>
      <c r="K116" s="110"/>
      <c r="L116" s="163"/>
      <c r="M116" s="41"/>
      <c r="N116" s="101"/>
      <c r="O116" s="121"/>
      <c r="P116" s="100"/>
      <c r="Q116" s="41"/>
      <c r="R116" s="101"/>
      <c r="S116" s="121"/>
      <c r="T116" s="100"/>
      <c r="U116" s="41"/>
      <c r="V116" s="92"/>
      <c r="W116" s="121"/>
      <c r="X116" s="12"/>
      <c r="Y116" s="41"/>
      <c r="Z116" s="92"/>
      <c r="AA116" s="121"/>
      <c r="AB116" s="12"/>
      <c r="AC116" s="41"/>
      <c r="AD116" s="92"/>
      <c r="AE116" s="172"/>
      <c r="AF116" s="92"/>
    </row>
    <row r="117" spans="1:32" x14ac:dyDescent="0.2">
      <c r="A117" s="71"/>
      <c r="B117" s="76"/>
      <c r="C117" s="146" t="s">
        <v>5</v>
      </c>
      <c r="D117" s="174"/>
      <c r="E117" s="146"/>
      <c r="F117" s="108"/>
      <c r="G117" s="110"/>
      <c r="H117" s="110"/>
      <c r="I117" s="110"/>
      <c r="J117" s="110"/>
      <c r="K117" s="110"/>
      <c r="L117" s="163"/>
      <c r="M117" s="41"/>
      <c r="N117" s="101"/>
      <c r="O117" s="121"/>
      <c r="P117" s="100"/>
      <c r="Q117" s="41"/>
      <c r="R117" s="101"/>
      <c r="S117" s="121"/>
      <c r="T117" s="100"/>
      <c r="U117" s="41"/>
      <c r="V117" s="92"/>
      <c r="W117" s="121"/>
      <c r="X117" s="12"/>
      <c r="Y117" s="41"/>
      <c r="Z117" s="92"/>
      <c r="AA117" s="121"/>
      <c r="AB117" s="12"/>
      <c r="AC117" s="41"/>
      <c r="AD117" s="92"/>
      <c r="AE117" s="172"/>
      <c r="AF117" s="92"/>
    </row>
    <row r="118" spans="1:32" x14ac:dyDescent="0.2">
      <c r="A118" s="71"/>
      <c r="B118" s="76"/>
      <c r="C118" s="146" t="s">
        <v>5</v>
      </c>
      <c r="D118" s="174"/>
      <c r="E118" s="146"/>
      <c r="F118" s="108"/>
      <c r="G118" s="110"/>
      <c r="H118" s="110"/>
      <c r="I118" s="110"/>
      <c r="J118" s="110"/>
      <c r="K118" s="110"/>
      <c r="L118" s="163"/>
      <c r="M118" s="41"/>
      <c r="N118" s="101"/>
      <c r="O118" s="121"/>
      <c r="P118" s="100"/>
      <c r="Q118" s="41"/>
      <c r="R118" s="101"/>
      <c r="S118" s="121"/>
      <c r="T118" s="100"/>
      <c r="U118" s="41"/>
      <c r="V118" s="92"/>
      <c r="W118" s="121"/>
      <c r="X118" s="12"/>
      <c r="Y118" s="41"/>
      <c r="Z118" s="92"/>
      <c r="AA118" s="121"/>
      <c r="AB118" s="12"/>
      <c r="AC118" s="41"/>
      <c r="AD118" s="92"/>
      <c r="AE118" s="172"/>
      <c r="AF118" s="92"/>
    </row>
    <row r="119" spans="1:32" x14ac:dyDescent="0.2">
      <c r="A119" s="71"/>
      <c r="B119" s="76"/>
      <c r="C119" s="146" t="s">
        <v>5</v>
      </c>
      <c r="D119" s="174"/>
      <c r="E119" s="146"/>
      <c r="F119" s="108"/>
      <c r="G119" s="110"/>
      <c r="H119" s="110"/>
      <c r="I119" s="110"/>
      <c r="J119" s="110"/>
      <c r="K119" s="110"/>
      <c r="L119" s="163"/>
      <c r="M119" s="41"/>
      <c r="N119" s="101"/>
      <c r="O119" s="121"/>
      <c r="P119" s="100"/>
      <c r="Q119" s="41"/>
      <c r="R119" s="101"/>
      <c r="S119" s="121"/>
      <c r="T119" s="100"/>
      <c r="U119" s="41"/>
      <c r="V119" s="92"/>
      <c r="W119" s="121"/>
      <c r="X119" s="12"/>
      <c r="Y119" s="41"/>
      <c r="Z119" s="92"/>
      <c r="AA119" s="121"/>
      <c r="AB119" s="12"/>
      <c r="AC119" s="41"/>
      <c r="AD119" s="92"/>
      <c r="AE119" s="172"/>
      <c r="AF119" s="92"/>
    </row>
    <row r="120" spans="1:32" x14ac:dyDescent="0.2">
      <c r="A120" s="71"/>
      <c r="B120" s="76"/>
      <c r="C120" s="146" t="s">
        <v>5</v>
      </c>
      <c r="D120" s="174"/>
      <c r="E120" s="146"/>
      <c r="F120" s="108"/>
      <c r="G120" s="110"/>
      <c r="H120" s="110"/>
      <c r="I120" s="110"/>
      <c r="J120" s="110"/>
      <c r="K120" s="110"/>
      <c r="L120" s="163"/>
      <c r="M120" s="41"/>
      <c r="N120" s="101"/>
      <c r="O120" s="121"/>
      <c r="P120" s="100"/>
      <c r="Q120" s="41"/>
      <c r="R120" s="101"/>
      <c r="S120" s="121"/>
      <c r="T120" s="100"/>
      <c r="U120" s="41"/>
      <c r="V120" s="92"/>
      <c r="W120" s="121"/>
      <c r="X120" s="12"/>
      <c r="Y120" s="41"/>
      <c r="Z120" s="92"/>
      <c r="AA120" s="121"/>
      <c r="AB120" s="12"/>
      <c r="AC120" s="41"/>
      <c r="AD120" s="92"/>
      <c r="AE120" s="172"/>
      <c r="AF120" s="92"/>
    </row>
    <row r="121" spans="1:32" x14ac:dyDescent="0.2">
      <c r="A121" s="70"/>
      <c r="B121" s="84" t="s">
        <v>14</v>
      </c>
      <c r="C121" s="144"/>
      <c r="D121" s="53"/>
      <c r="E121" s="144"/>
      <c r="F121" s="110"/>
      <c r="G121" s="110"/>
      <c r="H121" s="110"/>
      <c r="I121" s="110"/>
      <c r="J121" s="110"/>
      <c r="K121" s="110"/>
      <c r="L121" s="102"/>
      <c r="M121" s="85"/>
      <c r="N121" s="101"/>
      <c r="O121" s="121"/>
      <c r="P121" s="102"/>
      <c r="Q121" s="85"/>
      <c r="R121" s="101"/>
      <c r="S121" s="121"/>
      <c r="T121" s="102"/>
      <c r="U121" s="85"/>
      <c r="V121" s="92"/>
      <c r="W121" s="121"/>
      <c r="X121" s="9"/>
      <c r="Y121" s="85"/>
      <c r="Z121" s="92"/>
      <c r="AA121" s="121"/>
      <c r="AB121" s="9"/>
      <c r="AC121" s="85"/>
      <c r="AD121" s="92"/>
      <c r="AE121" s="172"/>
      <c r="AF121" s="92"/>
    </row>
    <row r="122" spans="1:32" x14ac:dyDescent="0.2">
      <c r="A122" s="70"/>
      <c r="B122" s="75" t="s">
        <v>33</v>
      </c>
      <c r="C122" s="145"/>
      <c r="D122" s="53"/>
      <c r="E122" s="145"/>
      <c r="F122" s="108"/>
      <c r="G122" s="110"/>
      <c r="H122" s="110"/>
      <c r="I122" s="110"/>
      <c r="J122" s="110"/>
      <c r="K122" s="110"/>
      <c r="L122" s="100"/>
      <c r="M122" s="13"/>
      <c r="N122" s="115"/>
      <c r="O122" s="108"/>
      <c r="P122" s="100"/>
      <c r="Q122" s="13"/>
      <c r="R122" s="115"/>
      <c r="S122" s="108"/>
      <c r="T122" s="100"/>
      <c r="U122" s="13"/>
      <c r="V122" s="11"/>
      <c r="W122" s="108"/>
      <c r="X122" s="12"/>
      <c r="Y122" s="13"/>
      <c r="Z122" s="11"/>
      <c r="AA122" s="108"/>
      <c r="AB122" s="12"/>
      <c r="AC122" s="13"/>
      <c r="AD122" s="11"/>
      <c r="AE122" s="100"/>
      <c r="AF122" s="11"/>
    </row>
    <row r="123" spans="1:32" x14ac:dyDescent="0.2">
      <c r="A123" s="70"/>
      <c r="B123" s="77" t="s">
        <v>16</v>
      </c>
      <c r="C123" s="145"/>
      <c r="D123" s="53"/>
      <c r="E123" s="145"/>
      <c r="F123" s="108"/>
      <c r="G123" s="110"/>
      <c r="H123" s="110"/>
      <c r="I123" s="110"/>
      <c r="J123" s="110"/>
      <c r="K123" s="110"/>
      <c r="L123" s="162"/>
      <c r="M123" s="13"/>
      <c r="N123" s="55"/>
      <c r="O123" s="123"/>
      <c r="P123" s="100"/>
      <c r="Q123" s="13"/>
      <c r="R123" s="55"/>
      <c r="S123" s="123"/>
      <c r="T123" s="100"/>
      <c r="U123" s="13"/>
      <c r="V123" s="42"/>
      <c r="W123" s="123"/>
      <c r="X123" s="12"/>
      <c r="Y123" s="13"/>
      <c r="Z123" s="42"/>
      <c r="AA123" s="123"/>
      <c r="AB123" s="12"/>
      <c r="AC123" s="13"/>
      <c r="AD123" s="42"/>
      <c r="AE123" s="100"/>
      <c r="AF123" s="42"/>
    </row>
    <row r="124" spans="1:32" x14ac:dyDescent="0.2">
      <c r="A124" s="70"/>
      <c r="B124" s="77" t="s">
        <v>9</v>
      </c>
      <c r="C124" s="145"/>
      <c r="D124" s="53"/>
      <c r="E124" s="145"/>
      <c r="F124" s="108"/>
      <c r="G124" s="110"/>
      <c r="H124" s="110"/>
      <c r="I124" s="110"/>
      <c r="J124" s="110"/>
      <c r="K124" s="110"/>
      <c r="L124" s="162"/>
      <c r="M124" s="13"/>
      <c r="N124" s="55"/>
      <c r="O124" s="123"/>
      <c r="P124" s="100"/>
      <c r="Q124" s="13"/>
      <c r="R124" s="55"/>
      <c r="S124" s="123"/>
      <c r="T124" s="100"/>
      <c r="U124" s="13"/>
      <c r="V124" s="42"/>
      <c r="W124" s="123"/>
      <c r="X124" s="12"/>
      <c r="Y124" s="13"/>
      <c r="Z124" s="42"/>
      <c r="AA124" s="123"/>
      <c r="AB124" s="12"/>
      <c r="AC124" s="13"/>
      <c r="AD124" s="42"/>
      <c r="AE124" s="100"/>
      <c r="AF124" s="42"/>
    </row>
    <row r="125" spans="1:32" x14ac:dyDescent="0.2">
      <c r="A125" s="70"/>
      <c r="B125" s="77" t="s">
        <v>17</v>
      </c>
      <c r="C125" s="145"/>
      <c r="D125" s="53"/>
      <c r="E125" s="145"/>
      <c r="F125" s="108"/>
      <c r="G125" s="110"/>
      <c r="H125" s="110"/>
      <c r="I125" s="110"/>
      <c r="J125" s="110"/>
      <c r="K125" s="110"/>
      <c r="L125" s="162"/>
      <c r="M125" s="13"/>
      <c r="N125" s="55"/>
      <c r="O125" s="123"/>
      <c r="P125" s="100"/>
      <c r="Q125" s="13"/>
      <c r="R125" s="55"/>
      <c r="S125" s="123"/>
      <c r="T125" s="100"/>
      <c r="U125" s="13"/>
      <c r="V125" s="42"/>
      <c r="W125" s="123"/>
      <c r="X125" s="12"/>
      <c r="Y125" s="13"/>
      <c r="Z125" s="42"/>
      <c r="AA125" s="123"/>
      <c r="AB125" s="12"/>
      <c r="AC125" s="13"/>
      <c r="AD125" s="42"/>
      <c r="AE125" s="100"/>
      <c r="AF125" s="42"/>
    </row>
    <row r="126" spans="1:32" x14ac:dyDescent="0.2">
      <c r="A126" s="70"/>
      <c r="B126" s="77" t="s">
        <v>36</v>
      </c>
      <c r="C126" s="145"/>
      <c r="D126" s="53"/>
      <c r="E126" s="145"/>
      <c r="F126" s="108"/>
      <c r="G126" s="110"/>
      <c r="H126" s="110"/>
      <c r="I126" s="110"/>
      <c r="J126" s="110"/>
      <c r="K126" s="110"/>
      <c r="L126" s="100"/>
      <c r="M126" s="13"/>
      <c r="N126" s="115"/>
      <c r="O126" s="108"/>
      <c r="P126" s="82"/>
      <c r="Q126" s="11"/>
      <c r="R126" s="115"/>
      <c r="S126" s="108"/>
      <c r="T126" s="82"/>
      <c r="U126" s="11"/>
      <c r="V126" s="11"/>
      <c r="W126" s="108"/>
      <c r="X126" s="11"/>
      <c r="Y126" s="11"/>
      <c r="Z126" s="11"/>
      <c r="AA126" s="108"/>
      <c r="AB126" s="11"/>
      <c r="AC126" s="11"/>
      <c r="AD126" s="11"/>
      <c r="AE126" s="100"/>
      <c r="AF126" s="98"/>
    </row>
    <row r="127" spans="1:32" x14ac:dyDescent="0.2">
      <c r="A127" s="70"/>
      <c r="B127" s="75" t="s">
        <v>29</v>
      </c>
      <c r="C127" s="145"/>
      <c r="D127" s="53"/>
      <c r="E127" s="145"/>
      <c r="F127" s="108"/>
      <c r="G127" s="110"/>
      <c r="H127" s="110"/>
      <c r="I127" s="110"/>
      <c r="J127" s="110"/>
      <c r="K127" s="110"/>
      <c r="L127" s="100"/>
      <c r="M127" s="13"/>
      <c r="N127" s="115"/>
      <c r="O127" s="108"/>
      <c r="P127" s="82"/>
      <c r="Q127" s="11"/>
      <c r="R127" s="115"/>
      <c r="S127" s="108"/>
      <c r="T127" s="82"/>
      <c r="U127" s="11"/>
      <c r="V127" s="11"/>
      <c r="W127" s="108"/>
      <c r="X127" s="11"/>
      <c r="Y127" s="11"/>
      <c r="Z127" s="11"/>
      <c r="AA127" s="108"/>
      <c r="AB127" s="11"/>
      <c r="AC127" s="11"/>
      <c r="AD127" s="11"/>
      <c r="AE127" s="100"/>
      <c r="AF127" s="98"/>
    </row>
    <row r="128" spans="1:32" x14ac:dyDescent="0.2">
      <c r="A128" s="70"/>
      <c r="B128" s="75"/>
      <c r="C128" s="145"/>
      <c r="D128" s="53"/>
      <c r="E128" s="145"/>
      <c r="F128" s="108"/>
      <c r="G128" s="110"/>
      <c r="H128" s="110"/>
      <c r="I128" s="110"/>
      <c r="J128" s="110"/>
      <c r="K128" s="110"/>
      <c r="L128" s="100"/>
      <c r="M128" s="13"/>
      <c r="N128" s="115"/>
      <c r="O128" s="108"/>
      <c r="P128" s="100"/>
      <c r="Q128" s="13"/>
      <c r="R128" s="115"/>
      <c r="S128" s="108"/>
      <c r="T128" s="100"/>
      <c r="U128" s="13"/>
      <c r="V128" s="11"/>
      <c r="W128" s="108"/>
      <c r="X128" s="12"/>
      <c r="Y128" s="13"/>
      <c r="Z128" s="11"/>
      <c r="AA128" s="108"/>
      <c r="AB128" s="12"/>
      <c r="AC128" s="13"/>
      <c r="AD128" s="11"/>
      <c r="AE128" s="100"/>
      <c r="AF128" s="11"/>
    </row>
    <row r="129" spans="1:32" x14ac:dyDescent="0.2">
      <c r="A129" s="70"/>
      <c r="B129" s="80" t="s">
        <v>23</v>
      </c>
      <c r="C129" s="145"/>
      <c r="D129" s="53"/>
      <c r="E129" s="145"/>
      <c r="F129" s="108"/>
      <c r="G129" s="110"/>
      <c r="H129" s="110"/>
      <c r="I129" s="110"/>
      <c r="J129" s="110"/>
      <c r="K129" s="110"/>
      <c r="L129" s="100"/>
      <c r="M129" s="13"/>
      <c r="N129" s="115"/>
      <c r="O129" s="108"/>
      <c r="P129" s="100"/>
      <c r="Q129" s="13"/>
      <c r="R129" s="115"/>
      <c r="S129" s="108"/>
      <c r="T129" s="100"/>
      <c r="U129" s="13"/>
      <c r="V129" s="11"/>
      <c r="W129" s="108"/>
      <c r="X129" s="12"/>
      <c r="Y129" s="13"/>
      <c r="Z129" s="11"/>
      <c r="AA129" s="108"/>
      <c r="AB129" s="12"/>
      <c r="AC129" s="13"/>
      <c r="AD129" s="11"/>
      <c r="AE129" s="100"/>
      <c r="AF129" s="11"/>
    </row>
    <row r="130" spans="1:32" x14ac:dyDescent="0.2">
      <c r="A130" s="70"/>
      <c r="B130" s="78"/>
      <c r="C130" s="145"/>
      <c r="D130" s="53"/>
      <c r="E130" s="145"/>
      <c r="F130" s="108"/>
      <c r="G130" s="110"/>
      <c r="H130" s="110"/>
      <c r="I130" s="110"/>
      <c r="J130" s="110"/>
      <c r="K130" s="110"/>
      <c r="L130" s="100"/>
      <c r="M130" s="13"/>
      <c r="N130" s="115"/>
      <c r="O130" s="108"/>
      <c r="P130" s="100"/>
      <c r="Q130" s="13"/>
      <c r="R130" s="115"/>
      <c r="S130" s="108"/>
      <c r="T130" s="100"/>
      <c r="U130" s="13"/>
      <c r="V130" s="11"/>
      <c r="W130" s="108"/>
      <c r="X130" s="12"/>
      <c r="Y130" s="13"/>
      <c r="Z130" s="11"/>
      <c r="AA130" s="108"/>
      <c r="AB130" s="12"/>
      <c r="AC130" s="13"/>
      <c r="AD130" s="11"/>
      <c r="AE130" s="100"/>
      <c r="AF130" s="11"/>
    </row>
    <row r="131" spans="1:32" x14ac:dyDescent="0.2">
      <c r="A131" s="70"/>
      <c r="B131" s="79" t="s">
        <v>18</v>
      </c>
      <c r="C131" s="145"/>
      <c r="D131" s="53"/>
      <c r="E131" s="145"/>
      <c r="F131" s="108"/>
      <c r="G131" s="110"/>
      <c r="H131" s="110"/>
      <c r="I131" s="110"/>
      <c r="J131" s="110"/>
      <c r="K131" s="110"/>
      <c r="L131" s="100"/>
      <c r="M131" s="13"/>
      <c r="N131" s="115"/>
      <c r="O131" s="108"/>
      <c r="P131" s="100"/>
      <c r="Q131" s="13"/>
      <c r="R131" s="115"/>
      <c r="S131" s="108"/>
      <c r="T131" s="100"/>
      <c r="U131" s="13"/>
      <c r="V131" s="11"/>
      <c r="W131" s="108"/>
      <c r="X131" s="12"/>
      <c r="Y131" s="13"/>
      <c r="Z131" s="11"/>
      <c r="AA131" s="108"/>
      <c r="AB131" s="12"/>
      <c r="AC131" s="13"/>
      <c r="AD131" s="11"/>
      <c r="AE131" s="100"/>
      <c r="AF131" s="11"/>
    </row>
    <row r="132" spans="1:32" x14ac:dyDescent="0.2">
      <c r="A132" s="70"/>
      <c r="B132" s="75" t="s">
        <v>32</v>
      </c>
      <c r="C132" s="145"/>
      <c r="D132" s="53"/>
      <c r="E132" s="145"/>
      <c r="F132" s="108"/>
      <c r="G132" s="110"/>
      <c r="H132" s="110"/>
      <c r="I132" s="110"/>
      <c r="J132" s="110"/>
      <c r="K132" s="110"/>
      <c r="L132" s="162"/>
      <c r="M132" s="13"/>
      <c r="N132" s="55"/>
      <c r="O132" s="123"/>
      <c r="P132" s="100"/>
      <c r="Q132" s="13"/>
      <c r="R132" s="55"/>
      <c r="S132" s="123"/>
      <c r="T132" s="100"/>
      <c r="U132" s="13"/>
      <c r="V132" s="42"/>
      <c r="W132" s="123"/>
      <c r="X132" s="12"/>
      <c r="Y132" s="13"/>
      <c r="Z132" s="42"/>
      <c r="AA132" s="123"/>
      <c r="AB132" s="12"/>
      <c r="AC132" s="13"/>
      <c r="AD132" s="42"/>
      <c r="AE132" s="100"/>
      <c r="AF132" s="42"/>
    </row>
    <row r="133" spans="1:32" x14ac:dyDescent="0.2">
      <c r="A133" s="70"/>
      <c r="B133" s="75" t="s">
        <v>40</v>
      </c>
      <c r="C133" s="145"/>
      <c r="D133" s="53"/>
      <c r="E133" s="145"/>
      <c r="F133" s="108"/>
      <c r="G133" s="110"/>
      <c r="H133" s="110"/>
      <c r="I133" s="110"/>
      <c r="J133" s="110"/>
      <c r="K133" s="110"/>
      <c r="L133" s="162"/>
      <c r="M133" s="13"/>
      <c r="N133" s="55"/>
      <c r="O133" s="123"/>
      <c r="P133" s="100"/>
      <c r="Q133" s="13"/>
      <c r="R133" s="55"/>
      <c r="S133" s="123"/>
      <c r="T133" s="100"/>
      <c r="U133" s="13"/>
      <c r="V133" s="42"/>
      <c r="W133" s="123"/>
      <c r="X133" s="12"/>
      <c r="Y133" s="13"/>
      <c r="Z133" s="42"/>
      <c r="AA133" s="123"/>
      <c r="AB133" s="12"/>
      <c r="AC133" s="13"/>
      <c r="AD133" s="42"/>
      <c r="AE133" s="100"/>
      <c r="AF133" s="42"/>
    </row>
    <row r="134" spans="1:32" x14ac:dyDescent="0.2">
      <c r="A134" s="70"/>
      <c r="B134" s="75" t="s">
        <v>30</v>
      </c>
      <c r="C134" s="145"/>
      <c r="D134" s="53"/>
      <c r="E134" s="145"/>
      <c r="F134" s="108"/>
      <c r="G134" s="110"/>
      <c r="H134" s="110"/>
      <c r="I134" s="110"/>
      <c r="J134" s="110"/>
      <c r="K134" s="110"/>
      <c r="L134" s="100"/>
      <c r="M134" s="13"/>
      <c r="N134" s="55"/>
      <c r="O134" s="123"/>
      <c r="P134" s="100"/>
      <c r="Q134" s="13"/>
      <c r="R134" s="55"/>
      <c r="S134" s="123"/>
      <c r="T134" s="100"/>
      <c r="U134" s="13"/>
      <c r="V134" s="42"/>
      <c r="W134" s="123"/>
      <c r="X134" s="12"/>
      <c r="Y134" s="13"/>
      <c r="Z134" s="42"/>
      <c r="AA134" s="123"/>
      <c r="AB134" s="12"/>
      <c r="AC134" s="13"/>
      <c r="AD134" s="42"/>
      <c r="AE134" s="100"/>
      <c r="AF134" s="42"/>
    </row>
    <row r="135" spans="1:32" x14ac:dyDescent="0.2">
      <c r="A135" s="70"/>
      <c r="B135" s="75"/>
      <c r="C135" s="145"/>
      <c r="D135" s="53"/>
      <c r="E135" s="145"/>
      <c r="F135" s="108"/>
      <c r="G135" s="110"/>
      <c r="H135" s="110"/>
      <c r="I135" s="110"/>
      <c r="J135" s="110"/>
      <c r="K135" s="110"/>
      <c r="L135" s="100"/>
      <c r="M135" s="13"/>
      <c r="N135" s="115"/>
      <c r="O135" s="108"/>
      <c r="P135" s="100"/>
      <c r="Q135" s="13"/>
      <c r="R135" s="115"/>
      <c r="S135" s="108"/>
      <c r="T135" s="100"/>
      <c r="U135" s="13"/>
      <c r="V135" s="11"/>
      <c r="W135" s="108"/>
      <c r="X135" s="12"/>
      <c r="Y135" s="13"/>
      <c r="Z135" s="11"/>
      <c r="AA135" s="108"/>
      <c r="AB135" s="12"/>
      <c r="AC135" s="13"/>
      <c r="AD135" s="11"/>
      <c r="AE135" s="100"/>
      <c r="AF135" s="11"/>
    </row>
    <row r="136" spans="1:32" x14ac:dyDescent="0.2">
      <c r="A136" s="70"/>
      <c r="B136" s="80" t="s">
        <v>24</v>
      </c>
      <c r="C136" s="145"/>
      <c r="D136" s="53"/>
      <c r="E136" s="145"/>
      <c r="F136" s="108"/>
      <c r="G136" s="110"/>
      <c r="H136" s="110"/>
      <c r="I136" s="110"/>
      <c r="J136" s="110"/>
      <c r="K136" s="110"/>
      <c r="L136" s="100"/>
      <c r="M136" s="13"/>
      <c r="N136" s="115"/>
      <c r="O136" s="108"/>
      <c r="P136" s="100"/>
      <c r="Q136" s="13"/>
      <c r="R136" s="115"/>
      <c r="S136" s="108"/>
      <c r="T136" s="100"/>
      <c r="U136" s="13"/>
      <c r="V136" s="11"/>
      <c r="W136" s="108"/>
      <c r="X136" s="12"/>
      <c r="Y136" s="13"/>
      <c r="Z136" s="11"/>
      <c r="AA136" s="108"/>
      <c r="AB136" s="12"/>
      <c r="AC136" s="13"/>
      <c r="AD136" s="11"/>
      <c r="AE136" s="100"/>
      <c r="AF136" s="11"/>
    </row>
    <row r="137" spans="1:32" x14ac:dyDescent="0.2">
      <c r="A137" s="70"/>
      <c r="B137" s="75"/>
      <c r="C137" s="145"/>
      <c r="D137" s="53"/>
      <c r="E137" s="145"/>
      <c r="F137" s="108"/>
      <c r="G137" s="110"/>
      <c r="H137" s="110"/>
      <c r="I137" s="110"/>
      <c r="J137" s="110"/>
      <c r="K137" s="110"/>
      <c r="L137" s="100"/>
      <c r="M137" s="13"/>
      <c r="N137" s="115"/>
      <c r="O137" s="108"/>
      <c r="P137" s="100"/>
      <c r="Q137" s="13"/>
      <c r="R137" s="115"/>
      <c r="S137" s="108"/>
      <c r="T137" s="100"/>
      <c r="U137" s="13"/>
      <c r="V137" s="11"/>
      <c r="W137" s="108"/>
      <c r="X137" s="12"/>
      <c r="Y137" s="13"/>
      <c r="Z137" s="11"/>
      <c r="AA137" s="108"/>
      <c r="AB137" s="12"/>
      <c r="AC137" s="13"/>
      <c r="AD137" s="11"/>
      <c r="AE137" s="100"/>
      <c r="AF137" s="11"/>
    </row>
    <row r="138" spans="1:32" x14ac:dyDescent="0.2">
      <c r="A138" s="70"/>
      <c r="B138" s="80" t="s">
        <v>25</v>
      </c>
      <c r="C138" s="145"/>
      <c r="D138" s="53"/>
      <c r="E138" s="145"/>
      <c r="F138" s="108"/>
      <c r="G138" s="110"/>
      <c r="H138" s="110"/>
      <c r="I138" s="110"/>
      <c r="J138" s="110"/>
      <c r="K138" s="110"/>
      <c r="L138" s="100"/>
      <c r="M138" s="13"/>
      <c r="N138" s="115"/>
      <c r="O138" s="108"/>
      <c r="P138" s="100"/>
      <c r="Q138" s="13"/>
      <c r="R138" s="115"/>
      <c r="S138" s="108"/>
      <c r="T138" s="100"/>
      <c r="U138" s="13"/>
      <c r="V138" s="11"/>
      <c r="W138" s="108"/>
      <c r="X138" s="12"/>
      <c r="Y138" s="13"/>
      <c r="Z138" s="11"/>
      <c r="AA138" s="108"/>
      <c r="AB138" s="12"/>
      <c r="AC138" s="13"/>
      <c r="AD138" s="11"/>
      <c r="AE138" s="100"/>
      <c r="AF138" s="11"/>
    </row>
    <row r="139" spans="1:32" x14ac:dyDescent="0.2">
      <c r="A139" s="70"/>
      <c r="B139" s="75" t="s">
        <v>44</v>
      </c>
      <c r="C139" s="145"/>
      <c r="D139" s="53"/>
      <c r="E139" s="145"/>
      <c r="F139" s="108"/>
      <c r="G139" s="110"/>
      <c r="H139" s="110"/>
      <c r="I139" s="110"/>
      <c r="J139" s="110"/>
      <c r="K139" s="110"/>
      <c r="L139" s="100"/>
      <c r="M139" s="13"/>
      <c r="N139" s="55"/>
      <c r="O139" s="123"/>
      <c r="P139" s="100"/>
      <c r="Q139" s="13"/>
      <c r="R139" s="55"/>
      <c r="S139" s="123"/>
      <c r="T139" s="100"/>
      <c r="U139" s="13"/>
      <c r="V139" s="42"/>
      <c r="W139" s="123"/>
      <c r="X139" s="12"/>
      <c r="Y139" s="13"/>
      <c r="Z139" s="42"/>
      <c r="AA139" s="123"/>
      <c r="AB139" s="12"/>
      <c r="AC139" s="13"/>
      <c r="AD139" s="42"/>
      <c r="AE139" s="100"/>
      <c r="AF139" s="42"/>
    </row>
    <row r="140" spans="1:32" x14ac:dyDescent="0.2">
      <c r="A140" s="70"/>
      <c r="B140" s="75" t="s">
        <v>31</v>
      </c>
      <c r="C140" s="145"/>
      <c r="D140" s="53"/>
      <c r="E140" s="145"/>
      <c r="F140" s="108"/>
      <c r="G140" s="110"/>
      <c r="H140" s="110"/>
      <c r="I140" s="110"/>
      <c r="J140" s="110"/>
      <c r="K140" s="110"/>
      <c r="L140" s="162"/>
      <c r="M140" s="13"/>
      <c r="N140" s="55"/>
      <c r="O140" s="123"/>
      <c r="P140" s="100"/>
      <c r="Q140" s="13"/>
      <c r="R140" s="55"/>
      <c r="S140" s="123"/>
      <c r="T140" s="100"/>
      <c r="U140" s="13"/>
      <c r="V140" s="42"/>
      <c r="W140" s="123"/>
      <c r="X140" s="12"/>
      <c r="Y140" s="13"/>
      <c r="Z140" s="42"/>
      <c r="AA140" s="123"/>
      <c r="AB140" s="12"/>
      <c r="AC140" s="13"/>
      <c r="AD140" s="42"/>
      <c r="AE140" s="100"/>
      <c r="AF140" s="42"/>
    </row>
    <row r="141" spans="1:32" x14ac:dyDescent="0.2">
      <c r="A141" s="70"/>
      <c r="B141" s="75" t="s">
        <v>26</v>
      </c>
      <c r="C141" s="145"/>
      <c r="D141" s="53"/>
      <c r="E141" s="145"/>
      <c r="F141" s="108"/>
      <c r="G141" s="110"/>
      <c r="H141" s="110"/>
      <c r="I141" s="110"/>
      <c r="J141" s="110"/>
      <c r="K141" s="110"/>
      <c r="L141" s="100"/>
      <c r="M141" s="13"/>
      <c r="N141" s="55"/>
      <c r="O141" s="123"/>
      <c r="P141" s="100"/>
      <c r="Q141" s="13"/>
      <c r="R141" s="55"/>
      <c r="S141" s="123"/>
      <c r="T141" s="100"/>
      <c r="U141" s="13"/>
      <c r="V141" s="42"/>
      <c r="W141" s="123"/>
      <c r="X141" s="12"/>
      <c r="Y141" s="13"/>
      <c r="Z141" s="42"/>
      <c r="AA141" s="123"/>
      <c r="AB141" s="12"/>
      <c r="AC141" s="13"/>
      <c r="AD141" s="42"/>
      <c r="AE141" s="100"/>
      <c r="AF141" s="42"/>
    </row>
    <row r="142" spans="1:32" x14ac:dyDescent="0.2">
      <c r="A142" s="70"/>
      <c r="B142" s="75"/>
      <c r="C142" s="145"/>
      <c r="D142" s="53"/>
      <c r="E142" s="145"/>
      <c r="F142" s="108"/>
      <c r="G142" s="110"/>
      <c r="H142" s="110"/>
      <c r="I142" s="110"/>
      <c r="J142" s="110"/>
      <c r="K142" s="110"/>
      <c r="L142" s="100"/>
      <c r="M142" s="13"/>
      <c r="N142" s="115"/>
      <c r="O142" s="123"/>
      <c r="P142" s="100"/>
      <c r="Q142" s="13"/>
      <c r="R142" s="115"/>
      <c r="S142" s="108"/>
      <c r="T142" s="100"/>
      <c r="U142" s="13"/>
      <c r="V142" s="11"/>
      <c r="W142" s="108"/>
      <c r="X142" s="12"/>
      <c r="Y142" s="13"/>
      <c r="Z142" s="11"/>
      <c r="AA142" s="108"/>
      <c r="AB142" s="12"/>
      <c r="AC142" s="13"/>
      <c r="AD142" s="11"/>
      <c r="AE142" s="100"/>
      <c r="AF142" s="42"/>
    </row>
    <row r="143" spans="1:32" ht="12" thickBot="1" x14ac:dyDescent="0.25">
      <c r="A143" s="72"/>
      <c r="B143" s="81" t="s">
        <v>39</v>
      </c>
      <c r="C143" s="147"/>
      <c r="D143" s="147"/>
      <c r="E143" s="147"/>
      <c r="F143" s="63"/>
      <c r="G143" s="63"/>
      <c r="H143" s="63"/>
      <c r="I143" s="63"/>
      <c r="J143" s="63"/>
      <c r="K143" s="63"/>
      <c r="L143" s="120"/>
      <c r="M143" s="15"/>
      <c r="N143" s="117"/>
      <c r="O143" s="125"/>
      <c r="P143" s="120"/>
      <c r="Q143" s="15"/>
      <c r="R143" s="117"/>
      <c r="S143" s="125"/>
      <c r="T143" s="120"/>
      <c r="U143" s="15"/>
      <c r="V143" s="44"/>
      <c r="W143" s="125"/>
      <c r="X143" s="14"/>
      <c r="Y143" s="15"/>
      <c r="Z143" s="44"/>
      <c r="AA143" s="125"/>
      <c r="AB143" s="14"/>
      <c r="AC143" s="15"/>
      <c r="AD143" s="44"/>
      <c r="AE143" s="120"/>
      <c r="AF143" s="44"/>
    </row>
    <row r="144" spans="1:32" x14ac:dyDescent="0.2">
      <c r="B144" s="29"/>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row>
    <row r="145" spans="2:30" x14ac:dyDescent="0.2">
      <c r="B145" s="29"/>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row>
    <row r="146" spans="2:30" x14ac:dyDescent="0.2">
      <c r="B146" s="31" t="s">
        <v>45</v>
      </c>
    </row>
    <row r="147" spans="2:30" ht="12" thickBot="1" x14ac:dyDescent="0.25"/>
    <row r="148" spans="2:30" ht="12" thickBot="1" x14ac:dyDescent="0.25">
      <c r="B148" s="16" t="s">
        <v>27</v>
      </c>
      <c r="C148" s="17" t="s">
        <v>2</v>
      </c>
      <c r="D148" s="18"/>
      <c r="E148" s="18"/>
      <c r="F148" s="18" t="s">
        <v>28</v>
      </c>
      <c r="G148" s="47"/>
      <c r="H148" s="47"/>
      <c r="I148" s="47"/>
      <c r="J148" s="47"/>
      <c r="K148" s="47"/>
    </row>
    <row r="149" spans="2:30" x14ac:dyDescent="0.2">
      <c r="B149" s="19" t="s">
        <v>15</v>
      </c>
      <c r="C149" s="20"/>
      <c r="D149" s="141"/>
      <c r="E149" s="141"/>
      <c r="F149" s="21"/>
      <c r="G149" s="105"/>
      <c r="H149" s="105"/>
      <c r="I149" s="57"/>
      <c r="J149" s="57"/>
      <c r="K149" s="105"/>
    </row>
    <row r="150" spans="2:30" x14ac:dyDescent="0.2">
      <c r="B150" s="22" t="s">
        <v>34</v>
      </c>
      <c r="C150" s="23"/>
      <c r="D150" s="142"/>
      <c r="E150" s="142"/>
      <c r="F150" s="26"/>
      <c r="G150" s="106"/>
      <c r="H150" s="106"/>
      <c r="I150" s="58"/>
      <c r="J150" s="58"/>
      <c r="K150" s="106"/>
    </row>
    <row r="151" spans="2:30" x14ac:dyDescent="0.2">
      <c r="B151" s="24" t="s">
        <v>40</v>
      </c>
      <c r="C151" s="25"/>
      <c r="D151" s="143"/>
      <c r="E151" s="143"/>
      <c r="F151" s="27"/>
      <c r="G151" s="106"/>
      <c r="H151" s="106"/>
      <c r="I151" s="58"/>
      <c r="J151" s="58"/>
      <c r="K151" s="106"/>
    </row>
    <row r="152" spans="2:30" x14ac:dyDescent="0.2">
      <c r="B152" s="22" t="s">
        <v>35</v>
      </c>
      <c r="C152" s="23"/>
      <c r="D152" s="142"/>
      <c r="E152" s="142"/>
      <c r="F152" s="62" t="e">
        <f>C152/C149</f>
        <v>#DIV/0!</v>
      </c>
      <c r="G152" s="107"/>
      <c r="H152" s="107"/>
      <c r="I152" s="59"/>
      <c r="J152" s="59"/>
      <c r="K152" s="107"/>
    </row>
    <row r="153" spans="2:30" x14ac:dyDescent="0.2">
      <c r="I153" s="60"/>
      <c r="J153" s="60"/>
    </row>
    <row r="154" spans="2:30" ht="12" thickBot="1" x14ac:dyDescent="0.25">
      <c r="I154" s="60"/>
      <c r="J154" s="60"/>
    </row>
    <row r="155" spans="2:30" ht="12" thickBot="1" x14ac:dyDescent="0.25">
      <c r="B155" s="16" t="s">
        <v>37</v>
      </c>
      <c r="C155" s="17" t="s">
        <v>2</v>
      </c>
      <c r="D155" s="18"/>
      <c r="E155" s="18"/>
      <c r="F155" s="18" t="s">
        <v>28</v>
      </c>
      <c r="G155" s="47"/>
      <c r="H155" s="47"/>
      <c r="I155" s="61"/>
      <c r="J155" s="61"/>
      <c r="K155" s="47"/>
    </row>
    <row r="156" spans="2:30" x14ac:dyDescent="0.2">
      <c r="B156" s="19" t="s">
        <v>11</v>
      </c>
      <c r="C156" s="20"/>
      <c r="D156" s="141"/>
      <c r="E156" s="141"/>
      <c r="F156" s="21"/>
      <c r="G156" s="105"/>
      <c r="H156" s="105"/>
      <c r="I156" s="57"/>
      <c r="J156" s="57"/>
      <c r="K156" s="105"/>
    </row>
    <row r="157" spans="2:30" x14ac:dyDescent="0.2">
      <c r="B157" s="22" t="s">
        <v>38</v>
      </c>
      <c r="C157" s="23"/>
      <c r="D157" s="142"/>
      <c r="E157" s="142"/>
      <c r="F157" s="28" t="e">
        <f>C157/C156</f>
        <v>#DIV/0!</v>
      </c>
      <c r="G157" s="48"/>
      <c r="H157" s="48"/>
      <c r="I157" s="48"/>
      <c r="J157" s="48"/>
      <c r="K157" s="48"/>
    </row>
  </sheetData>
  <mergeCells count="1">
    <mergeCell ref="AE5:AF5"/>
  </mergeCells>
  <phoneticPr fontId="0" type="noConversion"/>
  <printOptions gridLines="1"/>
  <pageMargins left="0.25" right="0.25" top="0.5" bottom="0.5" header="0.25" footer="0.25"/>
  <pageSetup scale="38" orientation="portrait" r:id="rId1"/>
  <headerFooter alignWithMargins="0">
    <oddHeader>&amp;LSolicitation N00421-20-R-0119&amp;CPage &amp;P&amp;R&amp;F</oddHeader>
    <oddFooter xml:space="preserve">&amp;LKTR: (name)&amp;CSource Selection Information - See:  FAR 2.101 and 3.104&amp;RRFP: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1"/>
  <sheetViews>
    <sheetView view="pageLayout" zoomScaleNormal="100" workbookViewId="0">
      <selection activeCell="F10" sqref="F10"/>
    </sheetView>
  </sheetViews>
  <sheetFormatPr defaultRowHeight="12.75" x14ac:dyDescent="0.2"/>
  <cols>
    <col min="1" max="1" width="21.5703125" bestFit="1" customWidth="1"/>
    <col min="2" max="3" width="21.5703125" customWidth="1"/>
    <col min="4" max="4" width="19.140625" bestFit="1" customWidth="1"/>
    <col min="5" max="5" width="15.42578125" bestFit="1" customWidth="1"/>
    <col min="6" max="6" width="21.5703125" bestFit="1" customWidth="1"/>
    <col min="7" max="7" width="10" bestFit="1" customWidth="1"/>
    <col min="8" max="8" width="21.5703125" bestFit="1" customWidth="1"/>
    <col min="9" max="9" width="10" bestFit="1" customWidth="1"/>
    <col min="10" max="10" width="21.5703125" bestFit="1" customWidth="1"/>
    <col min="11" max="11" width="10" bestFit="1" customWidth="1"/>
    <col min="12" max="12" width="21.5703125" bestFit="1" customWidth="1"/>
  </cols>
  <sheetData>
    <row r="4" spans="1:6" x14ac:dyDescent="0.2">
      <c r="A4" s="49" t="s">
        <v>60</v>
      </c>
      <c r="B4" s="49"/>
      <c r="C4" s="49"/>
      <c r="D4" s="50"/>
      <c r="E4" s="50"/>
      <c r="F4" s="50"/>
    </row>
    <row r="5" spans="1:6" x14ac:dyDescent="0.2">
      <c r="A5" s="50"/>
      <c r="B5" s="49"/>
      <c r="C5" s="49"/>
      <c r="D5" s="51"/>
      <c r="E5" s="50"/>
      <c r="F5" s="50"/>
    </row>
    <row r="6" spans="1:6" x14ac:dyDescent="0.2">
      <c r="A6" s="49" t="s">
        <v>55</v>
      </c>
      <c r="B6" s="49" t="s">
        <v>62</v>
      </c>
      <c r="C6" s="49" t="s">
        <v>54</v>
      </c>
      <c r="D6" s="54" t="s">
        <v>63</v>
      </c>
      <c r="E6" s="52" t="s">
        <v>64</v>
      </c>
      <c r="F6" s="64" t="s">
        <v>61</v>
      </c>
    </row>
    <row r="7" spans="1:6" x14ac:dyDescent="0.2">
      <c r="A7" s="65"/>
      <c r="B7" s="66"/>
      <c r="C7" s="43"/>
      <c r="D7" s="43"/>
      <c r="E7" s="55"/>
      <c r="F7" s="43"/>
    </row>
    <row r="8" spans="1:6" x14ac:dyDescent="0.2">
      <c r="A8" s="65"/>
      <c r="B8" s="66"/>
      <c r="C8" s="43"/>
      <c r="D8" s="43"/>
      <c r="E8" s="55"/>
      <c r="F8" s="43"/>
    </row>
    <row r="9" spans="1:6" x14ac:dyDescent="0.2">
      <c r="A9" s="65"/>
      <c r="B9" s="66"/>
      <c r="C9" s="43"/>
      <c r="D9" s="43"/>
      <c r="E9" s="55"/>
      <c r="F9" s="43"/>
    </row>
    <row r="10" spans="1:6" x14ac:dyDescent="0.2">
      <c r="A10" s="65"/>
      <c r="B10" s="66"/>
      <c r="C10" s="43"/>
      <c r="D10" s="43"/>
      <c r="E10" s="55"/>
      <c r="F10" s="43"/>
    </row>
    <row r="11" spans="1:6" x14ac:dyDescent="0.2">
      <c r="A11" s="52" t="s">
        <v>59</v>
      </c>
      <c r="B11" s="52"/>
      <c r="C11" s="53"/>
      <c r="D11" s="56"/>
      <c r="E11" s="50"/>
      <c r="F11" s="50"/>
    </row>
  </sheetData>
  <pageMargins left="0.25" right="0.25" top="0.5" bottom="0.5" header="0.3" footer="0.3"/>
  <pageSetup orientation="landscape" r:id="rId1"/>
  <headerFooter>
    <oddHeader>&amp;CN0042123R0070&amp;RP1 Cost Summary</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f5892bc-22cd-4a99-882a-2b61b1b8969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96D472923DCC4E95466E53D7022D29" ma:contentTypeVersion="15" ma:contentTypeDescription="Create a new document." ma:contentTypeScope="" ma:versionID="095115b8098e8c5450098c52e0d6c32f">
  <xsd:schema xmlns:xsd="http://www.w3.org/2001/XMLSchema" xmlns:xs="http://www.w3.org/2001/XMLSchema" xmlns:p="http://schemas.microsoft.com/office/2006/metadata/properties" xmlns:ns3="6f5892bc-22cd-4a99-882a-2b61b1b89693" xmlns:ns4="90eb53ec-75d3-466a-a9b0-ffdacb6bdb76" targetNamespace="http://schemas.microsoft.com/office/2006/metadata/properties" ma:root="true" ma:fieldsID="c900273d8b98b3daa0b22e556d8c1e38" ns3:_="" ns4:_="">
    <xsd:import namespace="6f5892bc-22cd-4a99-882a-2b61b1b89693"/>
    <xsd:import namespace="90eb53ec-75d3-466a-a9b0-ffdacb6bdb7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DateTaken"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892bc-22cd-4a99-882a-2b61b1b89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eb53ec-75d3-466a-a9b0-ffdacb6bdb7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E27CC0-42E8-47E3-B53E-F42902A15CD3}">
  <ds:schemaRefs>
    <ds:schemaRef ds:uri="http://schemas.microsoft.com/sharepoint/v3/contenttype/forms"/>
  </ds:schemaRefs>
</ds:datastoreItem>
</file>

<file path=customXml/itemProps2.xml><?xml version="1.0" encoding="utf-8"?>
<ds:datastoreItem xmlns:ds="http://schemas.openxmlformats.org/officeDocument/2006/customXml" ds:itemID="{A6BC12B9-905C-4086-A223-FAE4EA2F2162}">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6f5892bc-22cd-4a99-882a-2b61b1b89693"/>
    <ds:schemaRef ds:uri="http://purl.org/dc/elements/1.1/"/>
    <ds:schemaRef ds:uri="http://schemas.microsoft.com/office/2006/metadata/properties"/>
    <ds:schemaRef ds:uri="90eb53ec-75d3-466a-a9b0-ffdacb6bdb76"/>
    <ds:schemaRef ds:uri="http://www.w3.org/XML/1998/namespace"/>
    <ds:schemaRef ds:uri="http://purl.org/dc/dcmitype/"/>
  </ds:schemaRefs>
</ds:datastoreItem>
</file>

<file path=customXml/itemProps3.xml><?xml version="1.0" encoding="utf-8"?>
<ds:datastoreItem xmlns:ds="http://schemas.openxmlformats.org/officeDocument/2006/customXml" ds:itemID="{112718DC-3017-4095-864C-D4A62C1CD5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892bc-22cd-4a99-882a-2b61b1b89693"/>
    <ds:schemaRef ds:uri="90eb53ec-75d3-466a-a9b0-ffdacb6bdb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Cost Spreadsheet (LOE)</vt:lpstr>
      <vt:lpstr>Summary</vt:lpstr>
      <vt:lpstr>'Cost Spreadsheet (LOE)'!Print_Area</vt:lpstr>
    </vt:vector>
  </TitlesOfParts>
  <Company>navsea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sea02</dc:creator>
  <cp:lastModifiedBy>Watters, Mary K (Molly) CIV USN COMNAVAIRSYSCOM PAX (U</cp:lastModifiedBy>
  <cp:lastPrinted>2019-08-06T18:24:28Z</cp:lastPrinted>
  <dcterms:created xsi:type="dcterms:W3CDTF">2001-06-07T18:53:45Z</dcterms:created>
  <dcterms:modified xsi:type="dcterms:W3CDTF">2025-04-29T19:25:45Z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0x0101007E96D472923DCC4E95466E53D7022D29</vt:lpwstr>
  </property>
</Properties>
</file>