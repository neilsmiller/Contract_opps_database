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K:\SMSG\FQGB-ICP &amp; Acquisition Branch\FQGB-Acquisition\New Procurements\PT Gear\Tab 3 Market Research\"/>
    </mc:Choice>
  </mc:AlternateContent>
  <xr:revisionPtr revIDLastSave="0" documentId="13_ncr:1_{F884BC5C-CDEA-49AE-BD5C-6B420F2BA07F}" xr6:coauthVersionLast="47" xr6:coauthVersionMax="47" xr10:uidLastSave="{00000000-0000-0000-0000-000000000000}"/>
  <bookViews>
    <workbookView xWindow="28690" yWindow="100" windowWidth="29020" windowHeight="15490" xr2:uid="{FD9FDC59-08B6-418E-9F8B-BADE92D11AAB}"/>
  </bookViews>
  <sheets>
    <sheet name="Planned Delivery Orders " sheetId="2" r:id="rId1"/>
    <sheet name="Award A - Schedule&amp;Price" sheetId="1" r:id="rId2"/>
    <sheet name="Award B - Schedule&amp;Price" sheetId="3" r:id="rId3"/>
    <sheet name="Award C - Schedule&amp;Pric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N11" i="4"/>
  <c r="N17" i="4"/>
  <c r="N10" i="4"/>
  <c r="N4" i="4"/>
  <c r="N3" i="4"/>
  <c r="N18" i="3"/>
  <c r="N17" i="3"/>
  <c r="N11" i="3"/>
  <c r="N10" i="3"/>
  <c r="N4" i="3"/>
  <c r="N3" i="3"/>
  <c r="N18" i="1"/>
  <c r="N11" i="1"/>
  <c r="N4" i="1"/>
  <c r="N17" i="1"/>
  <c r="N10" i="1"/>
  <c r="N3" i="1"/>
</calcChain>
</file>

<file path=xl/sharedStrings.xml><?xml version="1.0" encoding="utf-8"?>
<sst xmlns="http://schemas.openxmlformats.org/spreadsheetml/2006/main" count="624" uniqueCount="162">
  <si>
    <t>8415-01-574-3026</t>
  </si>
  <si>
    <t xml:space="preserve"> Undershirt, PFU, Short sleeve Moisture wicking Gen II </t>
  </si>
  <si>
    <t>0038</t>
  </si>
  <si>
    <t>8415-01-559-7211</t>
  </si>
  <si>
    <t>6&amp;8 inch, Trunks, Physical Fitness Uniform</t>
  </si>
  <si>
    <t>0037</t>
  </si>
  <si>
    <t>0036</t>
  </si>
  <si>
    <t>NAVY RUNNING SUIT JACKET</t>
  </si>
  <si>
    <t>0035</t>
  </si>
  <si>
    <t>MC RUNNING SUIT PANTS</t>
  </si>
  <si>
    <t>0034</t>
  </si>
  <si>
    <t>MC RUNNING SUIT JACKET</t>
  </si>
  <si>
    <t>0033</t>
  </si>
  <si>
    <t>CG SWEATPANTS</t>
  </si>
  <si>
    <t>0032</t>
  </si>
  <si>
    <t>CG SWEATSHIRT</t>
  </si>
  <si>
    <t>0031</t>
  </si>
  <si>
    <t>SF MEN'S PTG T-SHIRT</t>
  </si>
  <si>
    <t>0030</t>
  </si>
  <si>
    <t>SF WOMEN'S PTG T-SHIRT</t>
  </si>
  <si>
    <t>0029</t>
  </si>
  <si>
    <t>0028</t>
  </si>
  <si>
    <t>0027</t>
  </si>
  <si>
    <t>0026</t>
  </si>
  <si>
    <t>0025</t>
  </si>
  <si>
    <t>0024</t>
  </si>
  <si>
    <t>0023</t>
  </si>
  <si>
    <t>0022</t>
  </si>
  <si>
    <t>AF MEN'S PTG TRACK JACKET</t>
  </si>
  <si>
    <t>0021</t>
  </si>
  <si>
    <t>AF WOMEN'S PTG T-SHIRT</t>
  </si>
  <si>
    <t>0020</t>
  </si>
  <si>
    <t>AF MEN'S PTG T-SHIRT</t>
  </si>
  <si>
    <t>0019</t>
  </si>
  <si>
    <t>CG TRUNKS</t>
  </si>
  <si>
    <t>0018</t>
  </si>
  <si>
    <t>8410-01-702-3739</t>
  </si>
  <si>
    <t>SF WOMEN'S ALL-PURPOSE SHORTS</t>
  </si>
  <si>
    <t>0017</t>
  </si>
  <si>
    <t>8405-01-702-3730</t>
  </si>
  <si>
    <t>SF MEN'S ALL-PURPOSE SHORTS</t>
  </si>
  <si>
    <t>0016</t>
  </si>
  <si>
    <t>8410-01-702-3707</t>
  </si>
  <si>
    <t>SF WOMEN'S PT RUNNING SHORTS</t>
  </si>
  <si>
    <t>0015</t>
  </si>
  <si>
    <t>8405-01-702-3691</t>
  </si>
  <si>
    <t>SF MEN'S PT RUNNING SHORTS</t>
  </si>
  <si>
    <t>0014</t>
  </si>
  <si>
    <t>8410-01-695-6060</t>
  </si>
  <si>
    <t>AF WOMEN'S ALL-PURPOSE SHORTS</t>
  </si>
  <si>
    <t>0013</t>
  </si>
  <si>
    <t>8405-01-695-6060</t>
  </si>
  <si>
    <t>AF MEN'S ALL-PURPOSE SHORTS</t>
  </si>
  <si>
    <t>0012</t>
  </si>
  <si>
    <t>8410-01-695-5972</t>
  </si>
  <si>
    <t>AF WOMEN'S PT RUNNING SHORTS</t>
  </si>
  <si>
    <t>0011</t>
  </si>
  <si>
    <t>8405-01-695-5906</t>
  </si>
  <si>
    <t>AF MEN'S PT RUNNING SHORTS</t>
  </si>
  <si>
    <t>0010</t>
  </si>
  <si>
    <t>8420-01-450-0048</t>
  </si>
  <si>
    <t>MC Olive Drab Undershirt</t>
  </si>
  <si>
    <t>0009</t>
  </si>
  <si>
    <t>8415-01-530-6879</t>
  </si>
  <si>
    <t>MC Trunks General Purpose</t>
  </si>
  <si>
    <t>0008</t>
  </si>
  <si>
    <t>8415-01-623-2643</t>
  </si>
  <si>
    <t>APFU Shirts Long Sleeve</t>
  </si>
  <si>
    <t>0007</t>
  </si>
  <si>
    <t>8415-01-623-2516</t>
  </si>
  <si>
    <t>APFU Shirts Short Sleeve</t>
  </si>
  <si>
    <t>0006</t>
  </si>
  <si>
    <t>8415-01-623-2466</t>
  </si>
  <si>
    <t>APFU Trunks</t>
  </si>
  <si>
    <t>0005</t>
  </si>
  <si>
    <t>8415-01-623-9309</t>
  </si>
  <si>
    <t>APFU Pants WMS</t>
  </si>
  <si>
    <t>0004</t>
  </si>
  <si>
    <t>8415-01-623-8702</t>
  </si>
  <si>
    <t>APFU Pants Unisex</t>
  </si>
  <si>
    <t>0003</t>
  </si>
  <si>
    <t>8415-01-623-8660</t>
  </si>
  <si>
    <t>APFU Jackets WMS</t>
  </si>
  <si>
    <t>0002</t>
  </si>
  <si>
    <t>8415-01-623-8613</t>
  </si>
  <si>
    <t>APFU Jackets Unisex</t>
  </si>
  <si>
    <t>0001</t>
  </si>
  <si>
    <t>PGC</t>
  </si>
  <si>
    <t>LEAD NSN</t>
  </si>
  <si>
    <t>ITEM NAME</t>
  </si>
  <si>
    <t>CLIN</t>
  </si>
  <si>
    <t>150 Days</t>
  </si>
  <si>
    <t>180 Days</t>
  </si>
  <si>
    <t>210 Days</t>
  </si>
  <si>
    <t>240 Days</t>
  </si>
  <si>
    <t>270 Days</t>
  </si>
  <si>
    <t>300 Days</t>
  </si>
  <si>
    <t>330 Days</t>
  </si>
  <si>
    <t>360 Days</t>
  </si>
  <si>
    <t>TOTAL</t>
  </si>
  <si>
    <t>Award #1 Quantity</t>
  </si>
  <si>
    <t>Award #2 Quantity</t>
  </si>
  <si>
    <t>Award #3 Quantity</t>
  </si>
  <si>
    <t>Proposed Unit Price</t>
  </si>
  <si>
    <t>Minimum Quantity Within 120 Days of Award</t>
  </si>
  <si>
    <t>White Crewneck Shirts (EA)</t>
  </si>
  <si>
    <t>8420-00-543-6643</t>
  </si>
  <si>
    <t>White Crewneck Shirts (2Pack)</t>
  </si>
  <si>
    <t>8420-01-669-0442</t>
  </si>
  <si>
    <t>White Crewneck Shirts (3Pack)</t>
  </si>
  <si>
    <t>8420-01-495-1945</t>
  </si>
  <si>
    <t>CG Blue Crewneck (4Pack)</t>
  </si>
  <si>
    <t>8420-01-697-3247</t>
  </si>
  <si>
    <t>Brown Undershirt (4Pack)</t>
  </si>
  <si>
    <t>8420-01-706-1300</t>
  </si>
  <si>
    <t>Fuel handlers shirt Sand</t>
  </si>
  <si>
    <t>8420-01-546-1470</t>
  </si>
  <si>
    <t>Sock,  Athletes White, Crew</t>
  </si>
  <si>
    <t>8415-01-448-2213</t>
  </si>
  <si>
    <t>Sock, White, Athletic Quarter</t>
  </si>
  <si>
    <t>8415-01-448-2189</t>
  </si>
  <si>
    <t>0039</t>
  </si>
  <si>
    <t>Black Athletic Sock</t>
  </si>
  <si>
    <t>8415-01-692-2228</t>
  </si>
  <si>
    <t>0040</t>
  </si>
  <si>
    <t>Sand, Sports Bra</t>
  </si>
  <si>
    <t>8425-01-532-4450</t>
  </si>
  <si>
    <t>0041</t>
  </si>
  <si>
    <t>Undershirt, V-Neck</t>
  </si>
  <si>
    <t>8420-01-194-0914</t>
  </si>
  <si>
    <t>0042</t>
  </si>
  <si>
    <t>Tan Moisture Wicking T-Shirt 7-Pack</t>
  </si>
  <si>
    <t>8415-01-668-7298</t>
  </si>
  <si>
    <t>0043</t>
  </si>
  <si>
    <t>Tan Moisture Wicking T-Shirt 3-Pack</t>
  </si>
  <si>
    <t>8415-01-630-5523</t>
  </si>
  <si>
    <t>0044</t>
  </si>
  <si>
    <t>Army/AF Nursing T-Shirt</t>
  </si>
  <si>
    <t>8410-01-699-9295</t>
  </si>
  <si>
    <t>0045</t>
  </si>
  <si>
    <t>Army/AF Maternity T-Shirt</t>
  </si>
  <si>
    <t>8425-01-701-2508</t>
  </si>
  <si>
    <t>0046</t>
  </si>
  <si>
    <t>USMC Maternity T-Shirt</t>
  </si>
  <si>
    <t>8425-01-706-5204</t>
  </si>
  <si>
    <t>0047</t>
  </si>
  <si>
    <t>USMC Nursing T-Shirt</t>
  </si>
  <si>
    <t>8410-01-706-5380</t>
  </si>
  <si>
    <t>0048</t>
  </si>
  <si>
    <t>USN Coyote Maternity T-Shirt</t>
  </si>
  <si>
    <t>8425-01-725-4125</t>
  </si>
  <si>
    <t>0049</t>
  </si>
  <si>
    <t>USN White Maternity T-Shirt</t>
  </si>
  <si>
    <t>8425-01-725-4135</t>
  </si>
  <si>
    <t>0050</t>
  </si>
  <si>
    <t>USN Coyote Nursing -T-Shirt</t>
  </si>
  <si>
    <t>8410-01-725-4155</t>
  </si>
  <si>
    <t>0051</t>
  </si>
  <si>
    <t>USN White Nursing T-Shirt</t>
  </si>
  <si>
    <t>8410-01-725-4163</t>
  </si>
  <si>
    <r>
      <t xml:space="preserve">DIRECTIONS: Enter the quantity you are proposing to deliver each month into the below table for the items you are proposing on. If you are not proposing on specific CLINs, leave them blank. As such, it is the contractor's responsibility to ensure it is entering the information into the correct sections. Quantities are not cumulative - each 30 day period is its own increment. The total quantity in column P must equal the total quantity within the NOFO of the award lot you are offering under. Column P is locked and will automatically calculate the total based on your input in columns E through O. </t>
    </r>
    <r>
      <rPr>
        <b/>
        <sz val="11"/>
        <color rgb="FFFF0000"/>
        <rFont val="Aptos Narrow"/>
        <family val="2"/>
        <scheme val="minor"/>
      </rPr>
      <t>THE BELOW IS PROVIDED AS AN EXAMPLE OF HOW AN AWARDEE WOULD COMPLETE THIS SECTION FOR COLUMNS F THROUGH M.</t>
    </r>
  </si>
  <si>
    <t>NOTE: This is an example of the spreadsheet that would be included in a NOFO. The quantities listed are the total quantities planned for each proposed delivery order. If a line is blank, it means the Government is NOT ordering that item under this NOFO. Awardees are to review this and then fill in that tab(s) starting with "AWARD...." within this spreadsheet for whichever delivery order it would like to be considered for. Awardees are cautioned that they will not receive all three (3) unless it is in the Government's best interest AND awardees must consider all other work and not over-bid. Delivery extensions will not be granted in events where awardees have overbid.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</si>
</sst>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0"/>
    <numFmt numFmtId="165" formatCode="0000\-00\-000\-0000"/>
    <numFmt numFmtId="166" formatCode="_(* #,##0_);_(* \(#,##0\);_(* &quot;-&quot;??_);_(@_)"/>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000000"/>
      <name val="Arial"/>
      <family val="2"/>
    </font>
    <font>
      <b/>
      <sz val="11"/>
      <color rgb="FFFF0000"/>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7">
    <xf numFmtId="0" fontId="0" fillId="0" borderId="0" xfId="0"/>
    <xf numFmtId="0" fontId="0" fillId="0" borderId="0" xfId="0" applyAlignment="1">
      <alignment horizontal="center"/>
    </xf>
    <xf numFmtId="164" fontId="0" fillId="0" borderId="0" xfId="0" applyNumberFormat="1" applyAlignment="1">
      <alignment horizontal="center"/>
    </xf>
    <xf numFmtId="164" fontId="0" fillId="0" borderId="0" xfId="0" quotePrefix="1" applyNumberFormat="1" applyAlignment="1">
      <alignment horizontal="center"/>
    </xf>
    <xf numFmtId="1" fontId="0" fillId="0" borderId="0" xfId="0" applyNumberFormat="1" applyAlignment="1">
      <alignment horizontal="center"/>
    </xf>
    <xf numFmtId="0" fontId="2" fillId="2" borderId="0" xfId="0" applyFont="1" applyFill="1" applyAlignment="1">
      <alignment horizontal="center" vertical="center" wrapText="1"/>
    </xf>
    <xf numFmtId="164" fontId="2" fillId="2" borderId="0" xfId="0" applyNumberFormat="1" applyFont="1" applyFill="1" applyAlignment="1">
      <alignment horizontal="center" vertical="center" wrapText="1"/>
    </xf>
    <xf numFmtId="166" fontId="2" fillId="2" borderId="0" xfId="1" applyNumberFormat="1" applyFont="1" applyFill="1" applyAlignment="1">
      <alignment horizontal="center" vertical="center" wrapText="1"/>
    </xf>
    <xf numFmtId="166" fontId="0" fillId="0" borderId="0" xfId="1" applyNumberFormat="1" applyFont="1" applyAlignment="1">
      <alignment horizontal="center"/>
    </xf>
    <xf numFmtId="166" fontId="0" fillId="0" borderId="0" xfId="1" applyNumberFormat="1" applyFont="1"/>
    <xf numFmtId="166" fontId="0" fillId="0" borderId="0" xfId="0" applyNumberFormat="1" applyAlignment="1">
      <alignment horizontal="center"/>
    </xf>
    <xf numFmtId="44" fontId="0" fillId="0" borderId="0" xfId="2" applyFont="1"/>
    <xf numFmtId="44" fontId="2" fillId="2" borderId="0" xfId="2" applyFont="1" applyFill="1" applyAlignment="1">
      <alignment horizontal="center" vertical="center" wrapText="1"/>
    </xf>
    <xf numFmtId="44" fontId="0" fillId="0" borderId="0" xfId="2" applyFont="1" applyAlignment="1">
      <alignment horizontal="center"/>
    </xf>
    <xf numFmtId="0" fontId="2" fillId="3" borderId="0" xfId="0" applyFont="1" applyFill="1" applyAlignment="1">
      <alignment horizontal="center" vertical="center" wrapText="1"/>
    </xf>
    <xf numFmtId="165" fontId="3" fillId="0" borderId="0" xfId="0" applyNumberFormat="1" applyFont="1" applyAlignment="1">
      <alignment horizontal="center"/>
    </xf>
    <xf numFmtId="0" fontId="4" fillId="3" borderId="0" xfId="0" applyFont="1" applyFill="1" applyAlignment="1">
      <alignment horizontal="center" wrapText="1"/>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6B216-91D2-4064-9231-7952DF968492}">
  <dimension ref="A1:O54"/>
  <sheetViews>
    <sheetView tabSelected="1" workbookViewId="0">
      <selection activeCell="J7" sqref="J7:O19"/>
    </sheetView>
  </sheetViews>
  <sheetFormatPr defaultRowHeight="14.5" x14ac:dyDescent="0.35"/>
  <cols>
    <col min="1" max="1" width="4.81640625" bestFit="1" customWidth="1"/>
    <col min="2" max="2" width="44.54296875" bestFit="1" customWidth="1"/>
    <col min="3" max="3" width="15.81640625" bestFit="1" customWidth="1"/>
    <col min="4" max="4" width="5.81640625" bestFit="1" customWidth="1"/>
    <col min="5" max="7" width="22.54296875" style="9" customWidth="1"/>
  </cols>
  <sheetData>
    <row r="1" spans="1:15" x14ac:dyDescent="0.35">
      <c r="A1" s="6" t="s">
        <v>90</v>
      </c>
      <c r="B1" s="5" t="s">
        <v>89</v>
      </c>
      <c r="C1" s="5" t="s">
        <v>88</v>
      </c>
      <c r="D1" s="6" t="s">
        <v>87</v>
      </c>
      <c r="E1" s="7" t="s">
        <v>100</v>
      </c>
      <c r="F1" s="7" t="s">
        <v>101</v>
      </c>
      <c r="G1" s="7" t="s">
        <v>102</v>
      </c>
    </row>
    <row r="2" spans="1:15" x14ac:dyDescent="0.35">
      <c r="A2" s="3" t="s">
        <v>86</v>
      </c>
      <c r="B2" s="1" t="s">
        <v>85</v>
      </c>
      <c r="C2" s="1" t="s">
        <v>84</v>
      </c>
      <c r="D2" s="2">
        <v>3990</v>
      </c>
      <c r="E2" s="8">
        <v>10000</v>
      </c>
      <c r="F2" s="8">
        <v>6000</v>
      </c>
      <c r="G2" s="8">
        <v>4000</v>
      </c>
    </row>
    <row r="3" spans="1:15" x14ac:dyDescent="0.35">
      <c r="A3" s="3" t="s">
        <v>83</v>
      </c>
      <c r="B3" s="1" t="s">
        <v>82</v>
      </c>
      <c r="C3" s="1" t="s">
        <v>81</v>
      </c>
      <c r="D3" s="2">
        <v>3991</v>
      </c>
      <c r="E3" s="8">
        <v>50000</v>
      </c>
      <c r="F3" s="8">
        <v>35000</v>
      </c>
      <c r="G3" s="8">
        <v>25000</v>
      </c>
    </row>
    <row r="4" spans="1:15" x14ac:dyDescent="0.35">
      <c r="A4" s="3" t="s">
        <v>80</v>
      </c>
      <c r="B4" s="1" t="s">
        <v>79</v>
      </c>
      <c r="C4" s="1" t="s">
        <v>78</v>
      </c>
      <c r="D4" s="2">
        <v>3988</v>
      </c>
      <c r="E4" s="8"/>
      <c r="F4" s="8"/>
      <c r="G4" s="8"/>
    </row>
    <row r="5" spans="1:15" x14ac:dyDescent="0.35">
      <c r="A5" s="3" t="s">
        <v>77</v>
      </c>
      <c r="B5" s="1" t="s">
        <v>76</v>
      </c>
      <c r="C5" s="1" t="s">
        <v>75</v>
      </c>
      <c r="D5" s="2">
        <v>3989</v>
      </c>
      <c r="E5" s="8"/>
      <c r="F5" s="8"/>
      <c r="G5" s="8"/>
    </row>
    <row r="6" spans="1:15" x14ac:dyDescent="0.35">
      <c r="A6" s="3" t="s">
        <v>74</v>
      </c>
      <c r="B6" s="1" t="s">
        <v>73</v>
      </c>
      <c r="C6" s="1" t="s">
        <v>72</v>
      </c>
      <c r="D6" s="2">
        <v>3982</v>
      </c>
      <c r="E6" s="8"/>
      <c r="F6" s="8"/>
      <c r="G6" s="8"/>
    </row>
    <row r="7" spans="1:15" ht="14.5" customHeight="1" x14ac:dyDescent="0.35">
      <c r="A7" s="3" t="s">
        <v>71</v>
      </c>
      <c r="B7" s="1" t="s">
        <v>70</v>
      </c>
      <c r="C7" s="1" t="s">
        <v>69</v>
      </c>
      <c r="D7" s="2">
        <v>3983</v>
      </c>
      <c r="E7" s="8"/>
      <c r="F7" s="8"/>
      <c r="G7" s="8"/>
      <c r="J7" s="16" t="s">
        <v>161</v>
      </c>
      <c r="K7" s="16"/>
      <c r="L7" s="16"/>
      <c r="M7" s="16"/>
      <c r="N7" s="16"/>
      <c r="O7" s="16"/>
    </row>
    <row r="8" spans="1:15" x14ac:dyDescent="0.35">
      <c r="A8" s="3" t="s">
        <v>68</v>
      </c>
      <c r="B8" s="1" t="s">
        <v>67</v>
      </c>
      <c r="C8" s="1" t="s">
        <v>66</v>
      </c>
      <c r="D8" s="2">
        <v>3984</v>
      </c>
      <c r="E8" s="8"/>
      <c r="F8" s="8"/>
      <c r="G8" s="8"/>
      <c r="J8" s="16"/>
      <c r="K8" s="16"/>
      <c r="L8" s="16"/>
      <c r="M8" s="16"/>
      <c r="N8" s="16"/>
      <c r="O8" s="16"/>
    </row>
    <row r="9" spans="1:15" x14ac:dyDescent="0.35">
      <c r="A9" s="3" t="s">
        <v>65</v>
      </c>
      <c r="B9" s="1" t="s">
        <v>64</v>
      </c>
      <c r="C9" s="1" t="s">
        <v>63</v>
      </c>
      <c r="D9" s="2">
        <v>3148</v>
      </c>
      <c r="E9" s="8">
        <v>10000</v>
      </c>
      <c r="F9" s="8">
        <v>6000</v>
      </c>
      <c r="G9" s="8">
        <v>4000</v>
      </c>
      <c r="J9" s="16"/>
      <c r="K9" s="16"/>
      <c r="L9" s="16"/>
      <c r="M9" s="16"/>
      <c r="N9" s="16"/>
      <c r="O9" s="16"/>
    </row>
    <row r="10" spans="1:15" x14ac:dyDescent="0.35">
      <c r="A10" s="3" t="s">
        <v>62</v>
      </c>
      <c r="B10" s="1" t="s">
        <v>61</v>
      </c>
      <c r="C10" s="1" t="s">
        <v>60</v>
      </c>
      <c r="D10" s="2">
        <v>2424</v>
      </c>
      <c r="E10" s="8">
        <v>50000</v>
      </c>
      <c r="F10" s="8">
        <v>35000</v>
      </c>
      <c r="G10" s="8">
        <v>25000</v>
      </c>
      <c r="J10" s="16"/>
      <c r="K10" s="16"/>
      <c r="L10" s="16"/>
      <c r="M10" s="16"/>
      <c r="N10" s="16"/>
      <c r="O10" s="16"/>
    </row>
    <row r="11" spans="1:15" x14ac:dyDescent="0.35">
      <c r="A11" s="3" t="s">
        <v>59</v>
      </c>
      <c r="B11" s="1" t="s">
        <v>58</v>
      </c>
      <c r="C11" s="4" t="s">
        <v>57</v>
      </c>
      <c r="D11" s="2">
        <v>418</v>
      </c>
      <c r="E11" s="8"/>
      <c r="F11" s="8"/>
      <c r="G11" s="8"/>
      <c r="J11" s="16"/>
      <c r="K11" s="16"/>
      <c r="L11" s="16"/>
      <c r="M11" s="16"/>
      <c r="N11" s="16"/>
      <c r="O11" s="16"/>
    </row>
    <row r="12" spans="1:15" x14ac:dyDescent="0.35">
      <c r="A12" s="3" t="s">
        <v>56</v>
      </c>
      <c r="B12" s="1" t="s">
        <v>55</v>
      </c>
      <c r="C12" s="4" t="s">
        <v>54</v>
      </c>
      <c r="D12" s="2">
        <v>419</v>
      </c>
      <c r="E12" s="8"/>
      <c r="F12" s="8"/>
      <c r="G12" s="8"/>
      <c r="J12" s="16"/>
      <c r="K12" s="16"/>
      <c r="L12" s="16"/>
      <c r="M12" s="16"/>
      <c r="N12" s="16"/>
      <c r="O12" s="16"/>
    </row>
    <row r="13" spans="1:15" x14ac:dyDescent="0.35">
      <c r="A13" s="3" t="s">
        <v>53</v>
      </c>
      <c r="B13" s="1" t="s">
        <v>52</v>
      </c>
      <c r="C13" s="4" t="s">
        <v>51</v>
      </c>
      <c r="D13" s="2">
        <v>420</v>
      </c>
      <c r="E13" s="8"/>
      <c r="F13" s="8"/>
      <c r="G13" s="8"/>
      <c r="J13" s="16"/>
      <c r="K13" s="16"/>
      <c r="L13" s="16"/>
      <c r="M13" s="16"/>
      <c r="N13" s="16"/>
      <c r="O13" s="16"/>
    </row>
    <row r="14" spans="1:15" x14ac:dyDescent="0.35">
      <c r="A14" s="3" t="s">
        <v>50</v>
      </c>
      <c r="B14" s="1" t="s">
        <v>49</v>
      </c>
      <c r="C14" s="4" t="s">
        <v>48</v>
      </c>
      <c r="D14" s="2">
        <v>421</v>
      </c>
      <c r="E14" s="8"/>
      <c r="F14" s="8"/>
      <c r="G14" s="8"/>
      <c r="J14" s="16"/>
      <c r="K14" s="16"/>
      <c r="L14" s="16"/>
      <c r="M14" s="16"/>
      <c r="N14" s="16"/>
      <c r="O14" s="16"/>
    </row>
    <row r="15" spans="1:15" x14ac:dyDescent="0.35">
      <c r="A15" s="3" t="s">
        <v>47</v>
      </c>
      <c r="B15" s="1" t="s">
        <v>46</v>
      </c>
      <c r="C15" s="4" t="s">
        <v>45</v>
      </c>
      <c r="D15" s="2">
        <v>569</v>
      </c>
      <c r="E15" s="8"/>
      <c r="F15" s="8"/>
      <c r="G15" s="8"/>
      <c r="J15" s="16"/>
      <c r="K15" s="16"/>
      <c r="L15" s="16"/>
      <c r="M15" s="16"/>
      <c r="N15" s="16"/>
      <c r="O15" s="16"/>
    </row>
    <row r="16" spans="1:15" x14ac:dyDescent="0.35">
      <c r="A16" s="3" t="s">
        <v>44</v>
      </c>
      <c r="B16" s="1" t="s">
        <v>43</v>
      </c>
      <c r="C16" s="4" t="s">
        <v>42</v>
      </c>
      <c r="D16" s="2">
        <v>570</v>
      </c>
      <c r="E16" s="8">
        <v>10000</v>
      </c>
      <c r="F16" s="8">
        <v>6000</v>
      </c>
      <c r="G16" s="8">
        <v>4000</v>
      </c>
      <c r="J16" s="16"/>
      <c r="K16" s="16"/>
      <c r="L16" s="16"/>
      <c r="M16" s="16"/>
      <c r="N16" s="16"/>
      <c r="O16" s="16"/>
    </row>
    <row r="17" spans="1:15" x14ac:dyDescent="0.35">
      <c r="A17" s="3" t="s">
        <v>41</v>
      </c>
      <c r="B17" s="1" t="s">
        <v>40</v>
      </c>
      <c r="C17" s="4" t="s">
        <v>39</v>
      </c>
      <c r="D17" s="2">
        <v>571</v>
      </c>
      <c r="E17" s="8">
        <v>50000</v>
      </c>
      <c r="F17" s="8">
        <v>35000</v>
      </c>
      <c r="G17" s="8">
        <v>25000</v>
      </c>
      <c r="J17" s="16"/>
      <c r="K17" s="16"/>
      <c r="L17" s="16"/>
      <c r="M17" s="16"/>
      <c r="N17" s="16"/>
      <c r="O17" s="16"/>
    </row>
    <row r="18" spans="1:15" x14ac:dyDescent="0.35">
      <c r="A18" s="3" t="s">
        <v>38</v>
      </c>
      <c r="B18" s="1" t="s">
        <v>37</v>
      </c>
      <c r="C18" s="4" t="s">
        <v>36</v>
      </c>
      <c r="D18" s="2">
        <v>579</v>
      </c>
      <c r="E18" s="8"/>
      <c r="F18" s="8"/>
      <c r="G18" s="8"/>
      <c r="J18" s="16"/>
      <c r="K18" s="16"/>
      <c r="L18" s="16"/>
      <c r="M18" s="16"/>
      <c r="N18" s="16"/>
      <c r="O18" s="16"/>
    </row>
    <row r="19" spans="1:15" x14ac:dyDescent="0.35">
      <c r="A19" s="3" t="s">
        <v>35</v>
      </c>
      <c r="B19" s="1" t="s">
        <v>34</v>
      </c>
      <c r="C19" s="15">
        <v>8415016616920</v>
      </c>
      <c r="D19" s="2">
        <v>108</v>
      </c>
      <c r="E19" s="8"/>
      <c r="F19" s="8"/>
      <c r="G19" s="8"/>
      <c r="J19" s="16"/>
      <c r="K19" s="16"/>
      <c r="L19" s="16"/>
      <c r="M19" s="16"/>
      <c r="N19" s="16"/>
      <c r="O19" s="16"/>
    </row>
    <row r="20" spans="1:15" x14ac:dyDescent="0.35">
      <c r="A20" s="3" t="s">
        <v>33</v>
      </c>
      <c r="B20" s="1" t="s">
        <v>32</v>
      </c>
      <c r="C20" s="15">
        <v>8405016955470</v>
      </c>
      <c r="D20" s="2">
        <v>415</v>
      </c>
      <c r="E20" s="8"/>
      <c r="F20" s="8"/>
      <c r="G20" s="8"/>
    </row>
    <row r="21" spans="1:15" x14ac:dyDescent="0.35">
      <c r="A21" s="3" t="s">
        <v>31</v>
      </c>
      <c r="B21" s="1" t="s">
        <v>30</v>
      </c>
      <c r="C21" s="15">
        <v>8410016955513</v>
      </c>
      <c r="D21" s="2">
        <v>417</v>
      </c>
      <c r="E21" s="8"/>
      <c r="F21" s="8"/>
      <c r="G21" s="8"/>
    </row>
    <row r="22" spans="1:15" x14ac:dyDescent="0.35">
      <c r="A22" s="3" t="s">
        <v>29</v>
      </c>
      <c r="B22" s="1" t="s">
        <v>28</v>
      </c>
      <c r="C22" s="15">
        <v>8405016965485</v>
      </c>
      <c r="D22" s="2">
        <v>431</v>
      </c>
      <c r="E22" s="8"/>
      <c r="F22" s="8"/>
      <c r="G22" s="8"/>
    </row>
    <row r="23" spans="1:15" x14ac:dyDescent="0.35">
      <c r="A23" s="3" t="s">
        <v>27</v>
      </c>
      <c r="B23" s="1" t="s">
        <v>19</v>
      </c>
      <c r="C23" s="15">
        <v>8410017017177</v>
      </c>
      <c r="D23" s="2">
        <v>568</v>
      </c>
      <c r="E23" s="8"/>
      <c r="F23" s="8"/>
      <c r="G23" s="8"/>
    </row>
    <row r="24" spans="1:15" x14ac:dyDescent="0.35">
      <c r="A24" s="3" t="s">
        <v>26</v>
      </c>
      <c r="B24" s="1" t="s">
        <v>17</v>
      </c>
      <c r="C24" s="15">
        <v>8405017017162</v>
      </c>
      <c r="D24" s="2">
        <v>576</v>
      </c>
      <c r="E24" s="8"/>
      <c r="F24" s="8"/>
      <c r="G24" s="8"/>
    </row>
    <row r="25" spans="1:15" x14ac:dyDescent="0.35">
      <c r="A25" s="3" t="s">
        <v>25</v>
      </c>
      <c r="B25" s="1" t="s">
        <v>15</v>
      </c>
      <c r="C25" s="15">
        <v>8415014368888</v>
      </c>
      <c r="D25" s="2">
        <v>2308</v>
      </c>
      <c r="E25" s="8"/>
      <c r="F25" s="8"/>
      <c r="G25" s="8"/>
    </row>
    <row r="26" spans="1:15" x14ac:dyDescent="0.35">
      <c r="A26" s="3" t="s">
        <v>24</v>
      </c>
      <c r="B26" s="1" t="s">
        <v>13</v>
      </c>
      <c r="C26" s="15">
        <v>8415014368796</v>
      </c>
      <c r="D26" s="2">
        <v>2309</v>
      </c>
      <c r="E26" s="8"/>
      <c r="F26" s="8"/>
      <c r="G26" s="8"/>
    </row>
    <row r="27" spans="1:15" x14ac:dyDescent="0.35">
      <c r="A27" s="3" t="s">
        <v>23</v>
      </c>
      <c r="B27" s="1" t="s">
        <v>11</v>
      </c>
      <c r="C27" s="15">
        <v>8415015501251</v>
      </c>
      <c r="D27" s="2">
        <v>3410</v>
      </c>
      <c r="E27" s="8"/>
      <c r="F27" s="8"/>
      <c r="G27" s="8"/>
    </row>
    <row r="28" spans="1:15" x14ac:dyDescent="0.35">
      <c r="A28" s="3" t="s">
        <v>22</v>
      </c>
      <c r="B28" s="1" t="s">
        <v>9</v>
      </c>
      <c r="C28" s="15">
        <v>8415015501677</v>
      </c>
      <c r="D28" s="2">
        <v>3411</v>
      </c>
      <c r="E28" s="8"/>
      <c r="F28" s="8"/>
      <c r="G28" s="8"/>
    </row>
    <row r="29" spans="1:15" x14ac:dyDescent="0.35">
      <c r="A29" s="3" t="s">
        <v>21</v>
      </c>
      <c r="B29" s="1" t="s">
        <v>7</v>
      </c>
      <c r="C29" s="15">
        <v>8415016470261</v>
      </c>
      <c r="D29" s="2">
        <v>3711</v>
      </c>
      <c r="E29" s="8"/>
      <c r="F29" s="8"/>
      <c r="G29" s="8"/>
    </row>
    <row r="30" spans="1:15" x14ac:dyDescent="0.35">
      <c r="A30" s="3" t="s">
        <v>20</v>
      </c>
      <c r="B30" s="1" t="s">
        <v>4</v>
      </c>
      <c r="C30" s="1" t="s">
        <v>3</v>
      </c>
      <c r="D30" s="2">
        <v>48</v>
      </c>
      <c r="E30" s="8"/>
      <c r="F30" s="8"/>
      <c r="G30" s="8"/>
    </row>
    <row r="31" spans="1:15" x14ac:dyDescent="0.35">
      <c r="A31" s="3" t="s">
        <v>18</v>
      </c>
      <c r="B31" s="1" t="s">
        <v>1</v>
      </c>
      <c r="C31" s="1" t="s">
        <v>0</v>
      </c>
      <c r="D31" s="2">
        <v>3616</v>
      </c>
      <c r="E31" s="8"/>
      <c r="F31" s="8"/>
      <c r="G31" s="8"/>
    </row>
    <row r="32" spans="1:15" x14ac:dyDescent="0.35">
      <c r="A32" s="3" t="s">
        <v>16</v>
      </c>
      <c r="B32" s="1" t="s">
        <v>105</v>
      </c>
      <c r="C32" s="1" t="s">
        <v>106</v>
      </c>
      <c r="D32" s="2">
        <v>312</v>
      </c>
      <c r="E32" s="8"/>
      <c r="F32" s="8"/>
      <c r="G32" s="8"/>
    </row>
    <row r="33" spans="1:7" x14ac:dyDescent="0.35">
      <c r="A33" s="3" t="s">
        <v>14</v>
      </c>
      <c r="B33" s="1" t="s">
        <v>107</v>
      </c>
      <c r="C33" s="1" t="s">
        <v>108</v>
      </c>
      <c r="D33" s="2">
        <v>36</v>
      </c>
      <c r="E33" s="8"/>
      <c r="F33" s="8"/>
      <c r="G33" s="8"/>
    </row>
    <row r="34" spans="1:7" x14ac:dyDescent="0.35">
      <c r="A34" s="3" t="s">
        <v>12</v>
      </c>
      <c r="B34" s="1" t="s">
        <v>109</v>
      </c>
      <c r="C34" s="1" t="s">
        <v>110</v>
      </c>
      <c r="D34" s="2">
        <v>2768</v>
      </c>
      <c r="E34" s="8"/>
      <c r="F34" s="8"/>
      <c r="G34" s="8"/>
    </row>
    <row r="35" spans="1:7" x14ac:dyDescent="0.35">
      <c r="A35" s="3" t="s">
        <v>10</v>
      </c>
      <c r="B35" s="1" t="s">
        <v>111</v>
      </c>
      <c r="C35" s="1" t="s">
        <v>112</v>
      </c>
      <c r="D35" s="2">
        <v>490</v>
      </c>
      <c r="E35" s="8"/>
      <c r="F35" s="8"/>
      <c r="G35" s="8"/>
    </row>
    <row r="36" spans="1:7" x14ac:dyDescent="0.35">
      <c r="A36" s="3" t="s">
        <v>8</v>
      </c>
      <c r="B36" s="1" t="s">
        <v>113</v>
      </c>
      <c r="C36" s="1" t="s">
        <v>114</v>
      </c>
      <c r="D36" s="2">
        <v>590</v>
      </c>
      <c r="E36" s="8"/>
      <c r="F36" s="8"/>
      <c r="G36" s="8"/>
    </row>
    <row r="37" spans="1:7" x14ac:dyDescent="0.35">
      <c r="A37" s="3" t="s">
        <v>6</v>
      </c>
      <c r="B37" s="1" t="s">
        <v>115</v>
      </c>
      <c r="C37" s="1" t="s">
        <v>116</v>
      </c>
      <c r="D37" s="2">
        <v>3363</v>
      </c>
      <c r="E37" s="8"/>
      <c r="F37" s="8"/>
      <c r="G37" s="8"/>
    </row>
    <row r="38" spans="1:7" x14ac:dyDescent="0.35">
      <c r="A38" s="3" t="s">
        <v>5</v>
      </c>
      <c r="B38" s="1" t="s">
        <v>117</v>
      </c>
      <c r="C38" s="1" t="s">
        <v>118</v>
      </c>
      <c r="D38" s="2">
        <v>2410</v>
      </c>
      <c r="E38" s="8"/>
      <c r="F38" s="8"/>
      <c r="G38" s="8"/>
    </row>
    <row r="39" spans="1:7" x14ac:dyDescent="0.35">
      <c r="A39" s="3" t="s">
        <v>2</v>
      </c>
      <c r="B39" s="1" t="s">
        <v>119</v>
      </c>
      <c r="C39" s="1" t="s">
        <v>120</v>
      </c>
      <c r="D39" s="2">
        <v>2411</v>
      </c>
      <c r="E39" s="8"/>
      <c r="F39" s="8"/>
      <c r="G39" s="8"/>
    </row>
    <row r="40" spans="1:7" x14ac:dyDescent="0.35">
      <c r="A40" s="3" t="s">
        <v>121</v>
      </c>
      <c r="B40" s="1" t="s">
        <v>122</v>
      </c>
      <c r="C40" s="1" t="s">
        <v>123</v>
      </c>
      <c r="D40" s="2">
        <v>338</v>
      </c>
    </row>
    <row r="41" spans="1:7" x14ac:dyDescent="0.35">
      <c r="A41" s="3" t="s">
        <v>124</v>
      </c>
      <c r="B41" s="1" t="s">
        <v>125</v>
      </c>
      <c r="C41" s="1" t="s">
        <v>126</v>
      </c>
      <c r="D41" s="2">
        <v>3155</v>
      </c>
    </row>
    <row r="42" spans="1:7" x14ac:dyDescent="0.35">
      <c r="A42" s="3" t="s">
        <v>127</v>
      </c>
      <c r="B42" s="1" t="s">
        <v>128</v>
      </c>
      <c r="C42" s="1" t="s">
        <v>129</v>
      </c>
      <c r="D42" s="2">
        <v>1892</v>
      </c>
    </row>
    <row r="43" spans="1:7" x14ac:dyDescent="0.35">
      <c r="A43" s="3" t="s">
        <v>130</v>
      </c>
      <c r="B43" s="1" t="s">
        <v>131</v>
      </c>
      <c r="C43" s="1" t="s">
        <v>132</v>
      </c>
      <c r="D43" s="2">
        <v>34</v>
      </c>
    </row>
    <row r="44" spans="1:7" x14ac:dyDescent="0.35">
      <c r="A44" s="3" t="s">
        <v>133</v>
      </c>
      <c r="B44" s="1" t="s">
        <v>134</v>
      </c>
      <c r="C44" s="1" t="s">
        <v>135</v>
      </c>
      <c r="D44" s="2">
        <v>4011</v>
      </c>
    </row>
    <row r="45" spans="1:7" x14ac:dyDescent="0.35">
      <c r="A45" s="3" t="s">
        <v>136</v>
      </c>
      <c r="B45" s="1" t="s">
        <v>137</v>
      </c>
      <c r="C45" s="1" t="s">
        <v>138</v>
      </c>
      <c r="D45" s="2">
        <v>527</v>
      </c>
    </row>
    <row r="46" spans="1:7" x14ac:dyDescent="0.35">
      <c r="A46" s="3" t="s">
        <v>139</v>
      </c>
      <c r="B46" s="1" t="s">
        <v>140</v>
      </c>
      <c r="C46" s="1" t="s">
        <v>141</v>
      </c>
      <c r="D46" s="2">
        <v>551</v>
      </c>
    </row>
    <row r="47" spans="1:7" x14ac:dyDescent="0.35">
      <c r="A47" s="3" t="s">
        <v>142</v>
      </c>
      <c r="B47" s="1" t="s">
        <v>143</v>
      </c>
      <c r="C47" s="1" t="s">
        <v>144</v>
      </c>
      <c r="D47" s="2">
        <v>592</v>
      </c>
    </row>
    <row r="48" spans="1:7" x14ac:dyDescent="0.35">
      <c r="A48" s="3" t="s">
        <v>145</v>
      </c>
      <c r="B48" s="1" t="s">
        <v>146</v>
      </c>
      <c r="C48" s="1" t="s">
        <v>147</v>
      </c>
      <c r="D48" s="2">
        <v>593</v>
      </c>
    </row>
    <row r="49" spans="1:4" x14ac:dyDescent="0.35">
      <c r="A49" s="3" t="s">
        <v>148</v>
      </c>
      <c r="B49" s="1" t="s">
        <v>149</v>
      </c>
      <c r="C49" s="1" t="s">
        <v>150</v>
      </c>
      <c r="D49" s="2">
        <v>687</v>
      </c>
    </row>
    <row r="50" spans="1:4" x14ac:dyDescent="0.35">
      <c r="A50" s="3" t="s">
        <v>151</v>
      </c>
      <c r="B50" s="1" t="s">
        <v>152</v>
      </c>
      <c r="C50" s="1" t="s">
        <v>153</v>
      </c>
      <c r="D50" s="2">
        <v>689</v>
      </c>
    </row>
    <row r="51" spans="1:4" x14ac:dyDescent="0.35">
      <c r="A51" s="3" t="s">
        <v>154</v>
      </c>
      <c r="B51" s="1" t="s">
        <v>155</v>
      </c>
      <c r="C51" s="1" t="s">
        <v>156</v>
      </c>
      <c r="D51" s="2">
        <v>690</v>
      </c>
    </row>
    <row r="52" spans="1:4" x14ac:dyDescent="0.35">
      <c r="A52" s="3" t="s">
        <v>157</v>
      </c>
      <c r="B52" s="1" t="s">
        <v>158</v>
      </c>
      <c r="C52" s="1" t="s">
        <v>159</v>
      </c>
      <c r="D52" s="2">
        <v>691</v>
      </c>
    </row>
    <row r="53" spans="1:4" x14ac:dyDescent="0.35">
      <c r="A53" s="2"/>
      <c r="B53" s="1"/>
      <c r="C53" s="1"/>
      <c r="D53" s="2"/>
    </row>
    <row r="54" spans="1:4" x14ac:dyDescent="0.35">
      <c r="A54" s="2"/>
      <c r="B54" s="1"/>
      <c r="C54" s="1"/>
      <c r="D54" s="2"/>
    </row>
  </sheetData>
  <mergeCells count="1">
    <mergeCell ref="J7:O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114C2-79DF-4A13-9939-0AAAF6AB34A4}">
  <dimension ref="A1:O55"/>
  <sheetViews>
    <sheetView workbookViewId="0">
      <selection sqref="A1:O1"/>
    </sheetView>
  </sheetViews>
  <sheetFormatPr defaultRowHeight="14.5" x14ac:dyDescent="0.35"/>
  <cols>
    <col min="1" max="1" width="4.81640625" bestFit="1" customWidth="1"/>
    <col min="2" max="2" width="44.54296875" bestFit="1" customWidth="1"/>
    <col min="3" max="3" width="15.81640625" bestFit="1" customWidth="1"/>
    <col min="4" max="4" width="5.81640625" bestFit="1" customWidth="1"/>
    <col min="5" max="5" width="22.54296875" customWidth="1"/>
    <col min="15" max="15" width="11.7265625" style="11" customWidth="1"/>
  </cols>
  <sheetData>
    <row r="1" spans="1:15" ht="80.5" customHeight="1" x14ac:dyDescent="0.35">
      <c r="A1" s="14" t="s">
        <v>160</v>
      </c>
      <c r="B1" s="14"/>
      <c r="C1" s="14"/>
      <c r="D1" s="14"/>
      <c r="E1" s="14"/>
      <c r="F1" s="14"/>
      <c r="G1" s="14"/>
      <c r="H1" s="14"/>
      <c r="I1" s="14"/>
      <c r="J1" s="14"/>
      <c r="K1" s="14"/>
      <c r="L1" s="14"/>
      <c r="M1" s="14"/>
      <c r="N1" s="14"/>
      <c r="O1" s="14"/>
    </row>
    <row r="2" spans="1:15" ht="29" x14ac:dyDescent="0.35">
      <c r="A2" s="6" t="s">
        <v>90</v>
      </c>
      <c r="B2" s="5" t="s">
        <v>89</v>
      </c>
      <c r="C2" s="5" t="s">
        <v>88</v>
      </c>
      <c r="D2" s="6" t="s">
        <v>87</v>
      </c>
      <c r="E2" s="6" t="s">
        <v>104</v>
      </c>
      <c r="F2" s="5" t="s">
        <v>91</v>
      </c>
      <c r="G2" s="5" t="s">
        <v>92</v>
      </c>
      <c r="H2" s="5" t="s">
        <v>93</v>
      </c>
      <c r="I2" s="5" t="s">
        <v>94</v>
      </c>
      <c r="J2" s="5" t="s">
        <v>95</v>
      </c>
      <c r="K2" s="5" t="s">
        <v>96</v>
      </c>
      <c r="L2" s="5" t="s">
        <v>97</v>
      </c>
      <c r="M2" s="5" t="s">
        <v>98</v>
      </c>
      <c r="N2" s="5" t="s">
        <v>99</v>
      </c>
      <c r="O2" s="12" t="s">
        <v>103</v>
      </c>
    </row>
    <row r="3" spans="1:15" x14ac:dyDescent="0.35">
      <c r="A3" s="3" t="s">
        <v>86</v>
      </c>
      <c r="B3" s="1" t="s">
        <v>85</v>
      </c>
      <c r="C3" s="1" t="s">
        <v>84</v>
      </c>
      <c r="D3" s="2">
        <v>3990</v>
      </c>
      <c r="E3" s="8">
        <v>500</v>
      </c>
      <c r="F3" s="8">
        <v>525</v>
      </c>
      <c r="G3" s="8">
        <v>600</v>
      </c>
      <c r="H3" s="1">
        <v>1000</v>
      </c>
      <c r="I3" s="1">
        <v>1000</v>
      </c>
      <c r="J3" s="1">
        <v>1000</v>
      </c>
      <c r="K3" s="1">
        <v>2000</v>
      </c>
      <c r="L3" s="1">
        <v>1000</v>
      </c>
      <c r="M3" s="1">
        <v>1000</v>
      </c>
      <c r="N3" s="10">
        <f>SUM(E3:M3)</f>
        <v>8625</v>
      </c>
      <c r="O3" s="13">
        <v>100</v>
      </c>
    </row>
    <row r="4" spans="1:15" x14ac:dyDescent="0.35">
      <c r="A4" s="3" t="s">
        <v>83</v>
      </c>
      <c r="B4" s="1" t="s">
        <v>82</v>
      </c>
      <c r="C4" s="1" t="s">
        <v>81</v>
      </c>
      <c r="D4" s="2">
        <v>3991</v>
      </c>
      <c r="E4" s="8">
        <v>1000</v>
      </c>
      <c r="F4" s="8">
        <v>2500</v>
      </c>
      <c r="G4" s="8">
        <v>3000</v>
      </c>
      <c r="H4" s="1">
        <v>3500</v>
      </c>
      <c r="I4" s="1">
        <v>5000</v>
      </c>
      <c r="J4" s="1">
        <v>7500</v>
      </c>
      <c r="K4" s="1">
        <v>7500</v>
      </c>
      <c r="L4" s="1">
        <v>5000</v>
      </c>
      <c r="M4" s="1">
        <v>5000</v>
      </c>
      <c r="N4" s="10">
        <f>SUM(E4:M4)</f>
        <v>40000</v>
      </c>
      <c r="O4" s="13">
        <v>200</v>
      </c>
    </row>
    <row r="5" spans="1:15" x14ac:dyDescent="0.35">
      <c r="A5" s="3" t="s">
        <v>80</v>
      </c>
      <c r="B5" s="1" t="s">
        <v>79</v>
      </c>
      <c r="C5" s="1" t="s">
        <v>78</v>
      </c>
      <c r="D5" s="2">
        <v>3988</v>
      </c>
      <c r="E5" s="8"/>
      <c r="F5" s="8"/>
      <c r="G5" s="8"/>
      <c r="H5" s="1"/>
      <c r="I5" s="1"/>
      <c r="J5" s="1"/>
      <c r="K5" s="1"/>
      <c r="L5" s="1"/>
      <c r="M5" s="1"/>
      <c r="N5" s="1"/>
      <c r="O5" s="13"/>
    </row>
    <row r="6" spans="1:15" x14ac:dyDescent="0.35">
      <c r="A6" s="3" t="s">
        <v>77</v>
      </c>
      <c r="B6" s="1" t="s">
        <v>76</v>
      </c>
      <c r="C6" s="1" t="s">
        <v>75</v>
      </c>
      <c r="D6" s="2">
        <v>3989</v>
      </c>
      <c r="E6" s="8"/>
      <c r="F6" s="8"/>
      <c r="G6" s="8"/>
      <c r="H6" s="1"/>
      <c r="I6" s="1"/>
      <c r="J6" s="1"/>
      <c r="K6" s="1"/>
      <c r="L6" s="1"/>
      <c r="M6" s="1"/>
      <c r="N6" s="1"/>
      <c r="O6" s="13"/>
    </row>
    <row r="7" spans="1:15" x14ac:dyDescent="0.35">
      <c r="A7" s="3" t="s">
        <v>74</v>
      </c>
      <c r="B7" s="1" t="s">
        <v>73</v>
      </c>
      <c r="C7" s="1" t="s">
        <v>72</v>
      </c>
      <c r="D7" s="2">
        <v>3982</v>
      </c>
      <c r="E7" s="8"/>
      <c r="F7" s="8"/>
      <c r="G7" s="8"/>
      <c r="H7" s="1"/>
      <c r="I7" s="1"/>
      <c r="J7" s="1"/>
      <c r="K7" s="1"/>
      <c r="L7" s="1"/>
      <c r="M7" s="1"/>
      <c r="N7" s="1"/>
      <c r="O7" s="13"/>
    </row>
    <row r="8" spans="1:15" x14ac:dyDescent="0.35">
      <c r="A8" s="3" t="s">
        <v>71</v>
      </c>
      <c r="B8" s="1" t="s">
        <v>70</v>
      </c>
      <c r="C8" s="1" t="s">
        <v>69</v>
      </c>
      <c r="D8" s="2">
        <v>3983</v>
      </c>
      <c r="E8" s="8"/>
      <c r="F8" s="8"/>
      <c r="G8" s="8"/>
      <c r="H8" s="1"/>
      <c r="I8" s="1"/>
      <c r="J8" s="1"/>
      <c r="K8" s="1"/>
      <c r="L8" s="1"/>
      <c r="M8" s="1"/>
      <c r="N8" s="1"/>
      <c r="O8" s="13"/>
    </row>
    <row r="9" spans="1:15" x14ac:dyDescent="0.35">
      <c r="A9" s="3" t="s">
        <v>68</v>
      </c>
      <c r="B9" s="1" t="s">
        <v>67</v>
      </c>
      <c r="C9" s="1" t="s">
        <v>66</v>
      </c>
      <c r="D9" s="2">
        <v>3984</v>
      </c>
      <c r="E9" s="8"/>
      <c r="F9" s="8"/>
      <c r="G9" s="8"/>
      <c r="H9" s="1"/>
      <c r="I9" s="1"/>
      <c r="J9" s="1"/>
      <c r="K9" s="1"/>
      <c r="L9" s="1"/>
      <c r="M9" s="1"/>
      <c r="N9" s="1"/>
      <c r="O9" s="13"/>
    </row>
    <row r="10" spans="1:15" x14ac:dyDescent="0.35">
      <c r="A10" s="3" t="s">
        <v>65</v>
      </c>
      <c r="B10" s="1" t="s">
        <v>64</v>
      </c>
      <c r="C10" s="1" t="s">
        <v>63</v>
      </c>
      <c r="D10" s="2">
        <v>3148</v>
      </c>
      <c r="E10" s="8">
        <v>500</v>
      </c>
      <c r="F10" s="8">
        <v>525</v>
      </c>
      <c r="G10" s="8">
        <v>600</v>
      </c>
      <c r="H10" s="1">
        <v>1000</v>
      </c>
      <c r="I10" s="1">
        <v>1000</v>
      </c>
      <c r="J10" s="1">
        <v>1000</v>
      </c>
      <c r="K10" s="1">
        <v>2000</v>
      </c>
      <c r="L10" s="1">
        <v>1000</v>
      </c>
      <c r="M10" s="1">
        <v>1000</v>
      </c>
      <c r="N10" s="10">
        <f>SUM(E10:M10)</f>
        <v>8625</v>
      </c>
      <c r="O10" s="13">
        <v>100</v>
      </c>
    </row>
    <row r="11" spans="1:15" x14ac:dyDescent="0.35">
      <c r="A11" s="3" t="s">
        <v>62</v>
      </c>
      <c r="B11" s="1" t="s">
        <v>61</v>
      </c>
      <c r="C11" s="1" t="s">
        <v>60</v>
      </c>
      <c r="D11" s="2">
        <v>2424</v>
      </c>
      <c r="E11" s="8">
        <v>1000</v>
      </c>
      <c r="F11" s="8">
        <v>2500</v>
      </c>
      <c r="G11" s="8">
        <v>3000</v>
      </c>
      <c r="H11" s="1">
        <v>3500</v>
      </c>
      <c r="I11" s="1">
        <v>5000</v>
      </c>
      <c r="J11" s="1">
        <v>7500</v>
      </c>
      <c r="K11" s="1">
        <v>7500</v>
      </c>
      <c r="L11" s="1">
        <v>5000</v>
      </c>
      <c r="M11" s="1">
        <v>5000</v>
      </c>
      <c r="N11" s="10">
        <f>SUM(E11:M11)</f>
        <v>40000</v>
      </c>
      <c r="O11" s="13">
        <v>200</v>
      </c>
    </row>
    <row r="12" spans="1:15" x14ac:dyDescent="0.35">
      <c r="A12" s="3" t="s">
        <v>59</v>
      </c>
      <c r="B12" s="1" t="s">
        <v>58</v>
      </c>
      <c r="C12" s="4" t="s">
        <v>57</v>
      </c>
      <c r="D12" s="2">
        <v>418</v>
      </c>
      <c r="E12" s="8"/>
      <c r="F12" s="8"/>
      <c r="G12" s="8"/>
      <c r="H12" s="1"/>
      <c r="I12" s="1"/>
      <c r="J12" s="1"/>
      <c r="K12" s="1"/>
      <c r="L12" s="1"/>
      <c r="M12" s="1"/>
      <c r="N12" s="1"/>
      <c r="O12" s="13"/>
    </row>
    <row r="13" spans="1:15" x14ac:dyDescent="0.35">
      <c r="A13" s="3" t="s">
        <v>56</v>
      </c>
      <c r="B13" s="1" t="s">
        <v>55</v>
      </c>
      <c r="C13" s="4" t="s">
        <v>54</v>
      </c>
      <c r="D13" s="2">
        <v>419</v>
      </c>
      <c r="E13" s="8"/>
      <c r="F13" s="8"/>
      <c r="G13" s="8"/>
      <c r="H13" s="1"/>
      <c r="I13" s="1"/>
      <c r="J13" s="1"/>
      <c r="K13" s="1"/>
      <c r="L13" s="1"/>
      <c r="M13" s="1"/>
      <c r="N13" s="1"/>
      <c r="O13" s="13"/>
    </row>
    <row r="14" spans="1:15" x14ac:dyDescent="0.35">
      <c r="A14" s="3" t="s">
        <v>53</v>
      </c>
      <c r="B14" s="1" t="s">
        <v>52</v>
      </c>
      <c r="C14" s="4" t="s">
        <v>51</v>
      </c>
      <c r="D14" s="2">
        <v>420</v>
      </c>
      <c r="E14" s="8"/>
      <c r="F14" s="8"/>
      <c r="G14" s="8"/>
      <c r="H14" s="1"/>
      <c r="I14" s="1"/>
      <c r="J14" s="1"/>
      <c r="K14" s="1"/>
      <c r="L14" s="1"/>
      <c r="M14" s="1"/>
      <c r="N14" s="1"/>
      <c r="O14" s="13"/>
    </row>
    <row r="15" spans="1:15" x14ac:dyDescent="0.35">
      <c r="A15" s="3" t="s">
        <v>50</v>
      </c>
      <c r="B15" s="1" t="s">
        <v>49</v>
      </c>
      <c r="C15" s="4" t="s">
        <v>48</v>
      </c>
      <c r="D15" s="2">
        <v>421</v>
      </c>
      <c r="E15" s="8"/>
      <c r="F15" s="8"/>
      <c r="G15" s="8"/>
      <c r="H15" s="1"/>
      <c r="I15" s="1"/>
      <c r="J15" s="1"/>
      <c r="K15" s="1"/>
      <c r="L15" s="1"/>
      <c r="M15" s="1"/>
      <c r="N15" s="1"/>
      <c r="O15" s="13"/>
    </row>
    <row r="16" spans="1:15" x14ac:dyDescent="0.35">
      <c r="A16" s="3" t="s">
        <v>47</v>
      </c>
      <c r="B16" s="1" t="s">
        <v>46</v>
      </c>
      <c r="C16" s="4" t="s">
        <v>45</v>
      </c>
      <c r="D16" s="2">
        <v>569</v>
      </c>
      <c r="E16" s="8"/>
      <c r="F16" s="8"/>
      <c r="G16" s="8"/>
      <c r="H16" s="1"/>
      <c r="I16" s="1"/>
      <c r="J16" s="1"/>
      <c r="K16" s="1"/>
      <c r="L16" s="1"/>
      <c r="M16" s="1"/>
      <c r="N16" s="1"/>
      <c r="O16" s="13"/>
    </row>
    <row r="17" spans="1:15" x14ac:dyDescent="0.35">
      <c r="A17" s="3" t="s">
        <v>44</v>
      </c>
      <c r="B17" s="1" t="s">
        <v>43</v>
      </c>
      <c r="C17" s="4" t="s">
        <v>42</v>
      </c>
      <c r="D17" s="2">
        <v>570</v>
      </c>
      <c r="E17" s="8">
        <v>500</v>
      </c>
      <c r="F17" s="8">
        <v>525</v>
      </c>
      <c r="G17" s="8">
        <v>600</v>
      </c>
      <c r="H17" s="1">
        <v>1000</v>
      </c>
      <c r="I17" s="1">
        <v>1000</v>
      </c>
      <c r="J17" s="1">
        <v>1000</v>
      </c>
      <c r="K17" s="1">
        <v>2000</v>
      </c>
      <c r="L17" s="1">
        <v>1000</v>
      </c>
      <c r="M17" s="1">
        <v>1000</v>
      </c>
      <c r="N17" s="10">
        <f>SUM(E17:M17)</f>
        <v>8625</v>
      </c>
      <c r="O17" s="13">
        <v>100</v>
      </c>
    </row>
    <row r="18" spans="1:15" x14ac:dyDescent="0.35">
      <c r="A18" s="3" t="s">
        <v>41</v>
      </c>
      <c r="B18" s="1" t="s">
        <v>40</v>
      </c>
      <c r="C18" s="4" t="s">
        <v>39</v>
      </c>
      <c r="D18" s="2">
        <v>571</v>
      </c>
      <c r="E18" s="8">
        <v>1000</v>
      </c>
      <c r="F18" s="8">
        <v>2500</v>
      </c>
      <c r="G18" s="8">
        <v>3000</v>
      </c>
      <c r="H18" s="1">
        <v>3500</v>
      </c>
      <c r="I18" s="1">
        <v>5000</v>
      </c>
      <c r="J18" s="1">
        <v>7500</v>
      </c>
      <c r="K18" s="1">
        <v>7500</v>
      </c>
      <c r="L18" s="1">
        <v>5000</v>
      </c>
      <c r="M18" s="1">
        <v>5000</v>
      </c>
      <c r="N18" s="10">
        <f>SUM(E18:M18)</f>
        <v>40000</v>
      </c>
      <c r="O18" s="13">
        <v>200</v>
      </c>
    </row>
    <row r="19" spans="1:15" x14ac:dyDescent="0.35">
      <c r="A19" s="3" t="s">
        <v>38</v>
      </c>
      <c r="B19" s="1" t="s">
        <v>37</v>
      </c>
      <c r="C19" s="4" t="s">
        <v>36</v>
      </c>
      <c r="D19" s="2">
        <v>579</v>
      </c>
      <c r="E19" s="8"/>
      <c r="F19" s="8"/>
      <c r="G19" s="8"/>
      <c r="H19" s="1"/>
      <c r="I19" s="1"/>
      <c r="J19" s="1"/>
      <c r="K19" s="1"/>
      <c r="L19" s="1"/>
      <c r="M19" s="1"/>
      <c r="N19" s="1"/>
      <c r="O19" s="13"/>
    </row>
    <row r="20" spans="1:15" x14ac:dyDescent="0.35">
      <c r="A20" s="3" t="s">
        <v>35</v>
      </c>
      <c r="B20" s="1" t="s">
        <v>34</v>
      </c>
      <c r="C20" s="15">
        <v>8415016616920</v>
      </c>
      <c r="D20" s="2">
        <v>108</v>
      </c>
      <c r="E20" s="8"/>
      <c r="F20" s="8"/>
      <c r="G20" s="8"/>
      <c r="H20" s="1"/>
      <c r="I20" s="1"/>
      <c r="J20" s="1"/>
      <c r="K20" s="1"/>
      <c r="L20" s="1"/>
      <c r="M20" s="1"/>
      <c r="N20" s="1"/>
      <c r="O20" s="13"/>
    </row>
    <row r="21" spans="1:15" x14ac:dyDescent="0.35">
      <c r="A21" s="3" t="s">
        <v>33</v>
      </c>
      <c r="B21" s="1" t="s">
        <v>32</v>
      </c>
      <c r="C21" s="15">
        <v>8405016955470</v>
      </c>
      <c r="D21" s="2">
        <v>415</v>
      </c>
      <c r="E21" s="2"/>
      <c r="F21" s="1"/>
      <c r="G21" s="1"/>
      <c r="H21" s="1"/>
      <c r="I21" s="1"/>
      <c r="J21" s="1"/>
      <c r="K21" s="1"/>
      <c r="L21" s="1"/>
      <c r="M21" s="1"/>
      <c r="N21" s="1"/>
      <c r="O21" s="13"/>
    </row>
    <row r="22" spans="1:15" x14ac:dyDescent="0.35">
      <c r="A22" s="3" t="s">
        <v>31</v>
      </c>
      <c r="B22" s="1" t="s">
        <v>30</v>
      </c>
      <c r="C22" s="15">
        <v>8410016955513</v>
      </c>
      <c r="D22" s="2">
        <v>417</v>
      </c>
      <c r="E22" s="2"/>
      <c r="F22" s="1"/>
      <c r="G22" s="1"/>
      <c r="H22" s="1"/>
      <c r="I22" s="1"/>
      <c r="J22" s="1"/>
      <c r="K22" s="1"/>
      <c r="L22" s="1"/>
      <c r="M22" s="1"/>
      <c r="N22" s="1"/>
      <c r="O22" s="13"/>
    </row>
    <row r="23" spans="1:15" x14ac:dyDescent="0.35">
      <c r="A23" s="3" t="s">
        <v>29</v>
      </c>
      <c r="B23" s="1" t="s">
        <v>28</v>
      </c>
      <c r="C23" s="15">
        <v>8405016965485</v>
      </c>
      <c r="D23" s="2">
        <v>431</v>
      </c>
      <c r="E23" s="2"/>
      <c r="F23" s="1"/>
      <c r="G23" s="1"/>
      <c r="H23" s="1"/>
      <c r="I23" s="1"/>
      <c r="J23" s="1"/>
      <c r="K23" s="1"/>
      <c r="L23" s="1"/>
      <c r="M23" s="1"/>
      <c r="N23" s="1"/>
      <c r="O23" s="13"/>
    </row>
    <row r="24" spans="1:15" x14ac:dyDescent="0.35">
      <c r="A24" s="3" t="s">
        <v>27</v>
      </c>
      <c r="B24" s="1" t="s">
        <v>19</v>
      </c>
      <c r="C24" s="15">
        <v>8410017017177</v>
      </c>
      <c r="D24" s="2">
        <v>568</v>
      </c>
      <c r="E24" s="2"/>
      <c r="F24" s="1"/>
      <c r="G24" s="1"/>
      <c r="H24" s="1"/>
      <c r="I24" s="1"/>
      <c r="J24" s="1"/>
      <c r="K24" s="1"/>
      <c r="L24" s="1"/>
      <c r="M24" s="1"/>
      <c r="N24" s="1"/>
      <c r="O24" s="13"/>
    </row>
    <row r="25" spans="1:15" x14ac:dyDescent="0.35">
      <c r="A25" s="3" t="s">
        <v>26</v>
      </c>
      <c r="B25" s="1" t="s">
        <v>17</v>
      </c>
      <c r="C25" s="15">
        <v>8405017017162</v>
      </c>
      <c r="D25" s="2">
        <v>576</v>
      </c>
      <c r="E25" s="2"/>
      <c r="F25" s="1"/>
      <c r="G25" s="1"/>
      <c r="H25" s="1"/>
      <c r="I25" s="1"/>
      <c r="J25" s="1"/>
      <c r="K25" s="1"/>
      <c r="L25" s="1"/>
      <c r="M25" s="1"/>
      <c r="N25" s="1"/>
      <c r="O25" s="13"/>
    </row>
    <row r="26" spans="1:15" x14ac:dyDescent="0.35">
      <c r="A26" s="3" t="s">
        <v>25</v>
      </c>
      <c r="B26" s="1" t="s">
        <v>15</v>
      </c>
      <c r="C26" s="15">
        <v>8415014368888</v>
      </c>
      <c r="D26" s="2">
        <v>2308</v>
      </c>
      <c r="E26" s="2"/>
      <c r="F26" s="1"/>
      <c r="G26" s="1"/>
      <c r="H26" s="1"/>
      <c r="I26" s="1"/>
      <c r="J26" s="1"/>
      <c r="K26" s="1"/>
      <c r="L26" s="1"/>
      <c r="M26" s="1"/>
      <c r="N26" s="1"/>
      <c r="O26" s="13"/>
    </row>
    <row r="27" spans="1:15" x14ac:dyDescent="0.35">
      <c r="A27" s="3" t="s">
        <v>24</v>
      </c>
      <c r="B27" s="1" t="s">
        <v>13</v>
      </c>
      <c r="C27" s="15">
        <v>8415014368796</v>
      </c>
      <c r="D27" s="2">
        <v>2309</v>
      </c>
      <c r="E27" s="2"/>
      <c r="F27" s="1"/>
      <c r="G27" s="1"/>
      <c r="H27" s="1"/>
      <c r="I27" s="1"/>
      <c r="J27" s="1"/>
      <c r="K27" s="1"/>
      <c r="L27" s="1"/>
      <c r="M27" s="1"/>
      <c r="N27" s="1"/>
      <c r="O27" s="13"/>
    </row>
    <row r="28" spans="1:15" x14ac:dyDescent="0.35">
      <c r="A28" s="3" t="s">
        <v>23</v>
      </c>
      <c r="B28" s="1" t="s">
        <v>11</v>
      </c>
      <c r="C28" s="15">
        <v>8415015501251</v>
      </c>
      <c r="D28" s="2">
        <v>3410</v>
      </c>
      <c r="E28" s="2"/>
      <c r="F28" s="1"/>
      <c r="G28" s="1"/>
      <c r="H28" s="1"/>
      <c r="I28" s="1"/>
      <c r="J28" s="1"/>
      <c r="K28" s="1"/>
      <c r="L28" s="1"/>
      <c r="M28" s="1"/>
      <c r="N28" s="1"/>
      <c r="O28" s="13"/>
    </row>
    <row r="29" spans="1:15" x14ac:dyDescent="0.35">
      <c r="A29" s="3" t="s">
        <v>22</v>
      </c>
      <c r="B29" s="1" t="s">
        <v>9</v>
      </c>
      <c r="C29" s="15">
        <v>8415015501677</v>
      </c>
      <c r="D29" s="2">
        <v>3411</v>
      </c>
      <c r="E29" s="2"/>
      <c r="F29" s="1"/>
      <c r="G29" s="1"/>
      <c r="H29" s="1"/>
      <c r="I29" s="1"/>
      <c r="J29" s="1"/>
      <c r="K29" s="1"/>
      <c r="L29" s="1"/>
      <c r="M29" s="1"/>
      <c r="N29" s="1"/>
      <c r="O29" s="13"/>
    </row>
    <row r="30" spans="1:15" x14ac:dyDescent="0.35">
      <c r="A30" s="3" t="s">
        <v>21</v>
      </c>
      <c r="B30" s="1" t="s">
        <v>7</v>
      </c>
      <c r="C30" s="15">
        <v>8415016470261</v>
      </c>
      <c r="D30" s="2">
        <v>3711</v>
      </c>
      <c r="E30" s="2"/>
      <c r="F30" s="1"/>
      <c r="G30" s="1"/>
      <c r="H30" s="1"/>
      <c r="I30" s="1"/>
      <c r="J30" s="1"/>
      <c r="K30" s="1"/>
      <c r="L30" s="1"/>
      <c r="M30" s="1"/>
      <c r="N30" s="1"/>
      <c r="O30" s="13"/>
    </row>
    <row r="31" spans="1:15" x14ac:dyDescent="0.35">
      <c r="A31" s="3" t="s">
        <v>20</v>
      </c>
      <c r="B31" s="1" t="s">
        <v>4</v>
      </c>
      <c r="C31" s="1" t="s">
        <v>3</v>
      </c>
      <c r="D31" s="2">
        <v>48</v>
      </c>
      <c r="E31" s="2"/>
      <c r="F31" s="1"/>
      <c r="G31" s="1"/>
      <c r="H31" s="1"/>
      <c r="I31" s="1"/>
      <c r="J31" s="1"/>
      <c r="K31" s="1"/>
      <c r="L31" s="1"/>
      <c r="M31" s="1"/>
      <c r="N31" s="1"/>
      <c r="O31" s="13"/>
    </row>
    <row r="32" spans="1:15" x14ac:dyDescent="0.35">
      <c r="A32" s="3" t="s">
        <v>18</v>
      </c>
      <c r="B32" s="1" t="s">
        <v>1</v>
      </c>
      <c r="C32" s="1" t="s">
        <v>0</v>
      </c>
      <c r="D32" s="2">
        <v>3616</v>
      </c>
      <c r="E32" s="2"/>
      <c r="F32" s="1"/>
      <c r="G32" s="1"/>
      <c r="H32" s="1"/>
      <c r="I32" s="1"/>
      <c r="J32" s="1"/>
      <c r="K32" s="1"/>
      <c r="L32" s="1"/>
      <c r="M32" s="1"/>
      <c r="N32" s="1"/>
      <c r="O32" s="13"/>
    </row>
    <row r="33" spans="1:15" x14ac:dyDescent="0.35">
      <c r="A33" s="3" t="s">
        <v>16</v>
      </c>
      <c r="B33" s="1" t="s">
        <v>105</v>
      </c>
      <c r="C33" s="1" t="s">
        <v>106</v>
      </c>
      <c r="D33" s="2">
        <v>312</v>
      </c>
      <c r="E33" s="2"/>
      <c r="F33" s="1"/>
      <c r="G33" s="1"/>
      <c r="H33" s="1"/>
      <c r="I33" s="1"/>
      <c r="J33" s="1"/>
      <c r="K33" s="1"/>
      <c r="L33" s="1"/>
      <c r="M33" s="1"/>
      <c r="N33" s="1"/>
      <c r="O33" s="13"/>
    </row>
    <row r="34" spans="1:15" x14ac:dyDescent="0.35">
      <c r="A34" s="3" t="s">
        <v>14</v>
      </c>
      <c r="B34" s="1" t="s">
        <v>107</v>
      </c>
      <c r="C34" s="1" t="s">
        <v>108</v>
      </c>
      <c r="D34" s="2">
        <v>36</v>
      </c>
      <c r="E34" s="2"/>
      <c r="F34" s="1"/>
      <c r="G34" s="1"/>
      <c r="H34" s="1"/>
      <c r="I34" s="1"/>
      <c r="J34" s="1"/>
      <c r="K34" s="1"/>
      <c r="L34" s="1"/>
      <c r="M34" s="1"/>
      <c r="N34" s="1"/>
      <c r="O34" s="13"/>
    </row>
    <row r="35" spans="1:15" x14ac:dyDescent="0.35">
      <c r="A35" s="3" t="s">
        <v>12</v>
      </c>
      <c r="B35" s="1" t="s">
        <v>109</v>
      </c>
      <c r="C35" s="1" t="s">
        <v>110</v>
      </c>
      <c r="D35" s="2">
        <v>2768</v>
      </c>
      <c r="E35" s="2"/>
      <c r="F35" s="1"/>
      <c r="G35" s="1"/>
      <c r="H35" s="1"/>
      <c r="I35" s="1"/>
      <c r="J35" s="1"/>
      <c r="K35" s="1"/>
      <c r="L35" s="1"/>
      <c r="M35" s="1"/>
      <c r="N35" s="1"/>
      <c r="O35" s="13"/>
    </row>
    <row r="36" spans="1:15" x14ac:dyDescent="0.35">
      <c r="A36" s="3" t="s">
        <v>10</v>
      </c>
      <c r="B36" s="1" t="s">
        <v>111</v>
      </c>
      <c r="C36" s="1" t="s">
        <v>112</v>
      </c>
      <c r="D36" s="2">
        <v>490</v>
      </c>
      <c r="E36" s="2"/>
      <c r="F36" s="1"/>
      <c r="G36" s="1"/>
      <c r="H36" s="1"/>
      <c r="I36" s="1"/>
      <c r="J36" s="1"/>
      <c r="K36" s="1"/>
      <c r="L36" s="1"/>
      <c r="M36" s="1"/>
      <c r="N36" s="1"/>
      <c r="O36" s="13"/>
    </row>
    <row r="37" spans="1:15" x14ac:dyDescent="0.35">
      <c r="A37" s="3" t="s">
        <v>8</v>
      </c>
      <c r="B37" s="1" t="s">
        <v>113</v>
      </c>
      <c r="C37" s="1" t="s">
        <v>114</v>
      </c>
      <c r="D37" s="2">
        <v>590</v>
      </c>
      <c r="E37" s="2"/>
      <c r="F37" s="1"/>
      <c r="G37" s="1"/>
      <c r="H37" s="1"/>
      <c r="I37" s="1"/>
      <c r="J37" s="1"/>
      <c r="K37" s="1"/>
      <c r="L37" s="1"/>
      <c r="M37" s="1"/>
      <c r="N37" s="1"/>
      <c r="O37" s="13"/>
    </row>
    <row r="38" spans="1:15" x14ac:dyDescent="0.35">
      <c r="A38" s="3" t="s">
        <v>6</v>
      </c>
      <c r="B38" s="1" t="s">
        <v>115</v>
      </c>
      <c r="C38" s="1" t="s">
        <v>116</v>
      </c>
      <c r="D38" s="2">
        <v>3363</v>
      </c>
      <c r="E38" s="2"/>
      <c r="F38" s="1"/>
      <c r="G38" s="1"/>
      <c r="H38" s="1"/>
      <c r="I38" s="1"/>
      <c r="J38" s="1"/>
      <c r="K38" s="1"/>
      <c r="L38" s="1"/>
      <c r="M38" s="1"/>
      <c r="N38" s="1"/>
      <c r="O38" s="13"/>
    </row>
    <row r="39" spans="1:15" x14ac:dyDescent="0.35">
      <c r="A39" s="3" t="s">
        <v>5</v>
      </c>
      <c r="B39" s="1" t="s">
        <v>117</v>
      </c>
      <c r="C39" s="1" t="s">
        <v>118</v>
      </c>
      <c r="D39" s="2">
        <v>2410</v>
      </c>
      <c r="E39" s="2"/>
      <c r="F39" s="1"/>
      <c r="G39" s="1"/>
      <c r="H39" s="1"/>
      <c r="I39" s="1"/>
      <c r="J39" s="1"/>
      <c r="K39" s="1"/>
      <c r="L39" s="1"/>
      <c r="M39" s="1"/>
      <c r="N39" s="1"/>
      <c r="O39" s="13"/>
    </row>
    <row r="40" spans="1:15" x14ac:dyDescent="0.35">
      <c r="A40" s="3" t="s">
        <v>2</v>
      </c>
      <c r="B40" s="1" t="s">
        <v>119</v>
      </c>
      <c r="C40" s="1" t="s">
        <v>120</v>
      </c>
      <c r="D40" s="2">
        <v>2411</v>
      </c>
      <c r="E40" s="2"/>
      <c r="F40" s="1"/>
      <c r="G40" s="1"/>
      <c r="H40" s="1"/>
      <c r="I40" s="1"/>
      <c r="J40" s="1"/>
      <c r="K40" s="1"/>
      <c r="L40" s="1"/>
      <c r="M40" s="1"/>
      <c r="N40" s="1"/>
      <c r="O40" s="13"/>
    </row>
    <row r="41" spans="1:15" x14ac:dyDescent="0.35">
      <c r="A41" s="3" t="s">
        <v>121</v>
      </c>
      <c r="B41" s="1" t="s">
        <v>122</v>
      </c>
      <c r="C41" s="1" t="s">
        <v>123</v>
      </c>
      <c r="D41" s="2">
        <v>338</v>
      </c>
    </row>
    <row r="42" spans="1:15" x14ac:dyDescent="0.35">
      <c r="A42" s="3" t="s">
        <v>124</v>
      </c>
      <c r="B42" s="1" t="s">
        <v>125</v>
      </c>
      <c r="C42" s="1" t="s">
        <v>126</v>
      </c>
      <c r="D42" s="2">
        <v>3155</v>
      </c>
    </row>
    <row r="43" spans="1:15" x14ac:dyDescent="0.35">
      <c r="A43" s="3" t="s">
        <v>127</v>
      </c>
      <c r="B43" s="1" t="s">
        <v>128</v>
      </c>
      <c r="C43" s="1" t="s">
        <v>129</v>
      </c>
      <c r="D43" s="2">
        <v>1892</v>
      </c>
    </row>
    <row r="44" spans="1:15" x14ac:dyDescent="0.35">
      <c r="A44" s="3" t="s">
        <v>130</v>
      </c>
      <c r="B44" s="1" t="s">
        <v>131</v>
      </c>
      <c r="C44" s="1" t="s">
        <v>132</v>
      </c>
      <c r="D44" s="2">
        <v>34</v>
      </c>
    </row>
    <row r="45" spans="1:15" x14ac:dyDescent="0.35">
      <c r="A45" s="3" t="s">
        <v>133</v>
      </c>
      <c r="B45" s="1" t="s">
        <v>134</v>
      </c>
      <c r="C45" s="1" t="s">
        <v>135</v>
      </c>
      <c r="D45" s="2">
        <v>4011</v>
      </c>
    </row>
    <row r="46" spans="1:15" x14ac:dyDescent="0.35">
      <c r="A46" s="3" t="s">
        <v>136</v>
      </c>
      <c r="B46" s="1" t="s">
        <v>137</v>
      </c>
      <c r="C46" s="1" t="s">
        <v>138</v>
      </c>
      <c r="D46" s="2">
        <v>527</v>
      </c>
    </row>
    <row r="47" spans="1:15" x14ac:dyDescent="0.35">
      <c r="A47" s="3" t="s">
        <v>139</v>
      </c>
      <c r="B47" s="1" t="s">
        <v>140</v>
      </c>
      <c r="C47" s="1" t="s">
        <v>141</v>
      </c>
      <c r="D47" s="2">
        <v>551</v>
      </c>
    </row>
    <row r="48" spans="1:15" x14ac:dyDescent="0.35">
      <c r="A48" s="3" t="s">
        <v>142</v>
      </c>
      <c r="B48" s="1" t="s">
        <v>143</v>
      </c>
      <c r="C48" s="1" t="s">
        <v>144</v>
      </c>
      <c r="D48" s="2">
        <v>592</v>
      </c>
    </row>
    <row r="49" spans="1:4" x14ac:dyDescent="0.35">
      <c r="A49" s="3" t="s">
        <v>145</v>
      </c>
      <c r="B49" s="1" t="s">
        <v>146</v>
      </c>
      <c r="C49" s="1" t="s">
        <v>147</v>
      </c>
      <c r="D49" s="2">
        <v>593</v>
      </c>
    </row>
    <row r="50" spans="1:4" x14ac:dyDescent="0.35">
      <c r="A50" s="3" t="s">
        <v>148</v>
      </c>
      <c r="B50" s="1" t="s">
        <v>149</v>
      </c>
      <c r="C50" s="1" t="s">
        <v>150</v>
      </c>
      <c r="D50" s="2">
        <v>687</v>
      </c>
    </row>
    <row r="51" spans="1:4" x14ac:dyDescent="0.35">
      <c r="A51" s="3" t="s">
        <v>151</v>
      </c>
      <c r="B51" s="1" t="s">
        <v>152</v>
      </c>
      <c r="C51" s="1" t="s">
        <v>153</v>
      </c>
      <c r="D51" s="2">
        <v>689</v>
      </c>
    </row>
    <row r="52" spans="1:4" x14ac:dyDescent="0.35">
      <c r="A52" s="3" t="s">
        <v>154</v>
      </c>
      <c r="B52" s="1" t="s">
        <v>155</v>
      </c>
      <c r="C52" s="1" t="s">
        <v>156</v>
      </c>
      <c r="D52" s="2">
        <v>690</v>
      </c>
    </row>
    <row r="53" spans="1:4" x14ac:dyDescent="0.35">
      <c r="A53" s="3" t="s">
        <v>157</v>
      </c>
      <c r="B53" s="1" t="s">
        <v>158</v>
      </c>
      <c r="C53" s="1" t="s">
        <v>159</v>
      </c>
      <c r="D53" s="2">
        <v>691</v>
      </c>
    </row>
    <row r="54" spans="1:4" x14ac:dyDescent="0.35">
      <c r="A54" s="2"/>
      <c r="B54" s="1"/>
      <c r="C54" s="1"/>
      <c r="D54" s="2"/>
    </row>
    <row r="55" spans="1:4" x14ac:dyDescent="0.35">
      <c r="A55" s="2"/>
      <c r="B55" s="1"/>
      <c r="C55" s="1"/>
      <c r="D55" s="2"/>
    </row>
  </sheetData>
  <mergeCells count="1">
    <mergeCell ref="A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C6B38-04BC-430E-8447-D39D6338B19A}">
  <dimension ref="A1:O55"/>
  <sheetViews>
    <sheetView workbookViewId="0">
      <selection sqref="A1:O1"/>
    </sheetView>
  </sheetViews>
  <sheetFormatPr defaultRowHeight="14.5" x14ac:dyDescent="0.35"/>
  <cols>
    <col min="1" max="1" width="4.81640625" bestFit="1" customWidth="1"/>
    <col min="2" max="2" width="44.54296875" bestFit="1" customWidth="1"/>
    <col min="3" max="3" width="15.81640625" bestFit="1" customWidth="1"/>
    <col min="4" max="4" width="5.81640625" bestFit="1" customWidth="1"/>
    <col min="5" max="5" width="22.54296875" customWidth="1"/>
    <col min="15" max="15" width="11.7265625" style="11" customWidth="1"/>
  </cols>
  <sheetData>
    <row r="1" spans="1:15" ht="80.5" customHeight="1" x14ac:dyDescent="0.35">
      <c r="A1" s="14" t="s">
        <v>160</v>
      </c>
      <c r="B1" s="14"/>
      <c r="C1" s="14"/>
      <c r="D1" s="14"/>
      <c r="E1" s="14"/>
      <c r="F1" s="14"/>
      <c r="G1" s="14"/>
      <c r="H1" s="14"/>
      <c r="I1" s="14"/>
      <c r="J1" s="14"/>
      <c r="K1" s="14"/>
      <c r="L1" s="14"/>
      <c r="M1" s="14"/>
      <c r="N1" s="14"/>
      <c r="O1" s="14"/>
    </row>
    <row r="2" spans="1:15" ht="29" x14ac:dyDescent="0.35">
      <c r="A2" s="6" t="s">
        <v>90</v>
      </c>
      <c r="B2" s="5" t="s">
        <v>89</v>
      </c>
      <c r="C2" s="5" t="s">
        <v>88</v>
      </c>
      <c r="D2" s="6" t="s">
        <v>87</v>
      </c>
      <c r="E2" s="6" t="s">
        <v>104</v>
      </c>
      <c r="F2" s="5" t="s">
        <v>91</v>
      </c>
      <c r="G2" s="5" t="s">
        <v>92</v>
      </c>
      <c r="H2" s="5" t="s">
        <v>93</v>
      </c>
      <c r="I2" s="5" t="s">
        <v>94</v>
      </c>
      <c r="J2" s="5" t="s">
        <v>95</v>
      </c>
      <c r="K2" s="5" t="s">
        <v>96</v>
      </c>
      <c r="L2" s="5" t="s">
        <v>97</v>
      </c>
      <c r="M2" s="5" t="s">
        <v>98</v>
      </c>
      <c r="N2" s="5" t="s">
        <v>99</v>
      </c>
      <c r="O2" s="12" t="s">
        <v>103</v>
      </c>
    </row>
    <row r="3" spans="1:15" x14ac:dyDescent="0.35">
      <c r="A3" s="3" t="s">
        <v>86</v>
      </c>
      <c r="B3" s="1" t="s">
        <v>85</v>
      </c>
      <c r="C3" s="1" t="s">
        <v>84</v>
      </c>
      <c r="D3" s="2">
        <v>3990</v>
      </c>
      <c r="E3" s="8">
        <v>350</v>
      </c>
      <c r="F3" s="8">
        <v>450</v>
      </c>
      <c r="G3" s="8">
        <v>500</v>
      </c>
      <c r="H3" s="1">
        <v>550</v>
      </c>
      <c r="I3" s="1">
        <v>550</v>
      </c>
      <c r="J3" s="1">
        <v>600</v>
      </c>
      <c r="K3" s="1">
        <v>600</v>
      </c>
      <c r="L3" s="1">
        <v>600</v>
      </c>
      <c r="M3" s="1">
        <v>600</v>
      </c>
      <c r="N3" s="10">
        <f>SUM(E3:M3)</f>
        <v>4800</v>
      </c>
      <c r="O3" s="13">
        <v>100</v>
      </c>
    </row>
    <row r="4" spans="1:15" x14ac:dyDescent="0.35">
      <c r="A4" s="3" t="s">
        <v>83</v>
      </c>
      <c r="B4" s="1" t="s">
        <v>82</v>
      </c>
      <c r="C4" s="1" t="s">
        <v>81</v>
      </c>
      <c r="D4" s="2">
        <v>3991</v>
      </c>
      <c r="E4" s="8">
        <v>1000</v>
      </c>
      <c r="F4" s="8">
        <v>1500</v>
      </c>
      <c r="G4" s="8">
        <v>2000</v>
      </c>
      <c r="H4" s="8">
        <v>3000</v>
      </c>
      <c r="I4" s="8">
        <v>3500</v>
      </c>
      <c r="J4" s="8">
        <v>4000</v>
      </c>
      <c r="K4" s="8">
        <v>4000</v>
      </c>
      <c r="L4" s="8">
        <v>4000</v>
      </c>
      <c r="M4" s="8">
        <v>4000</v>
      </c>
      <c r="N4" s="10">
        <f>SUM(E4:M4)</f>
        <v>27000</v>
      </c>
      <c r="O4" s="13">
        <v>200</v>
      </c>
    </row>
    <row r="5" spans="1:15" x14ac:dyDescent="0.35">
      <c r="A5" s="3" t="s">
        <v>80</v>
      </c>
      <c r="B5" s="1" t="s">
        <v>79</v>
      </c>
      <c r="C5" s="1" t="s">
        <v>78</v>
      </c>
      <c r="D5" s="2">
        <v>3988</v>
      </c>
      <c r="E5" s="8"/>
      <c r="F5" s="8"/>
      <c r="G5" s="8"/>
      <c r="H5" s="1"/>
      <c r="I5" s="1"/>
      <c r="J5" s="1"/>
      <c r="K5" s="1"/>
      <c r="L5" s="1"/>
      <c r="M5" s="1"/>
      <c r="N5" s="1"/>
      <c r="O5" s="13"/>
    </row>
    <row r="6" spans="1:15" x14ac:dyDescent="0.35">
      <c r="A6" s="3" t="s">
        <v>77</v>
      </c>
      <c r="B6" s="1" t="s">
        <v>76</v>
      </c>
      <c r="C6" s="1" t="s">
        <v>75</v>
      </c>
      <c r="D6" s="2">
        <v>3989</v>
      </c>
      <c r="E6" s="8"/>
      <c r="F6" s="8"/>
      <c r="G6" s="8"/>
      <c r="H6" s="1"/>
      <c r="I6" s="1"/>
      <c r="J6" s="1"/>
      <c r="K6" s="1"/>
      <c r="L6" s="1"/>
      <c r="M6" s="1"/>
      <c r="N6" s="1"/>
      <c r="O6" s="13"/>
    </row>
    <row r="7" spans="1:15" x14ac:dyDescent="0.35">
      <c r="A7" s="3" t="s">
        <v>74</v>
      </c>
      <c r="B7" s="1" t="s">
        <v>73</v>
      </c>
      <c r="C7" s="1" t="s">
        <v>72</v>
      </c>
      <c r="D7" s="2">
        <v>3982</v>
      </c>
      <c r="E7" s="8"/>
      <c r="F7" s="8"/>
      <c r="G7" s="8"/>
      <c r="H7" s="1"/>
      <c r="I7" s="1"/>
      <c r="J7" s="1"/>
      <c r="K7" s="1"/>
      <c r="L7" s="1"/>
      <c r="M7" s="1"/>
      <c r="N7" s="1"/>
      <c r="O7" s="13"/>
    </row>
    <row r="8" spans="1:15" x14ac:dyDescent="0.35">
      <c r="A8" s="3" t="s">
        <v>71</v>
      </c>
      <c r="B8" s="1" t="s">
        <v>70</v>
      </c>
      <c r="C8" s="1" t="s">
        <v>69</v>
      </c>
      <c r="D8" s="2">
        <v>3983</v>
      </c>
      <c r="E8" s="8"/>
      <c r="F8" s="8"/>
      <c r="G8" s="8"/>
      <c r="H8" s="1"/>
      <c r="I8" s="1"/>
      <c r="J8" s="1"/>
      <c r="K8" s="1"/>
      <c r="L8" s="1"/>
      <c r="M8" s="1"/>
      <c r="N8" s="1"/>
      <c r="O8" s="13"/>
    </row>
    <row r="9" spans="1:15" x14ac:dyDescent="0.35">
      <c r="A9" s="3" t="s">
        <v>68</v>
      </c>
      <c r="B9" s="1" t="s">
        <v>67</v>
      </c>
      <c r="C9" s="1" t="s">
        <v>66</v>
      </c>
      <c r="D9" s="2">
        <v>3984</v>
      </c>
      <c r="E9" s="8"/>
      <c r="F9" s="8"/>
      <c r="G9" s="8"/>
      <c r="H9" s="1"/>
      <c r="I9" s="1"/>
      <c r="J9" s="1"/>
      <c r="K9" s="1"/>
      <c r="L9" s="1"/>
      <c r="M9" s="1"/>
      <c r="N9" s="1"/>
      <c r="O9" s="13"/>
    </row>
    <row r="10" spans="1:15" x14ac:dyDescent="0.35">
      <c r="A10" s="3" t="s">
        <v>65</v>
      </c>
      <c r="B10" s="1" t="s">
        <v>64</v>
      </c>
      <c r="C10" s="1" t="s">
        <v>63</v>
      </c>
      <c r="D10" s="2">
        <v>3148</v>
      </c>
      <c r="E10" s="8">
        <v>350</v>
      </c>
      <c r="F10" s="8">
        <v>450</v>
      </c>
      <c r="G10" s="8">
        <v>500</v>
      </c>
      <c r="H10" s="1">
        <v>550</v>
      </c>
      <c r="I10" s="1">
        <v>550</v>
      </c>
      <c r="J10" s="1">
        <v>600</v>
      </c>
      <c r="K10" s="1">
        <v>600</v>
      </c>
      <c r="L10" s="1">
        <v>600</v>
      </c>
      <c r="M10" s="1">
        <v>600</v>
      </c>
      <c r="N10" s="10">
        <f>SUM(E10:M10)</f>
        <v>4800</v>
      </c>
      <c r="O10" s="13">
        <v>100</v>
      </c>
    </row>
    <row r="11" spans="1:15" x14ac:dyDescent="0.35">
      <c r="A11" s="3" t="s">
        <v>62</v>
      </c>
      <c r="B11" s="1" t="s">
        <v>61</v>
      </c>
      <c r="C11" s="1" t="s">
        <v>60</v>
      </c>
      <c r="D11" s="2">
        <v>2424</v>
      </c>
      <c r="E11" s="8">
        <v>1000</v>
      </c>
      <c r="F11" s="8">
        <v>1500</v>
      </c>
      <c r="G11" s="8">
        <v>2000</v>
      </c>
      <c r="H11" s="8">
        <v>3000</v>
      </c>
      <c r="I11" s="8">
        <v>3500</v>
      </c>
      <c r="J11" s="8">
        <v>4000</v>
      </c>
      <c r="K11" s="8">
        <v>4000</v>
      </c>
      <c r="L11" s="8">
        <v>4000</v>
      </c>
      <c r="M11" s="8">
        <v>4000</v>
      </c>
      <c r="N11" s="10">
        <f>SUM(E11:M11)</f>
        <v>27000</v>
      </c>
      <c r="O11" s="13">
        <v>200</v>
      </c>
    </row>
    <row r="12" spans="1:15" x14ac:dyDescent="0.35">
      <c r="A12" s="3" t="s">
        <v>59</v>
      </c>
      <c r="B12" s="1" t="s">
        <v>58</v>
      </c>
      <c r="C12" s="4" t="s">
        <v>57</v>
      </c>
      <c r="D12" s="2">
        <v>418</v>
      </c>
      <c r="E12" s="8"/>
      <c r="F12" s="8"/>
      <c r="G12" s="8"/>
      <c r="H12" s="1"/>
      <c r="I12" s="1"/>
      <c r="J12" s="1"/>
      <c r="K12" s="1"/>
      <c r="L12" s="1"/>
      <c r="M12" s="1"/>
      <c r="N12" s="1"/>
      <c r="O12" s="13"/>
    </row>
    <row r="13" spans="1:15" x14ac:dyDescent="0.35">
      <c r="A13" s="3" t="s">
        <v>56</v>
      </c>
      <c r="B13" s="1" t="s">
        <v>55</v>
      </c>
      <c r="C13" s="4" t="s">
        <v>54</v>
      </c>
      <c r="D13" s="2">
        <v>419</v>
      </c>
      <c r="E13" s="8"/>
      <c r="F13" s="8"/>
      <c r="G13" s="8"/>
      <c r="H13" s="1"/>
      <c r="I13" s="1"/>
      <c r="J13" s="1"/>
      <c r="K13" s="1"/>
      <c r="L13" s="1"/>
      <c r="M13" s="1"/>
      <c r="N13" s="1"/>
      <c r="O13" s="13"/>
    </row>
    <row r="14" spans="1:15" x14ac:dyDescent="0.35">
      <c r="A14" s="3" t="s">
        <v>53</v>
      </c>
      <c r="B14" s="1" t="s">
        <v>52</v>
      </c>
      <c r="C14" s="4" t="s">
        <v>51</v>
      </c>
      <c r="D14" s="2">
        <v>420</v>
      </c>
      <c r="E14" s="8"/>
      <c r="F14" s="8"/>
      <c r="G14" s="8"/>
      <c r="H14" s="1"/>
      <c r="I14" s="1"/>
      <c r="J14" s="1"/>
      <c r="K14" s="1"/>
      <c r="L14" s="1"/>
      <c r="M14" s="1"/>
      <c r="N14" s="1"/>
      <c r="O14" s="13"/>
    </row>
    <row r="15" spans="1:15" x14ac:dyDescent="0.35">
      <c r="A15" s="3" t="s">
        <v>50</v>
      </c>
      <c r="B15" s="1" t="s">
        <v>49</v>
      </c>
      <c r="C15" s="4" t="s">
        <v>48</v>
      </c>
      <c r="D15" s="2">
        <v>421</v>
      </c>
      <c r="E15" s="8"/>
      <c r="F15" s="8"/>
      <c r="G15" s="8"/>
      <c r="H15" s="1"/>
      <c r="I15" s="1"/>
      <c r="J15" s="1"/>
      <c r="K15" s="1"/>
      <c r="L15" s="1"/>
      <c r="M15" s="1"/>
      <c r="N15" s="1"/>
      <c r="O15" s="13"/>
    </row>
    <row r="16" spans="1:15" x14ac:dyDescent="0.35">
      <c r="A16" s="3" t="s">
        <v>47</v>
      </c>
      <c r="B16" s="1" t="s">
        <v>46</v>
      </c>
      <c r="C16" s="4" t="s">
        <v>45</v>
      </c>
      <c r="D16" s="2">
        <v>569</v>
      </c>
      <c r="E16" s="8"/>
      <c r="F16" s="8"/>
      <c r="G16" s="8"/>
      <c r="H16" s="1"/>
      <c r="I16" s="1"/>
      <c r="J16" s="1"/>
      <c r="K16" s="1"/>
      <c r="L16" s="1"/>
      <c r="M16" s="1"/>
      <c r="N16" s="1"/>
      <c r="O16" s="13"/>
    </row>
    <row r="17" spans="1:15" x14ac:dyDescent="0.35">
      <c r="A17" s="3" t="s">
        <v>44</v>
      </c>
      <c r="B17" s="1" t="s">
        <v>43</v>
      </c>
      <c r="C17" s="4" t="s">
        <v>42</v>
      </c>
      <c r="D17" s="2">
        <v>570</v>
      </c>
      <c r="E17" s="8">
        <v>350</v>
      </c>
      <c r="F17" s="8">
        <v>450</v>
      </c>
      <c r="G17" s="8">
        <v>500</v>
      </c>
      <c r="H17" s="1">
        <v>550</v>
      </c>
      <c r="I17" s="1">
        <v>550</v>
      </c>
      <c r="J17" s="1">
        <v>600</v>
      </c>
      <c r="K17" s="1">
        <v>600</v>
      </c>
      <c r="L17" s="1">
        <v>600</v>
      </c>
      <c r="M17" s="1">
        <v>600</v>
      </c>
      <c r="N17" s="10">
        <f>SUM(E17:M17)</f>
        <v>4800</v>
      </c>
      <c r="O17" s="13">
        <v>100</v>
      </c>
    </row>
    <row r="18" spans="1:15" x14ac:dyDescent="0.35">
      <c r="A18" s="3" t="s">
        <v>41</v>
      </c>
      <c r="B18" s="1" t="s">
        <v>40</v>
      </c>
      <c r="C18" s="4" t="s">
        <v>39</v>
      </c>
      <c r="D18" s="2">
        <v>571</v>
      </c>
      <c r="E18" s="8">
        <v>1000</v>
      </c>
      <c r="F18" s="8">
        <v>1500</v>
      </c>
      <c r="G18" s="8">
        <v>2000</v>
      </c>
      <c r="H18" s="8">
        <v>3000</v>
      </c>
      <c r="I18" s="8">
        <v>3500</v>
      </c>
      <c r="J18" s="8">
        <v>4000</v>
      </c>
      <c r="K18" s="8">
        <v>4000</v>
      </c>
      <c r="L18" s="8">
        <v>4000</v>
      </c>
      <c r="M18" s="8">
        <v>4000</v>
      </c>
      <c r="N18" s="10">
        <f>SUM(E18:M18)</f>
        <v>27000</v>
      </c>
      <c r="O18" s="13">
        <v>200</v>
      </c>
    </row>
    <row r="19" spans="1:15" x14ac:dyDescent="0.35">
      <c r="A19" s="3" t="s">
        <v>38</v>
      </c>
      <c r="B19" s="1" t="s">
        <v>37</v>
      </c>
      <c r="C19" s="4" t="s">
        <v>36</v>
      </c>
      <c r="D19" s="2">
        <v>579</v>
      </c>
      <c r="E19" s="8"/>
      <c r="F19" s="8"/>
      <c r="G19" s="8"/>
      <c r="H19" s="1"/>
      <c r="I19" s="1"/>
      <c r="J19" s="1"/>
      <c r="K19" s="1"/>
      <c r="L19" s="1"/>
      <c r="M19" s="1"/>
      <c r="N19" s="1"/>
      <c r="O19" s="13"/>
    </row>
    <row r="20" spans="1:15" x14ac:dyDescent="0.35">
      <c r="A20" s="3" t="s">
        <v>35</v>
      </c>
      <c r="B20" s="1" t="s">
        <v>34</v>
      </c>
      <c r="C20" s="15">
        <v>8415016616920</v>
      </c>
      <c r="D20" s="2">
        <v>108</v>
      </c>
      <c r="E20" s="8"/>
      <c r="F20" s="8"/>
      <c r="G20" s="8"/>
      <c r="H20" s="1"/>
      <c r="I20" s="1"/>
      <c r="J20" s="1"/>
      <c r="K20" s="1"/>
      <c r="L20" s="1"/>
      <c r="M20" s="1"/>
      <c r="N20" s="1"/>
      <c r="O20" s="13"/>
    </row>
    <row r="21" spans="1:15" x14ac:dyDescent="0.35">
      <c r="A21" s="3" t="s">
        <v>33</v>
      </c>
      <c r="B21" s="1" t="s">
        <v>32</v>
      </c>
      <c r="C21" s="15">
        <v>8405016955470</v>
      </c>
      <c r="D21" s="2">
        <v>415</v>
      </c>
      <c r="E21" s="2"/>
      <c r="F21" s="1"/>
      <c r="G21" s="1"/>
      <c r="H21" s="1"/>
      <c r="I21" s="1"/>
      <c r="J21" s="1"/>
      <c r="K21" s="1"/>
      <c r="L21" s="1"/>
      <c r="M21" s="1"/>
      <c r="N21" s="1"/>
      <c r="O21" s="13"/>
    </row>
    <row r="22" spans="1:15" x14ac:dyDescent="0.35">
      <c r="A22" s="3" t="s">
        <v>31</v>
      </c>
      <c r="B22" s="1" t="s">
        <v>30</v>
      </c>
      <c r="C22" s="15">
        <v>8410016955513</v>
      </c>
      <c r="D22" s="2">
        <v>417</v>
      </c>
      <c r="E22" s="2"/>
      <c r="F22" s="1"/>
      <c r="G22" s="1"/>
      <c r="H22" s="1"/>
      <c r="I22" s="1"/>
      <c r="J22" s="1"/>
      <c r="K22" s="1"/>
      <c r="L22" s="1"/>
      <c r="M22" s="1"/>
      <c r="N22" s="1"/>
      <c r="O22" s="13"/>
    </row>
    <row r="23" spans="1:15" x14ac:dyDescent="0.35">
      <c r="A23" s="3" t="s">
        <v>29</v>
      </c>
      <c r="B23" s="1" t="s">
        <v>28</v>
      </c>
      <c r="C23" s="15">
        <v>8405016965485</v>
      </c>
      <c r="D23" s="2">
        <v>431</v>
      </c>
      <c r="E23" s="2"/>
      <c r="F23" s="1"/>
      <c r="G23" s="1"/>
      <c r="H23" s="1"/>
      <c r="I23" s="1"/>
      <c r="J23" s="1"/>
      <c r="K23" s="1"/>
      <c r="L23" s="1"/>
      <c r="M23" s="1"/>
      <c r="N23" s="1"/>
      <c r="O23" s="13"/>
    </row>
    <row r="24" spans="1:15" x14ac:dyDescent="0.35">
      <c r="A24" s="3" t="s">
        <v>27</v>
      </c>
      <c r="B24" s="1" t="s">
        <v>19</v>
      </c>
      <c r="C24" s="15">
        <v>8410017017177</v>
      </c>
      <c r="D24" s="2">
        <v>568</v>
      </c>
      <c r="E24" s="2"/>
      <c r="F24" s="1"/>
      <c r="G24" s="1"/>
      <c r="H24" s="1"/>
      <c r="I24" s="1"/>
      <c r="J24" s="1"/>
      <c r="K24" s="1"/>
      <c r="L24" s="1"/>
      <c r="M24" s="1"/>
      <c r="N24" s="1"/>
      <c r="O24" s="13"/>
    </row>
    <row r="25" spans="1:15" x14ac:dyDescent="0.35">
      <c r="A25" s="3" t="s">
        <v>26</v>
      </c>
      <c r="B25" s="1" t="s">
        <v>17</v>
      </c>
      <c r="C25" s="15">
        <v>8405017017162</v>
      </c>
      <c r="D25" s="2">
        <v>576</v>
      </c>
      <c r="E25" s="2"/>
      <c r="F25" s="1"/>
      <c r="G25" s="1"/>
      <c r="H25" s="1"/>
      <c r="I25" s="1"/>
      <c r="J25" s="1"/>
      <c r="K25" s="1"/>
      <c r="L25" s="1"/>
      <c r="M25" s="1"/>
      <c r="N25" s="1"/>
      <c r="O25" s="13"/>
    </row>
    <row r="26" spans="1:15" x14ac:dyDescent="0.35">
      <c r="A26" s="3" t="s">
        <v>25</v>
      </c>
      <c r="B26" s="1" t="s">
        <v>15</v>
      </c>
      <c r="C26" s="15">
        <v>8415014368888</v>
      </c>
      <c r="D26" s="2">
        <v>2308</v>
      </c>
      <c r="E26" s="2"/>
      <c r="F26" s="1"/>
      <c r="G26" s="1"/>
      <c r="H26" s="1"/>
      <c r="I26" s="1"/>
      <c r="J26" s="1"/>
      <c r="K26" s="1"/>
      <c r="L26" s="1"/>
      <c r="M26" s="1"/>
      <c r="N26" s="1"/>
      <c r="O26" s="13"/>
    </row>
    <row r="27" spans="1:15" x14ac:dyDescent="0.35">
      <c r="A27" s="3" t="s">
        <v>24</v>
      </c>
      <c r="B27" s="1" t="s">
        <v>13</v>
      </c>
      <c r="C27" s="15">
        <v>8415014368796</v>
      </c>
      <c r="D27" s="2">
        <v>2309</v>
      </c>
      <c r="E27" s="2"/>
      <c r="F27" s="1"/>
      <c r="G27" s="1"/>
      <c r="H27" s="1"/>
      <c r="I27" s="1"/>
      <c r="J27" s="1"/>
      <c r="K27" s="1"/>
      <c r="L27" s="1"/>
      <c r="M27" s="1"/>
      <c r="N27" s="1"/>
      <c r="O27" s="13"/>
    </row>
    <row r="28" spans="1:15" x14ac:dyDescent="0.35">
      <c r="A28" s="3" t="s">
        <v>23</v>
      </c>
      <c r="B28" s="1" t="s">
        <v>11</v>
      </c>
      <c r="C28" s="15">
        <v>8415015501251</v>
      </c>
      <c r="D28" s="2">
        <v>3410</v>
      </c>
      <c r="E28" s="2"/>
      <c r="F28" s="1"/>
      <c r="G28" s="1"/>
      <c r="H28" s="1"/>
      <c r="I28" s="1"/>
      <c r="J28" s="1"/>
      <c r="K28" s="1"/>
      <c r="L28" s="1"/>
      <c r="M28" s="1"/>
      <c r="N28" s="1"/>
      <c r="O28" s="13"/>
    </row>
    <row r="29" spans="1:15" x14ac:dyDescent="0.35">
      <c r="A29" s="3" t="s">
        <v>22</v>
      </c>
      <c r="B29" s="1" t="s">
        <v>9</v>
      </c>
      <c r="C29" s="15">
        <v>8415015501677</v>
      </c>
      <c r="D29" s="2">
        <v>3411</v>
      </c>
      <c r="E29" s="2"/>
      <c r="F29" s="1"/>
      <c r="G29" s="1"/>
      <c r="H29" s="1"/>
      <c r="I29" s="1"/>
      <c r="J29" s="1"/>
      <c r="K29" s="1"/>
      <c r="L29" s="1"/>
      <c r="M29" s="1"/>
      <c r="N29" s="1"/>
      <c r="O29" s="13"/>
    </row>
    <row r="30" spans="1:15" x14ac:dyDescent="0.35">
      <c r="A30" s="3" t="s">
        <v>21</v>
      </c>
      <c r="B30" s="1" t="s">
        <v>7</v>
      </c>
      <c r="C30" s="15">
        <v>8415016470261</v>
      </c>
      <c r="D30" s="2">
        <v>3711</v>
      </c>
      <c r="E30" s="2"/>
      <c r="F30" s="1"/>
      <c r="G30" s="1"/>
      <c r="H30" s="1"/>
      <c r="I30" s="1"/>
      <c r="J30" s="1"/>
      <c r="K30" s="1"/>
      <c r="L30" s="1"/>
      <c r="M30" s="1"/>
      <c r="N30" s="1"/>
      <c r="O30" s="13"/>
    </row>
    <row r="31" spans="1:15" x14ac:dyDescent="0.35">
      <c r="A31" s="3" t="s">
        <v>20</v>
      </c>
      <c r="B31" s="1" t="s">
        <v>4</v>
      </c>
      <c r="C31" s="1" t="s">
        <v>3</v>
      </c>
      <c r="D31" s="2">
        <v>48</v>
      </c>
      <c r="E31" s="2"/>
      <c r="F31" s="1"/>
      <c r="G31" s="1"/>
      <c r="H31" s="1"/>
      <c r="I31" s="1"/>
      <c r="J31" s="1"/>
      <c r="K31" s="1"/>
      <c r="L31" s="1"/>
      <c r="M31" s="1"/>
      <c r="N31" s="1"/>
      <c r="O31" s="13"/>
    </row>
    <row r="32" spans="1:15" x14ac:dyDescent="0.35">
      <c r="A32" s="3" t="s">
        <v>18</v>
      </c>
      <c r="B32" s="1" t="s">
        <v>1</v>
      </c>
      <c r="C32" s="1" t="s">
        <v>0</v>
      </c>
      <c r="D32" s="2">
        <v>3616</v>
      </c>
      <c r="E32" s="2"/>
      <c r="F32" s="1"/>
      <c r="G32" s="1"/>
      <c r="H32" s="1"/>
      <c r="I32" s="1"/>
      <c r="J32" s="1"/>
      <c r="K32" s="1"/>
      <c r="L32" s="1"/>
      <c r="M32" s="1"/>
      <c r="N32" s="1"/>
      <c r="O32" s="13"/>
    </row>
    <row r="33" spans="1:15" x14ac:dyDescent="0.35">
      <c r="A33" s="3" t="s">
        <v>16</v>
      </c>
      <c r="B33" s="1" t="s">
        <v>105</v>
      </c>
      <c r="C33" s="1" t="s">
        <v>106</v>
      </c>
      <c r="D33" s="2">
        <v>312</v>
      </c>
      <c r="E33" s="2"/>
      <c r="F33" s="1"/>
      <c r="G33" s="1"/>
      <c r="H33" s="1"/>
      <c r="I33" s="1"/>
      <c r="J33" s="1"/>
      <c r="K33" s="1"/>
      <c r="L33" s="1"/>
      <c r="M33" s="1"/>
      <c r="N33" s="1"/>
      <c r="O33" s="13"/>
    </row>
    <row r="34" spans="1:15" x14ac:dyDescent="0.35">
      <c r="A34" s="3" t="s">
        <v>14</v>
      </c>
      <c r="B34" s="1" t="s">
        <v>107</v>
      </c>
      <c r="C34" s="1" t="s">
        <v>108</v>
      </c>
      <c r="D34" s="2">
        <v>36</v>
      </c>
      <c r="E34" s="2"/>
      <c r="F34" s="1"/>
      <c r="G34" s="1"/>
      <c r="H34" s="1"/>
      <c r="I34" s="1"/>
      <c r="J34" s="1"/>
      <c r="K34" s="1"/>
      <c r="L34" s="1"/>
      <c r="M34" s="1"/>
      <c r="N34" s="1"/>
      <c r="O34" s="13"/>
    </row>
    <row r="35" spans="1:15" x14ac:dyDescent="0.35">
      <c r="A35" s="3" t="s">
        <v>12</v>
      </c>
      <c r="B35" s="1" t="s">
        <v>109</v>
      </c>
      <c r="C35" s="1" t="s">
        <v>110</v>
      </c>
      <c r="D35" s="2">
        <v>2768</v>
      </c>
      <c r="E35" s="2"/>
      <c r="F35" s="1"/>
      <c r="G35" s="1"/>
      <c r="H35" s="1"/>
      <c r="I35" s="1"/>
      <c r="J35" s="1"/>
      <c r="K35" s="1"/>
      <c r="L35" s="1"/>
      <c r="M35" s="1"/>
      <c r="N35" s="1"/>
      <c r="O35" s="13"/>
    </row>
    <row r="36" spans="1:15" x14ac:dyDescent="0.35">
      <c r="A36" s="3" t="s">
        <v>10</v>
      </c>
      <c r="B36" s="1" t="s">
        <v>111</v>
      </c>
      <c r="C36" s="1" t="s">
        <v>112</v>
      </c>
      <c r="D36" s="2">
        <v>490</v>
      </c>
      <c r="E36" s="2"/>
      <c r="F36" s="1"/>
      <c r="G36" s="1"/>
      <c r="H36" s="1"/>
      <c r="I36" s="1"/>
      <c r="J36" s="1"/>
      <c r="K36" s="1"/>
      <c r="L36" s="1"/>
      <c r="M36" s="1"/>
      <c r="N36" s="1"/>
      <c r="O36" s="13"/>
    </row>
    <row r="37" spans="1:15" x14ac:dyDescent="0.35">
      <c r="A37" s="3" t="s">
        <v>8</v>
      </c>
      <c r="B37" s="1" t="s">
        <v>113</v>
      </c>
      <c r="C37" s="1" t="s">
        <v>114</v>
      </c>
      <c r="D37" s="2">
        <v>590</v>
      </c>
      <c r="E37" s="2"/>
      <c r="F37" s="1"/>
      <c r="G37" s="1"/>
      <c r="H37" s="1"/>
      <c r="I37" s="1"/>
      <c r="J37" s="1"/>
      <c r="K37" s="1"/>
      <c r="L37" s="1"/>
      <c r="M37" s="1"/>
      <c r="N37" s="1"/>
      <c r="O37" s="13"/>
    </row>
    <row r="38" spans="1:15" x14ac:dyDescent="0.35">
      <c r="A38" s="3" t="s">
        <v>6</v>
      </c>
      <c r="B38" s="1" t="s">
        <v>115</v>
      </c>
      <c r="C38" s="1" t="s">
        <v>116</v>
      </c>
      <c r="D38" s="2">
        <v>3363</v>
      </c>
      <c r="E38" s="2"/>
      <c r="F38" s="1"/>
      <c r="G38" s="1"/>
      <c r="H38" s="1"/>
      <c r="I38" s="1"/>
      <c r="J38" s="1"/>
      <c r="K38" s="1"/>
      <c r="L38" s="1"/>
      <c r="M38" s="1"/>
      <c r="N38" s="1"/>
      <c r="O38" s="13"/>
    </row>
    <row r="39" spans="1:15" x14ac:dyDescent="0.35">
      <c r="A39" s="3" t="s">
        <v>5</v>
      </c>
      <c r="B39" s="1" t="s">
        <v>117</v>
      </c>
      <c r="C39" s="1" t="s">
        <v>118</v>
      </c>
      <c r="D39" s="2">
        <v>2410</v>
      </c>
      <c r="E39" s="2"/>
      <c r="F39" s="1"/>
      <c r="G39" s="1"/>
      <c r="H39" s="1"/>
      <c r="I39" s="1"/>
      <c r="J39" s="1"/>
      <c r="K39" s="1"/>
      <c r="L39" s="1"/>
      <c r="M39" s="1"/>
      <c r="N39" s="1"/>
      <c r="O39" s="13"/>
    </row>
    <row r="40" spans="1:15" x14ac:dyDescent="0.35">
      <c r="A40" s="3" t="s">
        <v>2</v>
      </c>
      <c r="B40" s="1" t="s">
        <v>119</v>
      </c>
      <c r="C40" s="1" t="s">
        <v>120</v>
      </c>
      <c r="D40" s="2">
        <v>2411</v>
      </c>
      <c r="E40" s="2"/>
      <c r="F40" s="1"/>
      <c r="G40" s="1"/>
      <c r="H40" s="1"/>
      <c r="I40" s="1"/>
      <c r="J40" s="1"/>
      <c r="K40" s="1"/>
      <c r="L40" s="1"/>
      <c r="M40" s="1"/>
      <c r="N40" s="1"/>
      <c r="O40" s="13"/>
    </row>
    <row r="41" spans="1:15" x14ac:dyDescent="0.35">
      <c r="A41" s="3" t="s">
        <v>121</v>
      </c>
      <c r="B41" s="1" t="s">
        <v>122</v>
      </c>
      <c r="C41" s="1" t="s">
        <v>123</v>
      </c>
      <c r="D41" s="2">
        <v>338</v>
      </c>
    </row>
    <row r="42" spans="1:15" x14ac:dyDescent="0.35">
      <c r="A42" s="3" t="s">
        <v>124</v>
      </c>
      <c r="B42" s="1" t="s">
        <v>125</v>
      </c>
      <c r="C42" s="1" t="s">
        <v>126</v>
      </c>
      <c r="D42" s="2">
        <v>3155</v>
      </c>
    </row>
    <row r="43" spans="1:15" x14ac:dyDescent="0.35">
      <c r="A43" s="3" t="s">
        <v>127</v>
      </c>
      <c r="B43" s="1" t="s">
        <v>128</v>
      </c>
      <c r="C43" s="1" t="s">
        <v>129</v>
      </c>
      <c r="D43" s="2">
        <v>1892</v>
      </c>
    </row>
    <row r="44" spans="1:15" x14ac:dyDescent="0.35">
      <c r="A44" s="3" t="s">
        <v>130</v>
      </c>
      <c r="B44" s="1" t="s">
        <v>131</v>
      </c>
      <c r="C44" s="1" t="s">
        <v>132</v>
      </c>
      <c r="D44" s="2">
        <v>34</v>
      </c>
    </row>
    <row r="45" spans="1:15" x14ac:dyDescent="0.35">
      <c r="A45" s="3" t="s">
        <v>133</v>
      </c>
      <c r="B45" s="1" t="s">
        <v>134</v>
      </c>
      <c r="C45" s="1" t="s">
        <v>135</v>
      </c>
      <c r="D45" s="2">
        <v>4011</v>
      </c>
    </row>
    <row r="46" spans="1:15" x14ac:dyDescent="0.35">
      <c r="A46" s="3" t="s">
        <v>136</v>
      </c>
      <c r="B46" s="1" t="s">
        <v>137</v>
      </c>
      <c r="C46" s="1" t="s">
        <v>138</v>
      </c>
      <c r="D46" s="2">
        <v>527</v>
      </c>
    </row>
    <row r="47" spans="1:15" x14ac:dyDescent="0.35">
      <c r="A47" s="3" t="s">
        <v>139</v>
      </c>
      <c r="B47" s="1" t="s">
        <v>140</v>
      </c>
      <c r="C47" s="1" t="s">
        <v>141</v>
      </c>
      <c r="D47" s="2">
        <v>551</v>
      </c>
    </row>
    <row r="48" spans="1:15" x14ac:dyDescent="0.35">
      <c r="A48" s="3" t="s">
        <v>142</v>
      </c>
      <c r="B48" s="1" t="s">
        <v>143</v>
      </c>
      <c r="C48" s="1" t="s">
        <v>144</v>
      </c>
      <c r="D48" s="2">
        <v>592</v>
      </c>
    </row>
    <row r="49" spans="1:4" x14ac:dyDescent="0.35">
      <c r="A49" s="3" t="s">
        <v>145</v>
      </c>
      <c r="B49" s="1" t="s">
        <v>146</v>
      </c>
      <c r="C49" s="1" t="s">
        <v>147</v>
      </c>
      <c r="D49" s="2">
        <v>593</v>
      </c>
    </row>
    <row r="50" spans="1:4" x14ac:dyDescent="0.35">
      <c r="A50" s="3" t="s">
        <v>148</v>
      </c>
      <c r="B50" s="1" t="s">
        <v>149</v>
      </c>
      <c r="C50" s="1" t="s">
        <v>150</v>
      </c>
      <c r="D50" s="2">
        <v>687</v>
      </c>
    </row>
    <row r="51" spans="1:4" x14ac:dyDescent="0.35">
      <c r="A51" s="3" t="s">
        <v>151</v>
      </c>
      <c r="B51" s="1" t="s">
        <v>152</v>
      </c>
      <c r="C51" s="1" t="s">
        <v>153</v>
      </c>
      <c r="D51" s="2">
        <v>689</v>
      </c>
    </row>
    <row r="52" spans="1:4" x14ac:dyDescent="0.35">
      <c r="A52" s="3" t="s">
        <v>154</v>
      </c>
      <c r="B52" s="1" t="s">
        <v>155</v>
      </c>
      <c r="C52" s="1" t="s">
        <v>156</v>
      </c>
      <c r="D52" s="2">
        <v>690</v>
      </c>
    </row>
    <row r="53" spans="1:4" x14ac:dyDescent="0.35">
      <c r="A53" s="3" t="s">
        <v>157</v>
      </c>
      <c r="B53" s="1" t="s">
        <v>158</v>
      </c>
      <c r="C53" s="1" t="s">
        <v>159</v>
      </c>
      <c r="D53" s="2">
        <v>691</v>
      </c>
    </row>
    <row r="54" spans="1:4" x14ac:dyDescent="0.35">
      <c r="A54" s="2"/>
      <c r="B54" s="1"/>
      <c r="C54" s="1"/>
      <c r="D54" s="2"/>
    </row>
    <row r="55" spans="1:4" x14ac:dyDescent="0.35">
      <c r="A55" s="2"/>
      <c r="B55" s="1"/>
      <c r="C55" s="1"/>
      <c r="D55" s="2"/>
    </row>
  </sheetData>
  <mergeCells count="1">
    <mergeCell ref="A1:O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72495-9FB7-4CCD-B1D0-8B1120B7D4E9}">
  <dimension ref="A1:O55"/>
  <sheetViews>
    <sheetView workbookViewId="0">
      <selection sqref="A1:O1"/>
    </sheetView>
  </sheetViews>
  <sheetFormatPr defaultRowHeight="14.5" x14ac:dyDescent="0.35"/>
  <cols>
    <col min="1" max="1" width="4.81640625" bestFit="1" customWidth="1"/>
    <col min="2" max="2" width="44.54296875" bestFit="1" customWidth="1"/>
    <col min="3" max="3" width="15.81640625" bestFit="1" customWidth="1"/>
    <col min="4" max="4" width="5.81640625" bestFit="1" customWidth="1"/>
    <col min="5" max="5" width="22.54296875" customWidth="1"/>
    <col min="15" max="15" width="11.7265625" style="11" customWidth="1"/>
  </cols>
  <sheetData>
    <row r="1" spans="1:15" ht="80.5" customHeight="1" x14ac:dyDescent="0.35">
      <c r="A1" s="14" t="s">
        <v>160</v>
      </c>
      <c r="B1" s="14"/>
      <c r="C1" s="14"/>
      <c r="D1" s="14"/>
      <c r="E1" s="14"/>
      <c r="F1" s="14"/>
      <c r="G1" s="14"/>
      <c r="H1" s="14"/>
      <c r="I1" s="14"/>
      <c r="J1" s="14"/>
      <c r="K1" s="14"/>
      <c r="L1" s="14"/>
      <c r="M1" s="14"/>
      <c r="N1" s="14"/>
      <c r="O1" s="14"/>
    </row>
    <row r="2" spans="1:15" ht="29" x14ac:dyDescent="0.35">
      <c r="A2" s="6" t="s">
        <v>90</v>
      </c>
      <c r="B2" s="5" t="s">
        <v>89</v>
      </c>
      <c r="C2" s="5" t="s">
        <v>88</v>
      </c>
      <c r="D2" s="6" t="s">
        <v>87</v>
      </c>
      <c r="E2" s="6" t="s">
        <v>104</v>
      </c>
      <c r="F2" s="5" t="s">
        <v>91</v>
      </c>
      <c r="G2" s="5" t="s">
        <v>92</v>
      </c>
      <c r="H2" s="5" t="s">
        <v>93</v>
      </c>
      <c r="I2" s="5" t="s">
        <v>94</v>
      </c>
      <c r="J2" s="5" t="s">
        <v>95</v>
      </c>
      <c r="K2" s="5" t="s">
        <v>96</v>
      </c>
      <c r="L2" s="5" t="s">
        <v>97</v>
      </c>
      <c r="M2" s="5" t="s">
        <v>98</v>
      </c>
      <c r="N2" s="5" t="s">
        <v>99</v>
      </c>
      <c r="O2" s="12" t="s">
        <v>103</v>
      </c>
    </row>
    <row r="3" spans="1:15" x14ac:dyDescent="0.35">
      <c r="A3" s="3" t="s">
        <v>86</v>
      </c>
      <c r="B3" s="1" t="s">
        <v>85</v>
      </c>
      <c r="C3" s="1" t="s">
        <v>84</v>
      </c>
      <c r="D3" s="2">
        <v>3990</v>
      </c>
      <c r="E3" s="1">
        <v>200</v>
      </c>
      <c r="F3" s="1">
        <v>350</v>
      </c>
      <c r="G3" s="1">
        <v>450</v>
      </c>
      <c r="H3" s="1">
        <v>500</v>
      </c>
      <c r="I3" s="1">
        <v>500</v>
      </c>
      <c r="J3" s="1">
        <v>450</v>
      </c>
      <c r="K3" s="1">
        <v>450</v>
      </c>
      <c r="L3" s="1">
        <v>250</v>
      </c>
      <c r="M3" s="1">
        <v>250</v>
      </c>
      <c r="N3" s="10">
        <f>SUM(E3:M3)</f>
        <v>3400</v>
      </c>
      <c r="O3" s="13">
        <v>100</v>
      </c>
    </row>
    <row r="4" spans="1:15" x14ac:dyDescent="0.35">
      <c r="A4" s="3" t="s">
        <v>83</v>
      </c>
      <c r="B4" s="1" t="s">
        <v>82</v>
      </c>
      <c r="C4" s="1" t="s">
        <v>81</v>
      </c>
      <c r="D4" s="2">
        <v>3991</v>
      </c>
      <c r="E4" s="8">
        <v>1000</v>
      </c>
      <c r="F4" s="8">
        <v>1000</v>
      </c>
      <c r="G4" s="8">
        <v>2000</v>
      </c>
      <c r="H4" s="8">
        <v>3000</v>
      </c>
      <c r="I4" s="8">
        <v>3000</v>
      </c>
      <c r="J4" s="8">
        <v>3000</v>
      </c>
      <c r="K4" s="8">
        <v>3000</v>
      </c>
      <c r="L4" s="8">
        <v>3000</v>
      </c>
      <c r="M4" s="8">
        <v>3000</v>
      </c>
      <c r="N4" s="10">
        <f>SUM(E4:M4)</f>
        <v>22000</v>
      </c>
      <c r="O4" s="13">
        <v>200</v>
      </c>
    </row>
    <row r="5" spans="1:15" x14ac:dyDescent="0.35">
      <c r="A5" s="3" t="s">
        <v>80</v>
      </c>
      <c r="B5" s="1" t="s">
        <v>79</v>
      </c>
      <c r="C5" s="1" t="s">
        <v>78</v>
      </c>
      <c r="D5" s="2">
        <v>3988</v>
      </c>
      <c r="E5" s="8"/>
      <c r="F5" s="8"/>
      <c r="G5" s="1"/>
      <c r="H5" s="1"/>
      <c r="I5" s="1"/>
      <c r="J5" s="1"/>
      <c r="K5" s="1"/>
      <c r="L5" s="1"/>
      <c r="M5" s="1"/>
      <c r="N5" s="1"/>
      <c r="O5" s="13"/>
    </row>
    <row r="6" spans="1:15" x14ac:dyDescent="0.35">
      <c r="A6" s="3" t="s">
        <v>77</v>
      </c>
      <c r="B6" s="1" t="s">
        <v>76</v>
      </c>
      <c r="C6" s="1" t="s">
        <v>75</v>
      </c>
      <c r="D6" s="2">
        <v>3989</v>
      </c>
      <c r="E6" s="8"/>
      <c r="F6" s="8"/>
      <c r="G6" s="1"/>
      <c r="H6" s="1"/>
      <c r="I6" s="1"/>
      <c r="J6" s="1"/>
      <c r="K6" s="1"/>
      <c r="L6" s="1"/>
      <c r="M6" s="1"/>
      <c r="N6" s="1"/>
      <c r="O6" s="13"/>
    </row>
    <row r="7" spans="1:15" x14ac:dyDescent="0.35">
      <c r="A7" s="3" t="s">
        <v>74</v>
      </c>
      <c r="B7" s="1" t="s">
        <v>73</v>
      </c>
      <c r="C7" s="1" t="s">
        <v>72</v>
      </c>
      <c r="D7" s="2">
        <v>3982</v>
      </c>
      <c r="E7" s="8"/>
      <c r="F7" s="8"/>
      <c r="G7" s="1"/>
      <c r="H7" s="1"/>
      <c r="I7" s="1"/>
      <c r="J7" s="1"/>
      <c r="K7" s="1"/>
      <c r="L7" s="1"/>
      <c r="M7" s="1"/>
      <c r="N7" s="1"/>
      <c r="O7" s="13"/>
    </row>
    <row r="8" spans="1:15" x14ac:dyDescent="0.35">
      <c r="A8" s="3" t="s">
        <v>71</v>
      </c>
      <c r="B8" s="1" t="s">
        <v>70</v>
      </c>
      <c r="C8" s="1" t="s">
        <v>69</v>
      </c>
      <c r="D8" s="2">
        <v>3983</v>
      </c>
      <c r="E8" s="8"/>
      <c r="F8" s="8"/>
      <c r="G8" s="1"/>
      <c r="H8" s="1"/>
      <c r="I8" s="1"/>
      <c r="J8" s="1"/>
      <c r="K8" s="1"/>
      <c r="L8" s="1"/>
      <c r="M8" s="1"/>
      <c r="N8" s="1"/>
      <c r="O8" s="13"/>
    </row>
    <row r="9" spans="1:15" x14ac:dyDescent="0.35">
      <c r="A9" s="3" t="s">
        <v>68</v>
      </c>
      <c r="B9" s="1" t="s">
        <v>67</v>
      </c>
      <c r="C9" s="1" t="s">
        <v>66</v>
      </c>
      <c r="D9" s="2">
        <v>3984</v>
      </c>
      <c r="E9" s="8"/>
      <c r="F9" s="8"/>
      <c r="G9" s="1"/>
      <c r="H9" s="1"/>
      <c r="I9" s="1"/>
      <c r="J9" s="1"/>
      <c r="K9" s="1"/>
      <c r="L9" s="1"/>
      <c r="M9" s="1"/>
      <c r="N9" s="1"/>
      <c r="O9" s="13"/>
    </row>
    <row r="10" spans="1:15" x14ac:dyDescent="0.35">
      <c r="A10" s="3" t="s">
        <v>65</v>
      </c>
      <c r="B10" s="1" t="s">
        <v>64</v>
      </c>
      <c r="C10" s="1" t="s">
        <v>63</v>
      </c>
      <c r="D10" s="2">
        <v>3148</v>
      </c>
      <c r="E10" s="8">
        <v>350</v>
      </c>
      <c r="F10" s="8">
        <v>500</v>
      </c>
      <c r="G10" s="1">
        <v>550</v>
      </c>
      <c r="H10" s="1">
        <v>550</v>
      </c>
      <c r="I10" s="1">
        <v>600</v>
      </c>
      <c r="J10" s="1">
        <v>600</v>
      </c>
      <c r="K10" s="1">
        <v>600</v>
      </c>
      <c r="L10" s="1">
        <v>600</v>
      </c>
      <c r="M10" s="1">
        <v>600</v>
      </c>
      <c r="N10" s="10">
        <f>SUM(E10:M10)</f>
        <v>4950</v>
      </c>
      <c r="O10" s="13">
        <v>100</v>
      </c>
    </row>
    <row r="11" spans="1:15" x14ac:dyDescent="0.35">
      <c r="A11" s="3" t="s">
        <v>62</v>
      </c>
      <c r="B11" s="1" t="s">
        <v>61</v>
      </c>
      <c r="C11" s="1" t="s">
        <v>60</v>
      </c>
      <c r="D11" s="2">
        <v>2424</v>
      </c>
      <c r="E11" s="8">
        <v>1000</v>
      </c>
      <c r="F11" s="8">
        <v>1000</v>
      </c>
      <c r="G11" s="8">
        <v>2000</v>
      </c>
      <c r="H11" s="8">
        <v>3000</v>
      </c>
      <c r="I11" s="8">
        <v>3000</v>
      </c>
      <c r="J11" s="8">
        <v>3000</v>
      </c>
      <c r="K11" s="8">
        <v>3000</v>
      </c>
      <c r="L11" s="8">
        <v>3000</v>
      </c>
      <c r="M11" s="8">
        <v>3000</v>
      </c>
      <c r="N11" s="10">
        <f>SUM(E11:M11)</f>
        <v>22000</v>
      </c>
      <c r="O11" s="13">
        <v>200</v>
      </c>
    </row>
    <row r="12" spans="1:15" x14ac:dyDescent="0.35">
      <c r="A12" s="3" t="s">
        <v>59</v>
      </c>
      <c r="B12" s="1" t="s">
        <v>58</v>
      </c>
      <c r="C12" s="4" t="s">
        <v>57</v>
      </c>
      <c r="D12" s="2">
        <v>418</v>
      </c>
      <c r="E12" s="8"/>
      <c r="F12" s="8"/>
      <c r="G12" s="1"/>
      <c r="H12" s="1"/>
      <c r="I12" s="1"/>
      <c r="J12" s="1"/>
      <c r="K12" s="1"/>
      <c r="L12" s="1"/>
      <c r="M12" s="1"/>
      <c r="N12" s="1"/>
      <c r="O12" s="13"/>
    </row>
    <row r="13" spans="1:15" x14ac:dyDescent="0.35">
      <c r="A13" s="3" t="s">
        <v>56</v>
      </c>
      <c r="B13" s="1" t="s">
        <v>55</v>
      </c>
      <c r="C13" s="4" t="s">
        <v>54</v>
      </c>
      <c r="D13" s="2">
        <v>419</v>
      </c>
      <c r="E13" s="8"/>
      <c r="F13" s="8"/>
      <c r="G13" s="1"/>
      <c r="H13" s="1"/>
      <c r="I13" s="1"/>
      <c r="J13" s="1"/>
      <c r="K13" s="1"/>
      <c r="L13" s="1"/>
      <c r="M13" s="1"/>
      <c r="N13" s="1"/>
      <c r="O13" s="13"/>
    </row>
    <row r="14" spans="1:15" x14ac:dyDescent="0.35">
      <c r="A14" s="3" t="s">
        <v>53</v>
      </c>
      <c r="B14" s="1" t="s">
        <v>52</v>
      </c>
      <c r="C14" s="4" t="s">
        <v>51</v>
      </c>
      <c r="D14" s="2">
        <v>420</v>
      </c>
      <c r="E14" s="8"/>
      <c r="F14" s="8"/>
      <c r="G14" s="1"/>
      <c r="H14" s="1"/>
      <c r="I14" s="1"/>
      <c r="J14" s="1"/>
      <c r="K14" s="1"/>
      <c r="L14" s="1"/>
      <c r="M14" s="1"/>
      <c r="N14" s="1"/>
      <c r="O14" s="13"/>
    </row>
    <row r="15" spans="1:15" x14ac:dyDescent="0.35">
      <c r="A15" s="3" t="s">
        <v>50</v>
      </c>
      <c r="B15" s="1" t="s">
        <v>49</v>
      </c>
      <c r="C15" s="4" t="s">
        <v>48</v>
      </c>
      <c r="D15" s="2">
        <v>421</v>
      </c>
      <c r="E15" s="8"/>
      <c r="F15" s="8"/>
      <c r="G15" s="1"/>
      <c r="H15" s="1"/>
      <c r="I15" s="1"/>
      <c r="J15" s="1"/>
      <c r="K15" s="1"/>
      <c r="L15" s="1"/>
      <c r="M15" s="1"/>
      <c r="N15" s="1"/>
      <c r="O15" s="13"/>
    </row>
    <row r="16" spans="1:15" x14ac:dyDescent="0.35">
      <c r="A16" s="3" t="s">
        <v>47</v>
      </c>
      <c r="B16" s="1" t="s">
        <v>46</v>
      </c>
      <c r="C16" s="4" t="s">
        <v>45</v>
      </c>
      <c r="D16" s="2">
        <v>569</v>
      </c>
      <c r="E16" s="8"/>
      <c r="F16" s="8"/>
      <c r="G16" s="1"/>
      <c r="H16" s="1"/>
      <c r="I16" s="1"/>
      <c r="J16" s="1"/>
      <c r="K16" s="1"/>
      <c r="L16" s="1"/>
      <c r="M16" s="1"/>
      <c r="N16" s="1"/>
      <c r="O16" s="13"/>
    </row>
    <row r="17" spans="1:15" x14ac:dyDescent="0.35">
      <c r="A17" s="3" t="s">
        <v>44</v>
      </c>
      <c r="B17" s="1" t="s">
        <v>43</v>
      </c>
      <c r="C17" s="4" t="s">
        <v>42</v>
      </c>
      <c r="D17" s="2">
        <v>570</v>
      </c>
      <c r="E17" s="8">
        <v>350</v>
      </c>
      <c r="F17" s="8">
        <v>500</v>
      </c>
      <c r="G17" s="1">
        <v>550</v>
      </c>
      <c r="H17" s="1">
        <v>550</v>
      </c>
      <c r="I17" s="1">
        <v>600</v>
      </c>
      <c r="J17" s="1">
        <v>600</v>
      </c>
      <c r="K17" s="1">
        <v>600</v>
      </c>
      <c r="L17" s="1">
        <v>600</v>
      </c>
      <c r="M17" s="1">
        <v>600</v>
      </c>
      <c r="N17" s="10">
        <f>SUM(E17:M17)</f>
        <v>4950</v>
      </c>
      <c r="O17" s="13">
        <v>100</v>
      </c>
    </row>
    <row r="18" spans="1:15" x14ac:dyDescent="0.35">
      <c r="A18" s="3" t="s">
        <v>41</v>
      </c>
      <c r="B18" s="1" t="s">
        <v>40</v>
      </c>
      <c r="C18" s="4" t="s">
        <v>39</v>
      </c>
      <c r="D18" s="2">
        <v>571</v>
      </c>
      <c r="E18" s="8">
        <v>1000</v>
      </c>
      <c r="F18" s="8">
        <v>1000</v>
      </c>
      <c r="G18" s="8">
        <v>2000</v>
      </c>
      <c r="H18" s="8">
        <v>3000</v>
      </c>
      <c r="I18" s="8">
        <v>3000</v>
      </c>
      <c r="J18" s="8">
        <v>3000</v>
      </c>
      <c r="K18" s="8">
        <v>3000</v>
      </c>
      <c r="L18" s="8">
        <v>3000</v>
      </c>
      <c r="M18" s="8">
        <v>3000</v>
      </c>
      <c r="N18" s="10">
        <f>SUM(E18:M18)</f>
        <v>22000</v>
      </c>
      <c r="O18" s="13">
        <v>200</v>
      </c>
    </row>
    <row r="19" spans="1:15" x14ac:dyDescent="0.35">
      <c r="A19" s="3" t="s">
        <v>38</v>
      </c>
      <c r="B19" s="1" t="s">
        <v>37</v>
      </c>
      <c r="C19" s="4" t="s">
        <v>36</v>
      </c>
      <c r="D19" s="2">
        <v>579</v>
      </c>
      <c r="E19" s="8"/>
      <c r="F19" s="8"/>
      <c r="G19" s="1"/>
      <c r="H19" s="1"/>
      <c r="I19" s="1"/>
      <c r="J19" s="1"/>
      <c r="K19" s="1"/>
      <c r="L19" s="1"/>
      <c r="M19" s="1"/>
      <c r="N19" s="1"/>
      <c r="O19" s="13"/>
    </row>
    <row r="20" spans="1:15" x14ac:dyDescent="0.35">
      <c r="A20" s="3" t="s">
        <v>35</v>
      </c>
      <c r="B20" s="1" t="s">
        <v>34</v>
      </c>
      <c r="C20" s="15">
        <v>8415016616920</v>
      </c>
      <c r="D20" s="2">
        <v>108</v>
      </c>
      <c r="E20" s="8"/>
      <c r="F20" s="8"/>
      <c r="G20" s="1"/>
      <c r="H20" s="1"/>
      <c r="I20" s="1"/>
      <c r="J20" s="1"/>
      <c r="K20" s="1"/>
      <c r="L20" s="1"/>
      <c r="M20" s="1"/>
      <c r="N20" s="1"/>
      <c r="O20" s="13"/>
    </row>
    <row r="21" spans="1:15" x14ac:dyDescent="0.35">
      <c r="A21" s="3" t="s">
        <v>33</v>
      </c>
      <c r="B21" s="1" t="s">
        <v>32</v>
      </c>
      <c r="C21" s="15">
        <v>8405016955470</v>
      </c>
      <c r="D21" s="2">
        <v>415</v>
      </c>
      <c r="E21" s="2"/>
      <c r="F21" s="1"/>
      <c r="G21" s="1"/>
      <c r="H21" s="1"/>
      <c r="I21" s="1"/>
      <c r="J21" s="1"/>
      <c r="K21" s="1"/>
      <c r="L21" s="1"/>
      <c r="M21" s="1"/>
      <c r="N21" s="1"/>
      <c r="O21" s="13"/>
    </row>
    <row r="22" spans="1:15" x14ac:dyDescent="0.35">
      <c r="A22" s="3" t="s">
        <v>31</v>
      </c>
      <c r="B22" s="1" t="s">
        <v>30</v>
      </c>
      <c r="C22" s="15">
        <v>8410016955513</v>
      </c>
      <c r="D22" s="2">
        <v>417</v>
      </c>
      <c r="E22" s="2"/>
      <c r="F22" s="1"/>
      <c r="G22" s="1"/>
      <c r="H22" s="1"/>
      <c r="I22" s="1"/>
      <c r="J22" s="1"/>
      <c r="K22" s="1"/>
      <c r="L22" s="1"/>
      <c r="M22" s="1"/>
      <c r="N22" s="1"/>
      <c r="O22" s="13"/>
    </row>
    <row r="23" spans="1:15" x14ac:dyDescent="0.35">
      <c r="A23" s="3" t="s">
        <v>29</v>
      </c>
      <c r="B23" s="1" t="s">
        <v>28</v>
      </c>
      <c r="C23" s="15">
        <v>8405016965485</v>
      </c>
      <c r="D23" s="2">
        <v>431</v>
      </c>
      <c r="E23" s="2"/>
      <c r="F23" s="1"/>
      <c r="G23" s="1"/>
      <c r="H23" s="1"/>
      <c r="I23" s="1"/>
      <c r="J23" s="1"/>
      <c r="K23" s="1"/>
      <c r="L23" s="1"/>
      <c r="M23" s="1"/>
      <c r="N23" s="1"/>
      <c r="O23" s="13"/>
    </row>
    <row r="24" spans="1:15" x14ac:dyDescent="0.35">
      <c r="A24" s="3" t="s">
        <v>27</v>
      </c>
      <c r="B24" s="1" t="s">
        <v>19</v>
      </c>
      <c r="C24" s="15">
        <v>8410017017177</v>
      </c>
      <c r="D24" s="2">
        <v>568</v>
      </c>
      <c r="E24" s="2"/>
      <c r="F24" s="1"/>
      <c r="G24" s="1"/>
      <c r="H24" s="1"/>
      <c r="I24" s="1"/>
      <c r="J24" s="1"/>
      <c r="K24" s="1"/>
      <c r="L24" s="1"/>
      <c r="M24" s="1"/>
      <c r="N24" s="1"/>
      <c r="O24" s="13"/>
    </row>
    <row r="25" spans="1:15" x14ac:dyDescent="0.35">
      <c r="A25" s="3" t="s">
        <v>26</v>
      </c>
      <c r="B25" s="1" t="s">
        <v>17</v>
      </c>
      <c r="C25" s="15">
        <v>8405017017162</v>
      </c>
      <c r="D25" s="2">
        <v>576</v>
      </c>
      <c r="E25" s="2"/>
      <c r="F25" s="1"/>
      <c r="G25" s="1"/>
      <c r="H25" s="1"/>
      <c r="I25" s="1"/>
      <c r="J25" s="1"/>
      <c r="K25" s="1"/>
      <c r="L25" s="1"/>
      <c r="M25" s="1"/>
      <c r="N25" s="1"/>
      <c r="O25" s="13"/>
    </row>
    <row r="26" spans="1:15" x14ac:dyDescent="0.35">
      <c r="A26" s="3" t="s">
        <v>25</v>
      </c>
      <c r="B26" s="1" t="s">
        <v>15</v>
      </c>
      <c r="C26" s="15">
        <v>8415014368888</v>
      </c>
      <c r="D26" s="2">
        <v>2308</v>
      </c>
      <c r="E26" s="2"/>
      <c r="F26" s="1"/>
      <c r="G26" s="1"/>
      <c r="H26" s="1"/>
      <c r="I26" s="1"/>
      <c r="J26" s="1"/>
      <c r="K26" s="1"/>
      <c r="L26" s="1"/>
      <c r="M26" s="1"/>
      <c r="N26" s="1"/>
      <c r="O26" s="13"/>
    </row>
    <row r="27" spans="1:15" x14ac:dyDescent="0.35">
      <c r="A27" s="3" t="s">
        <v>24</v>
      </c>
      <c r="B27" s="1" t="s">
        <v>13</v>
      </c>
      <c r="C27" s="15">
        <v>8415014368796</v>
      </c>
      <c r="D27" s="2">
        <v>2309</v>
      </c>
      <c r="E27" s="2"/>
      <c r="F27" s="1"/>
      <c r="G27" s="1"/>
      <c r="H27" s="1"/>
      <c r="I27" s="1"/>
      <c r="J27" s="1"/>
      <c r="K27" s="1"/>
      <c r="L27" s="1"/>
      <c r="M27" s="1"/>
      <c r="N27" s="1"/>
      <c r="O27" s="13"/>
    </row>
    <row r="28" spans="1:15" x14ac:dyDescent="0.35">
      <c r="A28" s="3" t="s">
        <v>23</v>
      </c>
      <c r="B28" s="1" t="s">
        <v>11</v>
      </c>
      <c r="C28" s="15">
        <v>8415015501251</v>
      </c>
      <c r="D28" s="2">
        <v>3410</v>
      </c>
      <c r="E28" s="2"/>
      <c r="F28" s="1"/>
      <c r="G28" s="1"/>
      <c r="H28" s="1"/>
      <c r="I28" s="1"/>
      <c r="J28" s="1"/>
      <c r="K28" s="1"/>
      <c r="L28" s="1"/>
      <c r="M28" s="1"/>
      <c r="N28" s="1"/>
      <c r="O28" s="13"/>
    </row>
    <row r="29" spans="1:15" x14ac:dyDescent="0.35">
      <c r="A29" s="3" t="s">
        <v>22</v>
      </c>
      <c r="B29" s="1" t="s">
        <v>9</v>
      </c>
      <c r="C29" s="15">
        <v>8415015501677</v>
      </c>
      <c r="D29" s="2">
        <v>3411</v>
      </c>
      <c r="E29" s="2"/>
      <c r="F29" s="1"/>
      <c r="G29" s="1"/>
      <c r="H29" s="1"/>
      <c r="I29" s="1"/>
      <c r="J29" s="1"/>
      <c r="K29" s="1"/>
      <c r="L29" s="1"/>
      <c r="M29" s="1"/>
      <c r="N29" s="1"/>
      <c r="O29" s="13"/>
    </row>
    <row r="30" spans="1:15" x14ac:dyDescent="0.35">
      <c r="A30" s="3" t="s">
        <v>21</v>
      </c>
      <c r="B30" s="1" t="s">
        <v>7</v>
      </c>
      <c r="C30" s="15">
        <v>8415016470261</v>
      </c>
      <c r="D30" s="2">
        <v>3711</v>
      </c>
      <c r="E30" s="2"/>
      <c r="F30" s="1"/>
      <c r="G30" s="1"/>
      <c r="H30" s="1"/>
      <c r="I30" s="1"/>
      <c r="J30" s="1"/>
      <c r="K30" s="1"/>
      <c r="L30" s="1"/>
      <c r="M30" s="1"/>
      <c r="N30" s="1"/>
      <c r="O30" s="13"/>
    </row>
    <row r="31" spans="1:15" x14ac:dyDescent="0.35">
      <c r="A31" s="3" t="s">
        <v>20</v>
      </c>
      <c r="B31" s="1" t="s">
        <v>4</v>
      </c>
      <c r="C31" s="1" t="s">
        <v>3</v>
      </c>
      <c r="D31" s="2">
        <v>48</v>
      </c>
      <c r="E31" s="2"/>
      <c r="F31" s="1"/>
      <c r="G31" s="1"/>
      <c r="H31" s="1"/>
      <c r="I31" s="1"/>
      <c r="J31" s="1"/>
      <c r="K31" s="1"/>
      <c r="L31" s="1"/>
      <c r="M31" s="1"/>
      <c r="N31" s="1"/>
      <c r="O31" s="13"/>
    </row>
    <row r="32" spans="1:15" x14ac:dyDescent="0.35">
      <c r="A32" s="3" t="s">
        <v>18</v>
      </c>
      <c r="B32" s="1" t="s">
        <v>1</v>
      </c>
      <c r="C32" s="1" t="s">
        <v>0</v>
      </c>
      <c r="D32" s="2">
        <v>3616</v>
      </c>
      <c r="E32" s="2"/>
      <c r="F32" s="1"/>
      <c r="G32" s="1"/>
      <c r="H32" s="1"/>
      <c r="I32" s="1"/>
      <c r="J32" s="1"/>
      <c r="K32" s="1"/>
      <c r="L32" s="1"/>
      <c r="M32" s="1"/>
      <c r="N32" s="1"/>
      <c r="O32" s="13"/>
    </row>
    <row r="33" spans="1:15" x14ac:dyDescent="0.35">
      <c r="A33" s="3" t="s">
        <v>16</v>
      </c>
      <c r="B33" s="1" t="s">
        <v>105</v>
      </c>
      <c r="C33" s="1" t="s">
        <v>106</v>
      </c>
      <c r="D33" s="2">
        <v>312</v>
      </c>
      <c r="E33" s="2"/>
      <c r="F33" s="1"/>
      <c r="G33" s="1"/>
      <c r="H33" s="1"/>
      <c r="I33" s="1"/>
      <c r="J33" s="1"/>
      <c r="K33" s="1"/>
      <c r="L33" s="1"/>
      <c r="M33" s="1"/>
      <c r="N33" s="1"/>
      <c r="O33" s="13"/>
    </row>
    <row r="34" spans="1:15" x14ac:dyDescent="0.35">
      <c r="A34" s="3" t="s">
        <v>14</v>
      </c>
      <c r="B34" s="1" t="s">
        <v>107</v>
      </c>
      <c r="C34" s="1" t="s">
        <v>108</v>
      </c>
      <c r="D34" s="2">
        <v>36</v>
      </c>
      <c r="E34" s="2"/>
      <c r="F34" s="1"/>
      <c r="G34" s="1"/>
      <c r="H34" s="1"/>
      <c r="I34" s="1"/>
      <c r="J34" s="1"/>
      <c r="K34" s="1"/>
      <c r="L34" s="1"/>
      <c r="M34" s="1"/>
      <c r="N34" s="1"/>
      <c r="O34" s="13"/>
    </row>
    <row r="35" spans="1:15" x14ac:dyDescent="0.35">
      <c r="A35" s="3" t="s">
        <v>12</v>
      </c>
      <c r="B35" s="1" t="s">
        <v>109</v>
      </c>
      <c r="C35" s="1" t="s">
        <v>110</v>
      </c>
      <c r="D35" s="2">
        <v>2768</v>
      </c>
      <c r="E35" s="2"/>
      <c r="F35" s="1"/>
      <c r="G35" s="1"/>
      <c r="H35" s="1"/>
      <c r="I35" s="1"/>
      <c r="J35" s="1"/>
      <c r="K35" s="1"/>
      <c r="L35" s="1"/>
      <c r="M35" s="1"/>
      <c r="N35" s="1"/>
      <c r="O35" s="13"/>
    </row>
    <row r="36" spans="1:15" x14ac:dyDescent="0.35">
      <c r="A36" s="3" t="s">
        <v>10</v>
      </c>
      <c r="B36" s="1" t="s">
        <v>111</v>
      </c>
      <c r="C36" s="1" t="s">
        <v>112</v>
      </c>
      <c r="D36" s="2">
        <v>490</v>
      </c>
      <c r="E36" s="2"/>
      <c r="F36" s="1"/>
      <c r="G36" s="1"/>
      <c r="H36" s="1"/>
      <c r="I36" s="1"/>
      <c r="J36" s="1"/>
      <c r="K36" s="1"/>
      <c r="L36" s="1"/>
      <c r="M36" s="1"/>
      <c r="N36" s="1"/>
      <c r="O36" s="13"/>
    </row>
    <row r="37" spans="1:15" x14ac:dyDescent="0.35">
      <c r="A37" s="3" t="s">
        <v>8</v>
      </c>
      <c r="B37" s="1" t="s">
        <v>113</v>
      </c>
      <c r="C37" s="1" t="s">
        <v>114</v>
      </c>
      <c r="D37" s="2">
        <v>590</v>
      </c>
      <c r="E37" s="2"/>
      <c r="F37" s="1"/>
      <c r="G37" s="1"/>
      <c r="H37" s="1"/>
      <c r="I37" s="1"/>
      <c r="J37" s="1"/>
      <c r="K37" s="1"/>
      <c r="L37" s="1"/>
      <c r="M37" s="1"/>
      <c r="N37" s="1"/>
      <c r="O37" s="13"/>
    </row>
    <row r="38" spans="1:15" x14ac:dyDescent="0.35">
      <c r="A38" s="3" t="s">
        <v>6</v>
      </c>
      <c r="B38" s="1" t="s">
        <v>115</v>
      </c>
      <c r="C38" s="1" t="s">
        <v>116</v>
      </c>
      <c r="D38" s="2">
        <v>3363</v>
      </c>
      <c r="E38" s="2"/>
      <c r="F38" s="1"/>
      <c r="G38" s="1"/>
      <c r="H38" s="1"/>
      <c r="I38" s="1"/>
      <c r="J38" s="1"/>
      <c r="K38" s="1"/>
      <c r="L38" s="1"/>
      <c r="M38" s="1"/>
      <c r="N38" s="1"/>
      <c r="O38" s="13"/>
    </row>
    <row r="39" spans="1:15" x14ac:dyDescent="0.35">
      <c r="A39" s="3" t="s">
        <v>5</v>
      </c>
      <c r="B39" s="1" t="s">
        <v>117</v>
      </c>
      <c r="C39" s="1" t="s">
        <v>118</v>
      </c>
      <c r="D39" s="2">
        <v>2410</v>
      </c>
      <c r="E39" s="2"/>
      <c r="F39" s="1"/>
      <c r="G39" s="1"/>
      <c r="H39" s="1"/>
      <c r="I39" s="1"/>
      <c r="J39" s="1"/>
      <c r="K39" s="1"/>
      <c r="L39" s="1"/>
      <c r="M39" s="1"/>
      <c r="N39" s="1"/>
      <c r="O39" s="13"/>
    </row>
    <row r="40" spans="1:15" x14ac:dyDescent="0.35">
      <c r="A40" s="3" t="s">
        <v>2</v>
      </c>
      <c r="B40" s="1" t="s">
        <v>119</v>
      </c>
      <c r="C40" s="1" t="s">
        <v>120</v>
      </c>
      <c r="D40" s="2">
        <v>2411</v>
      </c>
      <c r="E40" s="2"/>
      <c r="F40" s="1"/>
      <c r="G40" s="1"/>
      <c r="H40" s="1"/>
      <c r="I40" s="1"/>
      <c r="J40" s="1"/>
      <c r="K40" s="1"/>
      <c r="L40" s="1"/>
      <c r="M40" s="1"/>
      <c r="N40" s="1"/>
      <c r="O40" s="13"/>
    </row>
    <row r="41" spans="1:15" x14ac:dyDescent="0.35">
      <c r="A41" s="3" t="s">
        <v>121</v>
      </c>
      <c r="B41" s="1" t="s">
        <v>122</v>
      </c>
      <c r="C41" s="1" t="s">
        <v>123</v>
      </c>
      <c r="D41" s="2">
        <v>338</v>
      </c>
    </row>
    <row r="42" spans="1:15" x14ac:dyDescent="0.35">
      <c r="A42" s="3" t="s">
        <v>124</v>
      </c>
      <c r="B42" s="1" t="s">
        <v>125</v>
      </c>
      <c r="C42" s="1" t="s">
        <v>126</v>
      </c>
      <c r="D42" s="2">
        <v>3155</v>
      </c>
    </row>
    <row r="43" spans="1:15" x14ac:dyDescent="0.35">
      <c r="A43" s="3" t="s">
        <v>127</v>
      </c>
      <c r="B43" s="1" t="s">
        <v>128</v>
      </c>
      <c r="C43" s="1" t="s">
        <v>129</v>
      </c>
      <c r="D43" s="2">
        <v>1892</v>
      </c>
    </row>
    <row r="44" spans="1:15" x14ac:dyDescent="0.35">
      <c r="A44" s="3" t="s">
        <v>130</v>
      </c>
      <c r="B44" s="1" t="s">
        <v>131</v>
      </c>
      <c r="C44" s="1" t="s">
        <v>132</v>
      </c>
      <c r="D44" s="2">
        <v>34</v>
      </c>
    </row>
    <row r="45" spans="1:15" x14ac:dyDescent="0.35">
      <c r="A45" s="3" t="s">
        <v>133</v>
      </c>
      <c r="B45" s="1" t="s">
        <v>134</v>
      </c>
      <c r="C45" s="1" t="s">
        <v>135</v>
      </c>
      <c r="D45" s="2">
        <v>4011</v>
      </c>
    </row>
    <row r="46" spans="1:15" x14ac:dyDescent="0.35">
      <c r="A46" s="3" t="s">
        <v>136</v>
      </c>
      <c r="B46" s="1" t="s">
        <v>137</v>
      </c>
      <c r="C46" s="1" t="s">
        <v>138</v>
      </c>
      <c r="D46" s="2">
        <v>527</v>
      </c>
    </row>
    <row r="47" spans="1:15" x14ac:dyDescent="0.35">
      <c r="A47" s="3" t="s">
        <v>139</v>
      </c>
      <c r="B47" s="1" t="s">
        <v>140</v>
      </c>
      <c r="C47" s="1" t="s">
        <v>141</v>
      </c>
      <c r="D47" s="2">
        <v>551</v>
      </c>
    </row>
    <row r="48" spans="1:15" x14ac:dyDescent="0.35">
      <c r="A48" s="3" t="s">
        <v>142</v>
      </c>
      <c r="B48" s="1" t="s">
        <v>143</v>
      </c>
      <c r="C48" s="1" t="s">
        <v>144</v>
      </c>
      <c r="D48" s="2">
        <v>592</v>
      </c>
    </row>
    <row r="49" spans="1:4" x14ac:dyDescent="0.35">
      <c r="A49" s="3" t="s">
        <v>145</v>
      </c>
      <c r="B49" s="1" t="s">
        <v>146</v>
      </c>
      <c r="C49" s="1" t="s">
        <v>147</v>
      </c>
      <c r="D49" s="2">
        <v>593</v>
      </c>
    </row>
    <row r="50" spans="1:4" x14ac:dyDescent="0.35">
      <c r="A50" s="3" t="s">
        <v>148</v>
      </c>
      <c r="B50" s="1" t="s">
        <v>149</v>
      </c>
      <c r="C50" s="1" t="s">
        <v>150</v>
      </c>
      <c r="D50" s="2">
        <v>687</v>
      </c>
    </row>
    <row r="51" spans="1:4" x14ac:dyDescent="0.35">
      <c r="A51" s="3" t="s">
        <v>151</v>
      </c>
      <c r="B51" s="1" t="s">
        <v>152</v>
      </c>
      <c r="C51" s="1" t="s">
        <v>153</v>
      </c>
      <c r="D51" s="2">
        <v>689</v>
      </c>
    </row>
    <row r="52" spans="1:4" x14ac:dyDescent="0.35">
      <c r="A52" s="3" t="s">
        <v>154</v>
      </c>
      <c r="B52" s="1" t="s">
        <v>155</v>
      </c>
      <c r="C52" s="1" t="s">
        <v>156</v>
      </c>
      <c r="D52" s="2">
        <v>690</v>
      </c>
    </row>
    <row r="53" spans="1:4" x14ac:dyDescent="0.35">
      <c r="A53" s="3" t="s">
        <v>157</v>
      </c>
      <c r="B53" s="1" t="s">
        <v>158</v>
      </c>
      <c r="C53" s="1" t="s">
        <v>159</v>
      </c>
      <c r="D53" s="2">
        <v>691</v>
      </c>
    </row>
    <row r="54" spans="1:4" x14ac:dyDescent="0.35">
      <c r="A54" s="2"/>
      <c r="B54" s="1"/>
      <c r="C54" s="1"/>
      <c r="D54" s="2"/>
    </row>
    <row r="55" spans="1:4" x14ac:dyDescent="0.35">
      <c r="A55" s="2"/>
      <c r="B55" s="1"/>
      <c r="C55" s="1"/>
      <c r="D55" s="2"/>
    </row>
  </sheetData>
  <mergeCells count="1">
    <mergeCell ref="A1:O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Planned Delivery Orders </vt:lpstr>
      <vt:lpstr>Award A - Schedule&amp;Price</vt:lpstr>
      <vt:lpstr>Award B - Schedule&amp;Price</vt:lpstr>
      <vt:lpstr>Award C - Schedule&amp;Price</vt:lpstr>
    </vt:vector>
  </TitlesOfParts>
  <Company>Defense Logistics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Dillon, Catherine H CIV DLA TROOP SUPPORT (USA)</dc:creator>
  <cp:lastModifiedBy>Dillon, Catherine H CIV DLA TROOP SUPPORT (USA)</cp:lastModifiedBy>
  <dcterms:created xsi:type="dcterms:W3CDTF">2025-03-25T19:46:00Z</dcterms:created>
  <dcterms:modified xsi:type="dcterms:W3CDTF">2025-05-02T11:19:03Z</dcterms:modified>
</cp:coreProperties>
</file>